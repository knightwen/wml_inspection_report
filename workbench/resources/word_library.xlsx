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75623013f6455c" /></Relationships>
</file>

<file path=xl/workbook.xml><?xml version="1.0" encoding="utf-8"?>
<x:workbook xmlns:x="http://schemas.openxmlformats.org/spreadsheetml/2006/main">
  <x:sheets>
    <x:sheet xmlns:r="http://schemas.openxmlformats.org/officeDocument/2006/relationships" name="Observation" sheetId="1" r:id="R060a7814953f4b9a"/>
    <x:sheet xmlns:r="http://schemas.openxmlformats.org/officeDocument/2006/relationships" name="Recommendation" sheetId="2" r:id="Rdae6b6a1b5f645bb"/>
    <x:sheet xmlns:r="http://schemas.openxmlformats.org/officeDocument/2006/relationships" name="待确认合并" sheetId="3" r:id="Rb487f2025a5e4d79"/>
    <x:sheet xmlns:r="http://schemas.openxmlformats.org/officeDocument/2006/relationships" name="确认项明细" sheetId="4" r:id="R6b96f21033834104"/>
    <x:sheet xmlns:r="http://schemas.openxmlformats.org/officeDocument/2006/relationships" name="原始记录" sheetId="5" r:id="R96c63484e79e4b6c"/>
    <x:sheet xmlns:r="http://schemas.openxmlformats.org/officeDocument/2006/relationships" name="来源报告" sheetId="6" r:id="R90861da87217483c"/>
    <x:sheet xmlns:r="http://schemas.openxmlformats.org/officeDocument/2006/relationships" name="整理说明" sheetId="7" r:id="R20ec1bba02494e2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172B40"/>
      <x:name val="Microsoft YaHei"/>
    </x:font>
    <x:font>
      <x:b/>
      <x:sz val="14"/>
      <x:color rgb="FF172B40"/>
      <x:name val="Microsoft YaHei"/>
    </x:font>
    <x:font>
      <x:sz val="10"/>
      <x:color rgb="FF64748B"/>
      <x:name val="Microsoft YaHei"/>
    </x:font>
    <x:font>
      <x:b/>
      <x:sz val="10"/>
      <x:color rgb="FFFFFFFF"/>
      <x:name val="Microsoft YaHei"/>
    </x:font>
  </x:fonts>
  <x:fills count="4">
    <x:fill>
      <x:patternFill patternType="none"/>
    </x:fill>
    <x:fill>
      <x:patternFill patternType="gray125"/>
    </x:fill>
    <x:fill>
      <x:patternFill patternType="solid">
        <x:fgColor rgb="FF263B53"/>
      </x:patternFill>
    </x:fill>
    <x:fill>
      <x:patternFill patternType="solid">
        <x:fgColor rgb="FFFFF5D6"/>
      </x:patternFill>
    </x:fill>
  </x:fills>
  <x:borders count="4">
    <x:border>
      <x:left/>
      <x:right/>
      <x:top/>
      <x:bottom/>
      <x:diagonal/>
    </x:border>
    <x:border>
      <x:left/>
      <x:right style="thin">
        <x:color rgb="FFFFFFFF"/>
      </x:right>
      <x:top/>
      <x:bottom style="thin">
        <x:color rgb="FFD8E1EA"/>
      </x:bottom>
      <x:diagonal/>
    </x:border>
    <x:border>
      <x:left style="thin">
        <x:color rgb="FFFFFFFF"/>
      </x:left>
      <x:right style="thin">
        <x:color rgb="FFFFFFFF"/>
      </x:right>
      <x:top/>
      <x:bottom style="thin">
        <x:color rgb="FFD8E1EA"/>
      </x:bottom>
      <x:diagonal/>
    </x:border>
    <x:border>
      <x:left style="thin">
        <x:color rgb="FFFFFFFF"/>
      </x:left>
      <x:right/>
      <x:top/>
      <x:bottom style="thin">
        <x:color rgb="FFD8E1EA"/>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wrapText="1"/>
    </x:xf>
    <x:xf numFmtId="200" fontId="1" fillId="0" borderId="0" xfId="0" applyNumberFormat="1" applyFont="1" applyFill="1" applyBorder="1" applyAlignment="1">
      <x:alignment horizontal="left" vertical="center" wrapText="1"/>
    </x:xf>
    <x:xf numFmtId="200" fontId="1" fillId="0" borderId="0" xfId="0" applyNumberFormat="1" applyFont="1" applyFill="1" applyBorder="1" applyAlignment="1">
      <x:alignment horizontal="right" vertical="center" wrapText="1"/>
    </x:xf>
  </x:cellXfs>
  <x:cellStyles count="1">
    <x:cellStyle name="Normal" xfId="0"/>
  </x:cellStyles>
  <x:dxfs count="2">
    <x:dxf>
      <x:font>
        <x:color rgb="FF9C2F19"/>
      </x:font>
      <x:fill>
        <x:patternFill patternType="solid">
          <x:bgColor rgb="FFFCE4D6"/>
        </x:patternFill>
      </x:fill>
    </x:dxf>
    <x:dxf>
      <x:font>
        <x:color rgb="FF9C2F19"/>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d4d19d24734a08" /><Relationship Type="http://schemas.openxmlformats.org/officeDocument/2006/relationships/theme" Target="/xl/theme/theme1.xml" Id="Rbc1ae62a25ad43ba" /><Relationship Type="http://schemas.openxmlformats.org/officeDocument/2006/relationships/sharedStrings" Target="/xl/sharedStrings.xml" Id="R13b2ad2f236346cc" /><Relationship Type="http://schemas.openxmlformats.org/officeDocument/2006/relationships/worksheet" Target="/xl/worksheets/sheet1.xml" Id="R060a7814953f4b9a" /><Relationship Type="http://schemas.openxmlformats.org/officeDocument/2006/relationships/worksheet" Target="/xl/worksheets/sheet2.xml" Id="Rdae6b6a1b5f645bb" /><Relationship Type="http://schemas.openxmlformats.org/officeDocument/2006/relationships/worksheet" Target="/xl/worksheets/sheet3.xml" Id="Rb487f2025a5e4d79" /><Relationship Type="http://schemas.openxmlformats.org/officeDocument/2006/relationships/worksheet" Target="/xl/worksheets/sheet4.xml" Id="R6b96f21033834104" /><Relationship Type="http://schemas.openxmlformats.org/officeDocument/2006/relationships/worksheet" Target="/xl/worksheets/sheet5.xml" Id="R96c63484e79e4b6c" /><Relationship Type="http://schemas.openxmlformats.org/officeDocument/2006/relationships/worksheet" Target="/xl/worksheets/sheet6.xml" Id="R90861da87217483c" /><Relationship Type="http://schemas.openxmlformats.org/officeDocument/2006/relationships/worksheet" Target="/xl/worksheets/sheet7.xml" Id="R20ec1bba02494e20" /></Relationships>
</file>

<file path=xl/tables/table1.xml><?xml version="1.0" encoding="utf-8"?>
<x:table xmlns:x="http://schemas.openxmlformats.org/spreadsheetml/2006/main" id="1" name="ObservationLibrary" displayName="ObservationLibrary" ref="A6:I628" headerRowCount="1" totalsRowCount="0" totalsRowShown="0">
  <x:autoFilter ref="A6:I628"/>
  <x:tableColumns count="9">
    <x:tableColumn id="1" name="词条编号"/>
    <x:tableColumn id="2" name="启用"/>
    <x:tableColumn id="3" name="标准描述（可编辑）"/>
    <x:tableColumn id="4" name="常见构件（可编辑）"/>
    <x:tableColumn id="5" name="使用次数"/>
    <x:tableColumn id="6" name="原文数量"/>
    <x:tableColumn id="7" name="关联确认项"/>
    <x:tableColumn id="8" name="来源编号"/>
    <x:tableColumn id="9" name="备注（可编辑）"/>
  </x:tableColumns>
  <x:tableStyleInfo name="TableStyleMedium2" showFirstColumn="0" showLastColumn="0" showRowStripes="1" showColumnStripes="0"/>
</x:table>
</file>

<file path=xl/tables/table2.xml><?xml version="1.0" encoding="utf-8"?>
<x:table xmlns:x="http://schemas.openxmlformats.org/spreadsheetml/2006/main" id="2" name="RecommendationLibrary" displayName="RecommendationLibrary" ref="A6:I181" headerRowCount="1" totalsRowCount="0" totalsRowShown="0">
  <x:autoFilter ref="A6:I181"/>
  <x:tableColumns count="9">
    <x:tableColumn id="1" name="词条编号"/>
    <x:tableColumn id="2" name="启用"/>
    <x:tableColumn id="3" name="标准描述（可编辑）"/>
    <x:tableColumn id="4" name="常见构件（可编辑）"/>
    <x:tableColumn id="5" name="使用次数"/>
    <x:tableColumn id="6" name="原文数量"/>
    <x:tableColumn id="7" name="关联确认项"/>
    <x:tableColumn id="8" name="来源编号"/>
    <x:tableColumn id="9" name="备注（可编辑）"/>
  </x:tableColumns>
  <x:tableStyleInfo name="TableStyleMedium2" showFirstColumn="0" showLastColumn="0" showRowStripes="1" showColumnStripes="0"/>
</x:table>
</file>

<file path=xl/tables/table3.xml><?xml version="1.0" encoding="utf-8"?>
<x:table xmlns:x="http://schemas.openxmlformats.org/spreadsheetml/2006/main" id="3" name="MergeReview" displayName="MergeReview" ref="A6:M309" headerRowCount="1" totalsRowCount="0" totalsRowShown="0">
  <x:autoFilter ref="A6:M309"/>
  <x:tableColumns count="13">
    <x:tableColumn id="1" name="合并项编号"/>
    <x:tableColumn id="2" name="类别"/>
    <x:tableColumn id="3" name="确认结果"/>
    <x:tableColumn id="4" name="最终标准文字（可编辑）"/>
    <x:tableColumn id="5" name="整理方式"/>
    <x:tableColumn id="6" name="差异与建议"/>
    <x:tableColumn id="7" name="关联词条编号"/>
    <x:tableColumn id="8" name="描述 A"/>
    <x:tableColumn id="9" name="描述 B 或样例"/>
    <x:tableColumn id="10" name="保留变量（可编辑）"/>
    <x:tableColumn id="11" name="备注（可编辑）"/>
    <x:tableColumn id="12" name="来源编号"/>
    <x:tableColumn id="13" name="处理状态"/>
  </x:tableColumns>
  <x:tableStyleInfo name="TableStyleMedium2" showFirstColumn="0" showLastColumn="0" showRowStripes="1" showColumnStripes="0"/>
</x:table>
</file>

<file path=xl/tables/table4.xml><?xml version="1.0" encoding="utf-8"?>
<x:table xmlns:x="http://schemas.openxmlformats.org/spreadsheetml/2006/main" id="4" name="ReviewVariants" displayName="ReviewVariants" ref="A6:F647" headerRowCount="1" totalsRowCount="0" totalsRowShown="0">
  <x:autoFilter ref="A6:F647"/>
  <x:tableColumns count="6">
    <x:tableColumn id="1" name="合并项编号"/>
    <x:tableColumn id="2" name="类别"/>
    <x:tableColumn id="3" name="词条编号"/>
    <x:tableColumn id="4" name="完整描述快照"/>
    <x:tableColumn id="5" name="使用次数"/>
    <x:tableColumn id="6" name="来源编号"/>
  </x:tableColumns>
  <x:tableStyleInfo name="TableStyleMedium2" showFirstColumn="0" showLastColumn="0" showRowStripes="1" showColumnStripes="0"/>
</x:table>
</file>

<file path=xl/tables/table5.xml><?xml version="1.0" encoding="utf-8"?>
<x:table xmlns:x="http://schemas.openxmlformats.org/spreadsheetml/2006/main" id="5" name="OriginalRecords" displayName="OriginalRecords" ref="A6:N1957" headerRowCount="1" totalsRowCount="0" totalsRowShown="0">
  <x:autoFilter ref="A6:N1957"/>
  <x:tableColumns count="14">
    <x:tableColumn id="1" name="原始记录编号"/>
    <x:tableColumn id="2" name="类别"/>
    <x:tableColumn id="3" name="原始文字"/>
    <x:tableColumn id="4" name="构件"/>
    <x:tableColumn id="5" name="来源编号"/>
    <x:tableColumn id="6" name="精简词条编号"/>
    <x:tableColumn id="7" name="源文件类别"/>
    <x:tableColumn id="8" name="表格序号"/>
    <x:tableColumn id="9" name="表内行号"/>
    <x:tableColumn id="10" name="照片数"/>
    <x:tableColumn id="11" name="Condition Rating"/>
    <x:tableColumn id="12" name="Likelihood"/>
    <x:tableColumn id="13" name="Severity"/>
    <x:tableColumn id="14" name="Priority"/>
  </x:tableColumns>
  <x:tableStyleInfo name="TableStyleMedium2" showFirstColumn="0" showLastColumn="0" showRowStripes="1" showColumnStripes="0"/>
</x:table>
</file>

<file path=xl/tables/table6.xml><?xml version="1.0" encoding="utf-8"?>
<x:table xmlns:x="http://schemas.openxmlformats.org/spreadsheetml/2006/main" id="6" name="ReportSources" displayName="ReportSources" ref="A6:E110" headerRowCount="1" totalsRowCount="0" totalsRowShown="0">
  <x:autoFilter ref="A6:E110"/>
  <x:tableColumns count="5">
    <x:tableColumn id="1" name="来源编号"/>
    <x:tableColumn id="2" name="文件类别"/>
    <x:tableColumn id="3" name="报告文件名"/>
    <x:tableColumn id="4" name="相对路径"/>
    <x:tableColumn id="5" name="检查构件组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f3450f44b54a77" /></Relationships>
</file>

<file path=xl/worksheets/_rels/sheet2.xml.rels>&#65279;<?xml version="1.0" encoding="utf-8"?><Relationships xmlns="http://schemas.openxmlformats.org/package/2006/relationships"><Relationship Type="http://schemas.openxmlformats.org/officeDocument/2006/relationships/table" Target="/xl/tables/table2.xml" Id="R31cafaff8604454e" /></Relationships>
</file>

<file path=xl/worksheets/_rels/sheet3.xml.rels>&#65279;<?xml version="1.0" encoding="utf-8"?><Relationships xmlns="http://schemas.openxmlformats.org/package/2006/relationships"><Relationship Type="http://schemas.openxmlformats.org/officeDocument/2006/relationships/table" Target="/xl/tables/table3.xml" Id="Rc9004977c32f4a79" /></Relationships>
</file>

<file path=xl/worksheets/_rels/sheet4.xml.rels>&#65279;<?xml version="1.0" encoding="utf-8"?><Relationships xmlns="http://schemas.openxmlformats.org/package/2006/relationships"><Relationship Type="http://schemas.openxmlformats.org/officeDocument/2006/relationships/table" Target="/xl/tables/table4.xml" Id="Rb1b4b693ebd04084" /></Relationships>
</file>

<file path=xl/worksheets/_rels/sheet5.xml.rels>&#65279;<?xml version="1.0" encoding="utf-8"?><Relationships xmlns="http://schemas.openxmlformats.org/package/2006/relationships"><Relationship Type="http://schemas.openxmlformats.org/officeDocument/2006/relationships/table" Target="/xl/tables/table5.xml" Id="Rbd30e4472dba4f39" /></Relationships>
</file>

<file path=xl/worksheets/_rels/sheet6.xml.rels>&#65279;<?xml version="1.0" encoding="utf-8"?><Relationships xmlns="http://schemas.openxmlformats.org/package/2006/relationships"><Relationship Type="http://schemas.openxmlformats.org/officeDocument/2006/relationships/table" Target="/xl/tables/table6.xml" Id="Re020cde38051454f" /></Relationships>
</file>

<file path=xl/worksheets/sheet1.xml><?xml version="1.0" encoding="utf-8"?>
<x:worksheet xmlns:x="http://schemas.openxmlformats.org/spreadsheetml/2006/main">
  <x:sheetPr>
    <x:tabColor rgb="FF263B53"/>
  </x:sheetPr>
  <x:sheetViews>
    <x:sheetView showGridLines="0" workbookViewId="0">
      <x:pane xSplit="2" ySplit="6" topLeftCell="C7" activePane="bottomRight" state="frozen"/>
    </x:sheetView>
  </x:sheetViews>
  <x:sheetFormatPr defaultRowHeight="15"/>
  <x:cols>
    <x:col min="1" max="1" width="14" hidden="0" customWidth="1"/>
    <x:col min="2" max="2" width="9" hidden="0" customWidth="1"/>
    <x:col min="3" max="3" width="82" hidden="0" customWidth="1"/>
    <x:col min="4" max="4" width="42" hidden="0" customWidth="1"/>
    <x:col min="5" max="5" width="11" hidden="0" customWidth="1"/>
    <x:col min="6" max="6" width="11" hidden="0" customWidth="1"/>
    <x:col min="7" max="7" width="65" hidden="0" customWidth="1"/>
    <x:col min="8" max="8" width="65" hidden="0" customWidth="1"/>
    <x:col min="9" max="9" width="36" hidden="0" customWidth="1"/>
  </x:cols>
  <x:sheetData>
    <x:row r="2" ht="27" customHeight="1">
      <x:c r="A2" s="5" t="str">
        <x:v>Observation 精简文字库</x:v>
      </x:c>
      <x:c r="B2" s="2"/>
      <x:c r="C2" s="2"/>
      <x:c r="D2" s="2"/>
      <x:c r="E2" s="2"/>
      <x:c r="F2" s="2"/>
      <x:c r="G2" s="2"/>
      <x:c r="H2" s="2"/>
      <x:c r="I2" s="2"/>
    </x:row>
    <x:row r="3" ht="23" customHeight="1">
      <x:c r="A3" s="6" t="str">
        <x:v>黄色列可编辑；已统一格式，语义合并尚未应用。常见构件显示使用最多的前三项，完整构件见原始记录。</x:v>
      </x:c>
      <x:c r="B3" s="2"/>
      <x:c r="C3" s="2"/>
      <x:c r="D3" s="2"/>
      <x:c r="E3" s="2"/>
      <x:c r="F3" s="2"/>
      <x:c r="G3" s="2"/>
      <x:c r="H3" s="2"/>
      <x:c r="I3" s="2"/>
    </x:row>
    <x:row r="4" ht="23" customHeight="1">
      <x:c r="A4" s="7" t="str">
        <x:f>"词条 "&amp;COUNTA(A7:A628)&amp;"；启用 "&amp;COUNTIF(B7:B628,"是")&amp;"；原报告使用 "&amp;SUM(E7:E628)&amp;" 次"</x:f>
        <x:v>词条 622；启用 622；原报告使用 791 次</x:v>
      </x:c>
      <x:c r="B4" s="2"/>
      <x:c r="C4" s="2"/>
      <x:c r="D4" s="2"/>
      <x:c r="E4" s="2"/>
      <x:c r="F4" s="2"/>
      <x:c r="G4" s="2"/>
      <x:c r="H4" s="2"/>
      <x:c r="I4" s="2"/>
    </x:row>
    <x:row r="5" ht="8" customHeight="1">
      <x:c r="A5" s="2"/>
      <x:c r="B5" s="2"/>
      <x:c r="C5" s="2"/>
      <x:c r="D5" s="2"/>
      <x:c r="E5" s="2"/>
      <x:c r="F5" s="2"/>
      <x:c r="G5" s="2"/>
      <x:c r="H5" s="2"/>
      <x:c r="I5" s="2"/>
    </x:row>
    <x:row r="6" ht="34" customHeight="1">
      <x:c r="A6" s="12" t="str">
        <x:v>词条编号</x:v>
      </x:c>
      <x:c r="B6" s="13" t="str">
        <x:v>启用</x:v>
      </x:c>
      <x:c r="C6" s="13" t="str">
        <x:v>标准描述（可编辑）</x:v>
      </x:c>
      <x:c r="D6" s="13" t="str">
        <x:v>常见构件（可编辑）</x:v>
      </x:c>
      <x:c r="E6" s="13" t="str">
        <x:v>使用次数</x:v>
      </x:c>
      <x:c r="F6" s="13" t="str">
        <x:v>原文数量</x:v>
      </x:c>
      <x:c r="G6" s="13" t="str">
        <x:v>关联确认项</x:v>
      </x:c>
      <x:c r="H6" s="13" t="str">
        <x:v>来源编号</x:v>
      </x:c>
      <x:c r="I6" s="14" t="str">
        <x:v>备注（可编辑）</x:v>
      </x:c>
    </x:row>
    <x:row r="7" ht="37" customHeight="1">
      <x:c r="A7" s="16" t="str">
        <x:v>OBS-0001</x:v>
      </x:c>
      <x:c r="B7" s="17" t="str">
        <x:v>是</x:v>
      </x:c>
      <x:c r="C7" s="17" t="str">
        <x:v>Columns in good condition.</x:v>
      </x:c>
      <x:c r="D7" s="17" t="str">
        <x:v>Columns; Shade structure 5</x:v>
      </x:c>
      <x:c r="E7" s="19" t="n">
        <x:v>11</x:v>
      </x:c>
      <x:c r="F7" s="19" t="n">
        <x:v>1</x:v>
      </x:c>
      <x:c r="G7" s="16" t="str"/>
      <x:c r="H7" s="16" t="str">
        <x:v>SRC-001, SRC-003, SRC-013, SRC-051, SRC-059, SRC-062, SRC-092</x:v>
      </x:c>
      <x:c r="I7" s="17" t="str"/>
    </x:row>
    <x:row r="8" ht="55" customHeight="1">
      <x:c r="A8" s="16" t="str">
        <x:v>OBS-0002</x:v>
      </x:c>
      <x:c r="B8" s="17" t="str">
        <x:v>是</x:v>
      </x:c>
      <x:c r="C8" s="17" t="str">
        <x:v>Overview.</x:v>
      </x:c>
      <x:c r="D8" s="17" t="str">
        <x:v>Back verandah Brick piers; Carport brickwork; Shade structure 1 over children’s pool</x:v>
      </x:c>
      <x:c r="E8" s="19" t="n">
        <x:v>9</x:v>
      </x:c>
      <x:c r="F8" s="19" t="n">
        <x:v>1</x:v>
      </x:c>
      <x:c r="G8" s="16" t="str"/>
      <x:c r="H8" s="16" t="str">
        <x:v>SRC-006, SRC-050, SRC-092, SRC-094</x:v>
      </x:c>
      <x:c r="I8" s="17" t="str"/>
    </x:row>
    <x:row r="9" ht="37" customHeight="1">
      <x:c r="A9" s="16" t="str">
        <x:v>OBS-0003</x:v>
      </x:c>
      <x:c r="B9" s="17" t="str">
        <x:v>是</x:v>
      </x:c>
      <x:c r="C9" s="17" t="str">
        <x:v>Carport verandah in good condition.</x:v>
      </x:c>
      <x:c r="D9" s="17" t="str">
        <x:v>Rafters and purlins; Purlins and rafters</x:v>
      </x:c>
      <x:c r="E9" s="19" t="n">
        <x:v>8</x:v>
      </x:c>
      <x:c r="F9" s="19" t="n">
        <x:v>1</x:v>
      </x:c>
      <x:c r="G9" s="16" t="str">
        <x:v>MRG-0078, MRG-0079, MRG-0095, MRG-0136, MRG-0152, MRG-0185</x:v>
      </x:c>
      <x:c r="H9" s="16" t="str">
        <x:v>SRC-002, SRC-011, SRC-024, SRC-026, SRC-052, SRC-060, SRC-062</x:v>
      </x:c>
      <x:c r="I9" s="17" t="str"/>
    </x:row>
    <x:row r="10" ht="41" customHeight="1">
      <x:c r="A10" s="16" t="str">
        <x:v>OBS-0004</x:v>
      </x:c>
      <x:c r="B10" s="17" t="str">
        <x:v>是</x:v>
      </x:c>
      <x:c r="C10" s="17" t="str">
        <x:v>Front of property. Cladding and framing in good condition.</x:v>
      </x:c>
      <x:c r="D10" s="17" t="str">
        <x:v>Cladding and framing</x:v>
      </x:c>
      <x:c r="E10" s="19" t="n">
        <x:v>8</x:v>
      </x:c>
      <x:c r="F10" s="19" t="n">
        <x:v>1</x:v>
      </x:c>
      <x:c r="G10" s="16" t="str">
        <x:v>MRG-0069, MRG-0120, MRG-0142, MRG-0163, MRG-0267</x:v>
      </x:c>
      <x:c r="H10" s="16" t="str">
        <x:v>SRC-001, SRC-003, SRC-004, SRC-011, SRC-024, SRC-026, SRC-052, SRC-056</x:v>
      </x:c>
      <x:c r="I10" s="17" t="str"/>
    </x:row>
    <x:row r="11" ht="41" customHeight="1">
      <x:c r="A11" s="16" t="str">
        <x:v>OBS-0005</x:v>
      </x:c>
      <x:c r="B11" s="17" t="str">
        <x:v>是</x:v>
      </x:c>
      <x:c r="C11" s="17" t="str">
        <x:v>Fencing posts on left hand side of property facing the front entrance. Bitumen paint deterioration.</x:v>
      </x:c>
      <x:c r="D11" s="17" t="str">
        <x:v>Fencing posts; Fencing post</x:v>
      </x:c>
      <x:c r="E11" s="19" t="n">
        <x:v>7</x:v>
      </x:c>
      <x:c r="F11" s="19" t="n">
        <x:v>1</x:v>
      </x:c>
      <x:c r="G11" s="16" t="str">
        <x:v>MRG-0048, MRG-0049, MRG-0159, MRG-0171</x:v>
      </x:c>
      <x:c r="H11" s="16" t="str">
        <x:v>SRC-027, SRC-049, SRC-051, SRC-055</x:v>
      </x:c>
      <x:c r="I11" s="17" t="str"/>
    </x:row>
    <x:row r="12" ht="37" customHeight="1">
      <x:c r="A12" s="16" t="str">
        <x:v>OBS-0006</x:v>
      </x:c>
      <x:c r="B12" s="17" t="str">
        <x:v>是</x:v>
      </x:c>
      <x:c r="C12" s="17" t="str">
        <x:v>Salt staining on rafters and purlins supporting roof overhang.</x:v>
      </x:c>
      <x:c r="D12" s="17" t="str">
        <x:v>Rafters and purlins</x:v>
      </x:c>
      <x:c r="E12" s="19" t="n">
        <x:v>7</x:v>
      </x:c>
      <x:c r="F12" s="19" t="n">
        <x:v>1</x:v>
      </x:c>
      <x:c r="G12" s="16" t="str">
        <x:v>MRG-0143</x:v>
      </x:c>
      <x:c r="H12" s="16" t="str">
        <x:v>SRC-011, SRC-024, SRC-026, SRC-052, SRC-056, SRC-060</x:v>
      </x:c>
      <x:c r="I12" s="17" t="str"/>
    </x:row>
    <x:row r="13" ht="37" customHeight="1">
      <x:c r="A13" s="16" t="str">
        <x:v>OBS-0007</x:v>
      </x:c>
      <x:c r="B13" s="17" t="str">
        <x:v>是</x:v>
      </x:c>
      <x:c r="C13" s="17" t="str">
        <x:v>Back verandah in good condition.</x:v>
      </x:c>
      <x:c r="D13" s="17" t="str">
        <x:v>Rafters and purlins</x:v>
      </x:c>
      <x:c r="E13" s="19" t="n">
        <x:v>5</x:v>
      </x:c>
      <x:c r="F13" s="19" t="n">
        <x:v>1</x:v>
      </x:c>
      <x:c r="G13" s="16" t="str">
        <x:v>MRG-0043, MRG-0090, MRG-0100, MRG-0105, MRG-0152, MRG-0161</x:v>
      </x:c>
      <x:c r="H13" s="16" t="str">
        <x:v>SRC-011, SRC-024, SRC-026, SRC-052, SRC-060</x:v>
      </x:c>
      <x:c r="I13" s="17" t="str"/>
    </x:row>
    <x:row r="14" ht="37" customHeight="1">
      <x:c r="A14" s="16" t="str">
        <x:v>OBS-0008</x:v>
      </x:c>
      <x:c r="B14" s="17" t="str">
        <x:v>是</x:v>
      </x:c>
      <x:c r="C14" s="17" t="str">
        <x:v>Carport overview.</x:v>
      </x:c>
      <x:c r="D14" s="17" t="str">
        <x:v>Purlins and rafters</x:v>
      </x:c>
      <x:c r="E14" s="19" t="n">
        <x:v>5</x:v>
      </x:c>
      <x:c r="F14" s="19" t="n">
        <x:v>1</x:v>
      </x:c>
      <x:c r="G14" s="16" t="str"/>
      <x:c r="H14" s="16" t="str">
        <x:v>SRC-049, SRC-051, SRC-055, SRC-059, SRC-062</x:v>
      </x:c>
      <x:c r="I14" s="17" t="str"/>
    </x:row>
    <x:row r="15" ht="41" customHeight="1">
      <x:c r="A15" s="16" t="str">
        <x:v>OBS-0009</x:v>
      </x:c>
      <x:c r="B15" s="17" t="str">
        <x:v>是</x:v>
      </x:c>
      <x:c r="C15" s="17" t="str">
        <x:v>Overview of carport verandah.</x:v>
      </x:c>
      <x:c r="D15" s="17" t="str">
        <x:v>Carport verandah; Rafters and purlins; Roof</x:v>
      </x:c>
      <x:c r="E15" s="19" t="n">
        <x:v>5</x:v>
      </x:c>
      <x:c r="F15" s="19" t="n">
        <x:v>1</x:v>
      </x:c>
      <x:c r="G15" s="16" t="str">
        <x:v>MRG-0192</x:v>
      </x:c>
      <x:c r="H15" s="16" t="str">
        <x:v>SRC-010, SRC-023, SRC-025, SRC-027</x:v>
      </x:c>
      <x:c r="I15" s="17" t="str"/>
    </x:row>
    <x:row r="16" ht="37" customHeight="1">
      <x:c r="A16" s="16" t="str">
        <x:v>OBS-0010</x:v>
      </x:c>
      <x:c r="B16" s="17" t="str">
        <x:v>是</x:v>
      </x:c>
      <x:c r="C16" s="17" t="str">
        <x:v>Paint deterioration.</x:v>
      </x:c>
      <x:c r="D16" s="17" t="str">
        <x:v>Columns; Shade structure 6 columns</x:v>
      </x:c>
      <x:c r="E16" s="19" t="n">
        <x:v>5</x:v>
      </x:c>
      <x:c r="F16" s="19" t="n">
        <x:v>1</x:v>
      </x:c>
      <x:c r="G16" s="16" t="str"/>
      <x:c r="H16" s="16" t="str">
        <x:v>SRC-003, SRC-054, SRC-092</x:v>
      </x:c>
      <x:c r="I16" s="17" t="str"/>
    </x:row>
    <x:row r="17" ht="37" customHeight="1">
      <x:c r="A17" s="16" t="str">
        <x:v>OBS-0011</x:v>
      </x:c>
      <x:c r="B17" s="17" t="str">
        <x:v>是</x:v>
      </x:c>
      <x:c r="C17" s="17" t="str">
        <x:v>Back of property. Cladding and framing in good condition.</x:v>
      </x:c>
      <x:c r="D17" s="17" t="str">
        <x:v>Cladding and framing</x:v>
      </x:c>
      <x:c r="E17" s="19" t="n">
        <x:v>4</x:v>
      </x:c>
      <x:c r="F17" s="19" t="n">
        <x:v>1</x:v>
      </x:c>
      <x:c r="G17" s="16" t="str">
        <x:v>MRG-0069, MRG-0157, MRG-0267</x:v>
      </x:c>
      <x:c r="H17" s="16" t="str">
        <x:v>SRC-011, SRC-024, SRC-026, SRC-052</x:v>
      </x:c>
      <x:c r="I17" s="17" t="str"/>
    </x:row>
    <x:row r="18" ht="37" customHeight="1">
      <x:c r="A18" s="16" t="str">
        <x:v>OBS-0012</x:v>
      </x:c>
      <x:c r="B18" s="17" t="str">
        <x:v>是</x:v>
      </x:c>
      <x:c r="C18" s="17" t="str">
        <x:v>Carport verandah columns in good condition.</x:v>
      </x:c>
      <x:c r="D18" s="17" t="str">
        <x:v>Columns</x:v>
      </x:c>
      <x:c r="E18" s="19" t="n">
        <x:v>4</x:v>
      </x:c>
      <x:c r="F18" s="19" t="n">
        <x:v>2</x:v>
      </x:c>
      <x:c r="G18" s="16" t="str">
        <x:v>MRG-0059, MRG-0095, MRG-0101</x:v>
      </x:c>
      <x:c r="H18" s="16" t="str">
        <x:v>SRC-025, SRC-053</x:v>
      </x:c>
      <x:c r="I18" s="17" t="str"/>
    </x:row>
    <x:row r="19" ht="37" customHeight="1">
      <x:c r="A19" s="16" t="str">
        <x:v>OBS-0013</x:v>
      </x:c>
      <x:c r="B19" s="17" t="str">
        <x:v>是</x:v>
      </x:c>
      <x:c r="C19" s="17" t="str">
        <x:v>Front verandah in good condition.</x:v>
      </x:c>
      <x:c r="D19" s="17" t="str">
        <x:v>Rafters and purlins</x:v>
      </x:c>
      <x:c r="E19" s="19" t="n">
        <x:v>4</x:v>
      </x:c>
      <x:c r="F19" s="19" t="n">
        <x:v>1</x:v>
      </x:c>
      <x:c r="G19" s="16" t="str">
        <x:v>MRG-0056, MRG-0078, MRG-0087, MRG-0102, MRG-0121, MRG-0161</x:v>
      </x:c>
      <x:c r="H19" s="16" t="str">
        <x:v>SRC-011, SRC-024, SRC-026, SRC-052</x:v>
      </x:c>
      <x:c r="I19" s="17" t="str"/>
    </x:row>
    <x:row r="20" ht="41" customHeight="1">
      <x:c r="A20" s="16" t="str">
        <x:v>OBS-0014</x:v>
      </x:c>
      <x:c r="B20" s="17" t="str">
        <x:v>是</x:v>
      </x:c>
      <x:c r="C20" s="17" t="str">
        <x:v>Front verandah.</x:v>
      </x:c>
      <x:c r="D20" s="17" t="str">
        <x:v>Columns and beams; Triple grips; Purlins and rafters</x:v>
      </x:c>
      <x:c r="E20" s="19" t="n">
        <x:v>4</x:v>
      </x:c>
      <x:c r="F20" s="19" t="n">
        <x:v>2</x:v>
      </x:c>
      <x:c r="G20" s="16" t="str">
        <x:v>MRG-0179</x:v>
      </x:c>
      <x:c r="H20" s="16" t="str">
        <x:v>SRC-009, SRC-014, SRC-048, SRC-092</x:v>
      </x:c>
      <x:c r="I20" s="17" t="str"/>
    </x:row>
    <x:row r="21" ht="41" customHeight="1">
      <x:c r="A21" s="16" t="str">
        <x:v>OBS-0015</x:v>
      </x:c>
      <x:c r="B21" s="17" t="str">
        <x:v>是</x:v>
      </x:c>
      <x:c r="C21" s="17" t="str">
        <x:v>Left hand side of house facing the entrance. Minor corrosion to rafters and purlins. Salt staining on purlins.</x:v>
      </x:c>
      <x:c r="D21" s="17" t="str">
        <x:v>Purlins and rafters; Carport verandah</x:v>
      </x:c>
      <x:c r="E21" s="19" t="n">
        <x:v>4</x:v>
      </x:c>
      <x:c r="F21" s="19" t="n">
        <x:v>1</x:v>
      </x:c>
      <x:c r="G21" s="16" t="str">
        <x:v>MRG-0029, MRG-0268</x:v>
      </x:c>
      <x:c r="H21" s="16" t="str">
        <x:v>SRC-027, SRC-049, SRC-051, SRC-055</x:v>
      </x:c>
      <x:c r="I21" s="17" t="str"/>
    </x:row>
    <x:row r="22" ht="37" customHeight="1">
      <x:c r="A22" s="16" t="str">
        <x:v>OBS-0016</x:v>
      </x:c>
      <x:c r="B22" s="17" t="str">
        <x:v>是</x:v>
      </x:c>
      <x:c r="C22" s="17" t="str">
        <x:v>Minor surface corrosion.</x:v>
      </x:c>
      <x:c r="D22" s="17" t="str">
        <x:v>Columns; Bird Series Sculpture</x:v>
      </x:c>
      <x:c r="E22" s="19" t="n">
        <x:v>4</x:v>
      </x:c>
      <x:c r="F22" s="19" t="n">
        <x:v>1</x:v>
      </x:c>
      <x:c r="G22" s="16" t="str">
        <x:v>MRG-0177</x:v>
      </x:c>
      <x:c r="H22" s="16" t="str">
        <x:v>SRC-061, SRC-065, SRC-068</x:v>
      </x:c>
      <x:c r="I22" s="17" t="str"/>
    </x:row>
    <x:row r="23" ht="41" customHeight="1">
      <x:c r="A23" s="16" t="str">
        <x:v>OBS-0017</x:v>
      </x:c>
      <x:c r="B23" s="17" t="str">
        <x:v>是</x:v>
      </x:c>
      <x:c r="C23" s="17" t="str">
        <x:v>Overview of structure.</x:v>
      </x:c>
      <x:c r="D23" s="17" t="str">
        <x:v>Bird Series Sculpture; Cemetery Beach Sculpture</x:v>
      </x:c>
      <x:c r="E23" s="19" t="n">
        <x:v>4</x:v>
      </x:c>
      <x:c r="F23" s="19" t="n">
        <x:v>1</x:v>
      </x:c>
      <x:c r="G23" s="16" t="str">
        <x:v>MRG-0123</x:v>
      </x:c>
      <x:c r="H23" s="16" t="str">
        <x:v>SRC-065, SRC-068, SRC-069, SRC-070</x:v>
      </x:c>
      <x:c r="I23" s="17" t="str"/>
    </x:row>
    <x:row r="24" ht="37" customHeight="1">
      <x:c r="A24" s="16" t="str">
        <x:v>OBS-0018</x:v>
      </x:c>
      <x:c r="B24" s="17" t="str">
        <x:v>是</x:v>
      </x:c>
      <x:c r="C24" s="17" t="str">
        <x:v>Walkway in good condition with local minor corrosion.</x:v>
      </x:c>
      <x:c r="D24" s="17" t="str">
        <x:v>Walkway</x:v>
      </x:c>
      <x:c r="E24" s="19" t="n">
        <x:v>4</x:v>
      </x:c>
      <x:c r="F24" s="19" t="n">
        <x:v>1</x:v>
      </x:c>
      <x:c r="G24" s="16" t="str"/>
      <x:c r="H24" s="16" t="str">
        <x:v>SRC-100</x:v>
      </x:c>
      <x:c r="I24" s="17" t="str"/>
    </x:row>
    <x:row r="25" ht="41" customHeight="1">
      <x:c r="A25" s="16" t="str">
        <x:v>OBS-0019</x:v>
      </x:c>
      <x:c r="B25" s="17" t="str">
        <x:v>是</x:v>
      </x:c>
      <x:c r="C25" s="17" t="str">
        <x:v>All purlins and rafters in good condition. Rafters have been repainted recently and top hat purlin have been replaced.</x:v>
      </x:c>
      <x:c r="D25" s="17" t="str">
        <x:v>Rafters and purlins</x:v>
      </x:c>
      <x:c r="E25" s="19" t="n">
        <x:v>3</x:v>
      </x:c>
      <x:c r="F25" s="19" t="n">
        <x:v>2</x:v>
      </x:c>
      <x:c r="G25" s="16" t="str"/>
      <x:c r="H25" s="16" t="str">
        <x:v>SRC-013</x:v>
      </x:c>
      <x:c r="I25" s="17" t="str"/>
    </x:row>
    <x:row r="26" ht="37" customHeight="1">
      <x:c r="A26" s="16" t="str">
        <x:v>OBS-0020</x:v>
      </x:c>
      <x:c r="B26" s="17" t="str">
        <x:v>是</x:v>
      </x:c>
      <x:c r="C26" s="17" t="str">
        <x:v>Back of property. Corrosion around outlet pipe.</x:v>
      </x:c>
      <x:c r="D26" s="17" t="str">
        <x:v>Cladding and framing</x:v>
      </x:c>
      <x:c r="E26" s="19" t="n">
        <x:v>3</x:v>
      </x:c>
      <x:c r="F26" s="19" t="n">
        <x:v>1</x:v>
      </x:c>
      <x:c r="G26" s="16" t="str">
        <x:v>MRG-0270</x:v>
      </x:c>
      <x:c r="H26" s="16" t="str">
        <x:v>SRC-011, SRC-024, SRC-060</x:v>
      </x:c>
      <x:c r="I26" s="17" t="str"/>
    </x:row>
    <x:row r="27" ht="37" customHeight="1">
      <x:c r="A27" s="16" t="str">
        <x:v>OBS-0021</x:v>
      </x:c>
      <x:c r="B27" s="17" t="str">
        <x:v>是</x:v>
      </x:c>
      <x:c r="C27" s="17" t="str">
        <x:v>Back verandah columns in good condition.</x:v>
      </x:c>
      <x:c r="D27" s="17" t="str">
        <x:v>Columns</x:v>
      </x:c>
      <x:c r="E27" s="19" t="n">
        <x:v>3</x:v>
      </x:c>
      <x:c r="F27" s="19" t="n">
        <x:v>1</x:v>
      </x:c>
      <x:c r="G27" s="16" t="str">
        <x:v>MRG-0004, MRG-0101, MRG-0104, MRG-0105</x:v>
      </x:c>
      <x:c r="H27" s="16" t="str">
        <x:v>SRC-011, SRC-026, SRC-060</x:v>
      </x:c>
      <x:c r="I27" s="17" t="str"/>
    </x:row>
    <x:row r="28" ht="37" customHeight="1">
      <x:c r="A28" s="16" t="str">
        <x:v>OBS-0022</x:v>
      </x:c>
      <x:c r="B28" s="17" t="str">
        <x:v>是</x:v>
      </x:c>
      <x:c r="C28" s="17" t="str">
        <x:v>Corrosion of steel bracing.</x:v>
      </x:c>
      <x:c r="D28" s="17" t="str">
        <x:v>Bracing of back verandah</x:v>
      </x:c>
      <x:c r="E28" s="19" t="n">
        <x:v>3</x:v>
      </x:c>
      <x:c r="F28" s="19" t="n">
        <x:v>1</x:v>
      </x:c>
      <x:c r="G28" s="16" t="str"/>
      <x:c r="H28" s="16" t="str">
        <x:v>SRC-092</x:v>
      </x:c>
      <x:c r="I28" s="17" t="str"/>
    </x:row>
    <x:row r="29" ht="37" customHeight="1">
      <x:c r="A29" s="16" t="str">
        <x:v>OBS-0023</x:v>
      </x:c>
      <x:c r="B29" s="17" t="str">
        <x:v>是</x:v>
      </x:c>
      <x:c r="C29" s="17" t="str">
        <x:v>Fencing posts on left hand side of property facing the front entrance.</x:v>
      </x:c>
      <x:c r="D29" s="17" t="str">
        <x:v>Fencing post</x:v>
      </x:c>
      <x:c r="E29" s="19" t="n">
        <x:v>3</x:v>
      </x:c>
      <x:c r="F29" s="19" t="n">
        <x:v>1</x:v>
      </x:c>
      <x:c r="G29" s="16" t="str">
        <x:v>MRG-0050</x:v>
      </x:c>
      <x:c r="H29" s="16" t="str">
        <x:v>SRC-023, SRC-025</x:v>
      </x:c>
      <x:c r="I29" s="17" t="str"/>
    </x:row>
    <x:row r="30" ht="41" customHeight="1">
      <x:c r="A30" s="16" t="str">
        <x:v>OBS-0024</x:v>
      </x:c>
      <x:c r="B30" s="17" t="str">
        <x:v>是</x:v>
      </x:c>
      <x:c r="C30" s="17" t="str">
        <x:v>Fencing posts on left hand side of property facing the front entrance. Corrosion and bitumen paint deterioration.</x:v>
      </x:c>
      <x:c r="D30" s="17" t="str">
        <x:v>Fencing post</x:v>
      </x:c>
      <x:c r="E30" s="19" t="n">
        <x:v>3</x:v>
      </x:c>
      <x:c r="F30" s="19" t="n">
        <x:v>1</x:v>
      </x:c>
      <x:c r="G30" s="16" t="str">
        <x:v>MRG-0049, MRG-0127</x:v>
      </x:c>
      <x:c r="H30" s="16" t="str">
        <x:v>SRC-023</x:v>
      </x:c>
      <x:c r="I30" s="17" t="str"/>
    </x:row>
    <x:row r="31" ht="37" customHeight="1">
      <x:c r="A31" s="16" t="str">
        <x:v>OBS-0025</x:v>
      </x:c>
      <x:c r="B31" s="17" t="str">
        <x:v>是</x:v>
      </x:c>
      <x:c r="C31" s="17" t="str">
        <x:v>Front wall cladding in good condition</x:v>
      </x:c>
      <x:c r="D31" s="17" t="str">
        <x:v>Steel cladding; Cladding and framing</x:v>
      </x:c>
      <x:c r="E31" s="19" t="n">
        <x:v>3</x:v>
      </x:c>
      <x:c r="F31" s="19" t="n">
        <x:v>2</x:v>
      </x:c>
      <x:c r="G31" s="16" t="str">
        <x:v>MRG-0057, MRG-0064, MRG-0081, MRG-0094, MRG-0119</x:v>
      </x:c>
      <x:c r="H31" s="16" t="str">
        <x:v>SRC-014, SRC-015, SRC-058</x:v>
      </x:c>
      <x:c r="I31" s="17" t="str"/>
    </x:row>
    <x:row r="32" ht="37" customHeight="1">
      <x:c r="A32" s="16" t="str">
        <x:v>OBS-0026</x:v>
      </x:c>
      <x:c r="B32" s="17" t="str">
        <x:v>是</x:v>
      </x:c>
      <x:c r="C32" s="17" t="str">
        <x:v>Minor corrosion of verandah columns.</x:v>
      </x:c>
      <x:c r="D32" s="17" t="str">
        <x:v>Columns</x:v>
      </x:c>
      <x:c r="E32" s="19" t="n">
        <x:v>3</x:v>
      </x:c>
      <x:c r="F32" s="19" t="n">
        <x:v>2</x:v>
      </x:c>
      <x:c r="G32" s="16" t="str">
        <x:v>MRG-0066</x:v>
      </x:c>
      <x:c r="H32" s="16" t="str">
        <x:v>SRC-057</x:v>
      </x:c>
      <x:c r="I32" s="17" t="str"/>
    </x:row>
    <x:row r="33" ht="41" customHeight="1">
      <x:c r="A33" s="16" t="str">
        <x:v>OBS-0027</x:v>
      </x:c>
      <x:c r="B33" s="17" t="str">
        <x:v>是</x:v>
      </x:c>
      <x:c r="C33" s="17" t="str">
        <x:v>Overview of right hand side of house windows.</x:v>
      </x:c>
      <x:c r="D33" s="17" t="str">
        <x:v>Cladding and framing; Front verandah beams; Standalone verandah</x:v>
      </x:c>
      <x:c r="E33" s="19" t="n">
        <x:v>3</x:v>
      </x:c>
      <x:c r="F33" s="19" t="n">
        <x:v>2</x:v>
      </x:c>
      <x:c r="G33" s="16" t="str"/>
      <x:c r="H33" s="16" t="str">
        <x:v>SRC-010, SRC-012</x:v>
      </x:c>
      <x:c r="I33" s="17" t="str"/>
    </x:row>
    <x:row r="34" ht="37" customHeight="1">
      <x:c r="A34" s="16" t="str">
        <x:v>OBS-0028</x:v>
      </x:c>
      <x:c r="B34" s="17" t="str">
        <x:v>是</x:v>
      </x:c>
      <x:c r="C34" s="17" t="str">
        <x:v>Purlins and rafters of carport and front verandah in good condition.</x:v>
      </x:c>
      <x:c r="D34" s="17" t="str">
        <x:v>Rafters and purlins</x:v>
      </x:c>
      <x:c r="E34" s="19" t="n">
        <x:v>3</x:v>
      </x:c>
      <x:c r="F34" s="19" t="n">
        <x:v>1</x:v>
      </x:c>
      <x:c r="G34" s="16" t="str"/>
      <x:c r="H34" s="16" t="str">
        <x:v>SRC-028, SRC-050</x:v>
      </x:c>
      <x:c r="I34" s="17" t="str"/>
    </x:row>
    <x:row r="35" ht="41" customHeight="1">
      <x:c r="A35" s="16" t="str">
        <x:v>OBS-0029</x:v>
      </x:c>
      <x:c r="B35" s="17" t="str">
        <x:v>是</x:v>
      </x:c>
      <x:c r="C35" s="17" t="str">
        <x:v>Right hand side of house facing the entrance. Minor corrosion to rafters and purlins. Salt staining on purlins.</x:v>
      </x:c>
      <x:c r="D35" s="17" t="str">
        <x:v>Purlins and rafters; Carport verandah</x:v>
      </x:c>
      <x:c r="E35" s="19" t="n">
        <x:v>3</x:v>
      </x:c>
      <x:c r="F35" s="19" t="n">
        <x:v>1</x:v>
      </x:c>
      <x:c r="G35" s="16" t="str">
        <x:v>MRG-0029, MRG-0268</x:v>
      </x:c>
      <x:c r="H35" s="16" t="str">
        <x:v>SRC-027, SRC-049, SRC-051</x:v>
      </x:c>
      <x:c r="I35" s="17" t="str"/>
    </x:row>
    <x:row r="36" ht="37" customHeight="1">
      <x:c r="A36" s="16" t="str">
        <x:v>OBS-0030</x:v>
      </x:c>
      <x:c r="B36" s="17" t="str">
        <x:v>是</x:v>
      </x:c>
      <x:c r="C36" s="17" t="str">
        <x:v>Side overhang. Salt staining on rafters and purlins.</x:v>
      </x:c>
      <x:c r="D36" s="17" t="str">
        <x:v>Rafters and purlins</x:v>
      </x:c>
      <x:c r="E36" s="19" t="n">
        <x:v>3</x:v>
      </x:c>
      <x:c r="F36" s="19" t="n">
        <x:v>1</x:v>
      </x:c>
      <x:c r="G36" s="16" t="str">
        <x:v>MRG-0158</x:v>
      </x:c>
      <x:c r="H36" s="16" t="str">
        <x:v>SRC-050</x:v>
      </x:c>
      <x:c r="I36" s="17" t="str"/>
    </x:row>
    <x:row r="37" ht="37" customHeight="1">
      <x:c r="A37" s="16" t="str">
        <x:v>OBS-0031</x:v>
      </x:c>
      <x:c r="B37" s="17" t="str">
        <x:v>是</x:v>
      </x:c>
      <x:c r="C37" s="17" t="str">
        <x:v>Window adjacent to front entrance. Cladding in good and framing condition.</x:v>
      </x:c>
      <x:c r="D37" s="17" t="str">
        <x:v>Cladding and framing</x:v>
      </x:c>
      <x:c r="E37" s="19" t="n">
        <x:v>3</x:v>
      </x:c>
      <x:c r="F37" s="19" t="n">
        <x:v>1</x:v>
      </x:c>
      <x:c r="G37" s="16" t="str"/>
      <x:c r="H37" s="16" t="str">
        <x:v>SRC-003, SRC-004, SRC-005</x:v>
      </x:c>
      <x:c r="I37" s="17" t="str"/>
    </x:row>
    <x:row r="38" ht="37" customHeight="1">
      <x:c r="A38" s="16" t="str">
        <x:v>OBS-0032</x:v>
      </x:c>
      <x:c r="B38" s="17" t="str">
        <x:v>是</x:v>
      </x:c>
      <x:c r="C38" s="17" t="str">
        <x:v>Back balcony brick pier.</x:v>
      </x:c>
      <x:c r="D38" s="17" t="str">
        <x:v>Brick piers</x:v>
      </x:c>
      <x:c r="E38" s="19" t="n">
        <x:v>2</x:v>
      </x:c>
      <x:c r="F38" s="19" t="n">
        <x:v>1</x:v>
      </x:c>
      <x:c r="G38" s="16" t="str"/>
      <x:c r="H38" s="16" t="str">
        <x:v>SRC-096</x:v>
      </x:c>
      <x:c r="I38" s="17" t="str"/>
    </x:row>
    <x:row r="39" ht="37" customHeight="1">
      <x:c r="A39" s="16" t="str">
        <x:v>OBS-0033</x:v>
      </x:c>
      <x:c r="B39" s="17" t="str">
        <x:v>是</x:v>
      </x:c>
      <x:c r="C39" s="17" t="str">
        <x:v>Back wall. Cladding in good and framing condition.</x:v>
      </x:c>
      <x:c r="D39" s="17" t="str">
        <x:v>Cladding and framing</x:v>
      </x:c>
      <x:c r="E39" s="19" t="n">
        <x:v>2</x:v>
      </x:c>
      <x:c r="F39" s="19" t="n">
        <x:v>1</x:v>
      </x:c>
      <x:c r="G39" s="16" t="str">
        <x:v>MRG-0162, MRG-0269</x:v>
      </x:c>
      <x:c r="H39" s="16" t="str">
        <x:v>SRC-003</x:v>
      </x:c>
      <x:c r="I39" s="17" t="str"/>
    </x:row>
    <x:row r="40" ht="37" customHeight="1">
      <x:c r="A40" s="16" t="str">
        <x:v>OBS-0034</x:v>
      </x:c>
      <x:c r="B40" s="17" t="str">
        <x:v>是</x:v>
      </x:c>
      <x:c r="C40" s="17" t="str">
        <x:v>Back wall. Corroded roof sheeting.</x:v>
      </x:c>
      <x:c r="D40" s="17" t="str">
        <x:v>Roof sheeting</x:v>
      </x:c>
      <x:c r="E40" s="19" t="n">
        <x:v>2</x:v>
      </x:c>
      <x:c r="F40" s="19" t="n">
        <x:v>1</x:v>
      </x:c>
      <x:c r="G40" s="16" t="str"/>
      <x:c r="H40" s="16" t="str">
        <x:v>SRC-006</x:v>
      </x:c>
      <x:c r="I40" s="17" t="str"/>
    </x:row>
    <x:row r="41" ht="37" customHeight="1">
      <x:c r="A41" s="16" t="str">
        <x:v>OBS-0035</x:v>
      </x:c>
      <x:c r="B41" s="17" t="str">
        <x:v>是</x:v>
      </x:c>
      <x:c r="C41" s="17" t="str">
        <x:v>Backyard fencing post. Most posts have paint deterioration at the lower section.</x:v>
      </x:c>
      <x:c r="D41" s="17" t="str">
        <x:v>Fencing posts</x:v>
      </x:c>
      <x:c r="E41" s="19" t="n">
        <x:v>2</x:v>
      </x:c>
      <x:c r="F41" s="19" t="n">
        <x:v>1</x:v>
      </x:c>
      <x:c r="G41" s="16" t="str">
        <x:v>MRG-0112, MRG-0149</x:v>
      </x:c>
      <x:c r="H41" s="16" t="str">
        <x:v>SRC-024, SRC-026</x:v>
      </x:c>
      <x:c r="I41" s="17" t="str"/>
    </x:row>
    <x:row r="42" ht="37" customHeight="1">
      <x:c r="A42" s="16" t="str">
        <x:v>OBS-0036</x:v>
      </x:c>
      <x:c r="B42" s="17" t="str">
        <x:v>是</x:v>
      </x:c>
      <x:c r="C42" s="17" t="str">
        <x:v>Carport front window. Salt staining and minor corrosion.</x:v>
      </x:c>
      <x:c r="D42" s="17" t="str">
        <x:v>Cladding; Cladding and framing</x:v>
      </x:c>
      <x:c r="E42" s="19" t="n">
        <x:v>2</x:v>
      </x:c>
      <x:c r="F42" s="19" t="n">
        <x:v>1</x:v>
      </x:c>
      <x:c r="G42" s="16" t="str">
        <x:v>MRG-0068</x:v>
      </x:c>
      <x:c r="H42" s="16" t="str">
        <x:v>SRC-009, SRC-055</x:v>
      </x:c>
      <x:c r="I42" s="17" t="str"/>
    </x:row>
    <x:row r="43" ht="37" customHeight="1">
      <x:c r="A43" s="16" t="str">
        <x:v>OBS-0037</x:v>
      </x:c>
      <x:c r="B43" s="17" t="str">
        <x:v>是</x:v>
      </x:c>
      <x:c r="C43" s="17" t="str">
        <x:v>Carport verandah.</x:v>
      </x:c>
      <x:c r="D43" s="17" t="str">
        <x:v>Soffit cladding</x:v>
      </x:c>
      <x:c r="E43" s="19" t="n">
        <x:v>2</x:v>
      </x:c>
      <x:c r="F43" s="19" t="n">
        <x:v>1</x:v>
      </x:c>
      <x:c r="G43" s="16" t="str"/>
      <x:c r="H43" s="16" t="str">
        <x:v>SRC-013</x:v>
      </x:c>
      <x:c r="I43" s="17" t="str"/>
    </x:row>
    <x:row r="44" ht="37" customHeight="1">
      <x:c r="A44" s="16" t="str">
        <x:v>OBS-0038</x:v>
      </x:c>
      <x:c r="B44" s="17" t="str">
        <x:v>是</x:v>
      </x:c>
      <x:c r="C44" s="17" t="str">
        <x:v>Carport wall cladding in good condition.</x:v>
      </x:c>
      <x:c r="D44" s="17" t="str">
        <x:v>Cladding and framing</x:v>
      </x:c>
      <x:c r="E44" s="19" t="n">
        <x:v>2</x:v>
      </x:c>
      <x:c r="F44" s="19" t="n">
        <x:v>1</x:v>
      </x:c>
      <x:c r="G44" s="16" t="str">
        <x:v>MRG-0064, MRG-0114, MRG-0137, MRG-0189</x:v>
      </x:c>
      <x:c r="H44" s="16" t="str">
        <x:v>SRC-026, SRC-052</x:v>
      </x:c>
      <x:c r="I44" s="17" t="str"/>
    </x:row>
    <x:row r="45" ht="41" customHeight="1">
      <x:c r="A45" s="16" t="str">
        <x:v>OBS-0039</x:v>
      </x:c>
      <x:c r="B45" s="17" t="str">
        <x:v>是</x:v>
      </x:c>
      <x:c r="C45" s="17" t="str">
        <x:v>Carport wall cladding in good condition. Discolouration of paint in some areas. Minor corrosion around outlet pipe.</x:v>
      </x:c>
      <x:c r="D45" s="17" t="str">
        <x:v>Cladding and framing</x:v>
      </x:c>
      <x:c r="E45" s="19" t="n">
        <x:v>2</x:v>
      </x:c>
      <x:c r="F45" s="19" t="n">
        <x:v>1</x:v>
      </x:c>
      <x:c r="G45" s="16" t="str"/>
      <x:c r="H45" s="16" t="str">
        <x:v>SRC-028, SRC-050</x:v>
      </x:c>
      <x:c r="I45" s="17" t="str"/>
    </x:row>
    <x:row r="46" ht="37" customHeight="1">
      <x:c r="A46" s="16" t="str">
        <x:v>OBS-0040</x:v>
      </x:c>
      <x:c r="B46" s="17" t="str">
        <x:v>是</x:v>
      </x:c>
      <x:c r="C46" s="17" t="str">
        <x:v>Carport. Cracks on the retaining wall.</x:v>
      </x:c>
      <x:c r="D46" s="17" t="str">
        <x:v>Retaining wall</x:v>
      </x:c>
      <x:c r="E46" s="19" t="n">
        <x:v>2</x:v>
      </x:c>
      <x:c r="F46" s="19" t="n">
        <x:v>1</x:v>
      </x:c>
      <x:c r="G46" s="16" t="str"/>
      <x:c r="H46" s="16" t="str">
        <x:v>SRC-028</x:v>
      </x:c>
      <x:c r="I46" s="17" t="str"/>
    </x:row>
    <x:row r="47" ht="41" customHeight="1">
      <x:c r="A47" s="16" t="str">
        <x:v>OBS-0041</x:v>
      </x:c>
      <x:c r="B47" s="17" t="str">
        <x:v>是</x:v>
      </x:c>
      <x:c r="C47" s="17" t="str">
        <x:v>Carport. Minor corrosion in areas where hot-dip galvanised coating has been damaged.</x:v>
      </x:c>
      <x:c r="D47" s="17" t="str">
        <x:v>Beams</x:v>
      </x:c>
      <x:c r="E47" s="19" t="n">
        <x:v>2</x:v>
      </x:c>
      <x:c r="F47" s="19" t="n">
        <x:v>1</x:v>
      </x:c>
      <x:c r="G47" s="16" t="str"/>
      <x:c r="H47" s="16" t="str">
        <x:v>SRC-004, SRC-005</x:v>
      </x:c>
      <x:c r="I47" s="17" t="str"/>
    </x:row>
    <x:row r="48" ht="37" customHeight="1">
      <x:c r="A48" s="16" t="str">
        <x:v>OBS-0042</x:v>
      </x:c>
      <x:c r="B48" s="17" t="str">
        <x:v>是</x:v>
      </x:c>
      <x:c r="C48" s="17" t="str">
        <x:v>Column 2. Paint deterioration.</x:v>
      </x:c>
      <x:c r="D48" s="17" t="str">
        <x:v>Shade structure 4 columns and struts</x:v>
      </x:c>
      <x:c r="E48" s="19" t="n">
        <x:v>2</x:v>
      </x:c>
      <x:c r="F48" s="19" t="n">
        <x:v>1</x:v>
      </x:c>
      <x:c r="G48" s="16" t="str">
        <x:v>MRG-0030</x:v>
      </x:c>
      <x:c r="H48" s="16" t="str">
        <x:v>SRC-092</x:v>
      </x:c>
      <x:c r="I48" s="17" t="str"/>
    </x:row>
    <x:row r="49" ht="37" customHeight="1">
      <x:c r="A49" s="16" t="str">
        <x:v>OBS-0043</x:v>
      </x:c>
      <x:c r="B49" s="17" t="str">
        <x:v>是</x:v>
      </x:c>
      <x:c r="C49" s="17" t="str">
        <x:v>Columns in good condition. Salt staining along height.</x:v>
      </x:c>
      <x:c r="D49" s="17" t="str">
        <x:v>Columns</x:v>
      </x:c>
      <x:c r="E49" s="19" t="n">
        <x:v>2</x:v>
      </x:c>
      <x:c r="F49" s="19" t="n">
        <x:v>1</x:v>
      </x:c>
      <x:c r="G49" s="16" t="str"/>
      <x:c r="H49" s="16" t="str">
        <x:v>SRC-058</x:v>
      </x:c>
      <x:c r="I49" s="17" t="str"/>
    </x:row>
    <x:row r="50" ht="37" customHeight="1">
      <x:c r="A50" s="16" t="str">
        <x:v>OBS-0044</x:v>
      </x:c>
      <x:c r="B50" s="17" t="str">
        <x:v>是</x:v>
      </x:c>
      <x:c r="C50" s="17" t="str">
        <x:v>Corroded steel casing for light.</x:v>
      </x:c>
      <x:c r="D50" s="17" t="str">
        <x:v>Lighting</x:v>
      </x:c>
      <x:c r="E50" s="19" t="n">
        <x:v>2</x:v>
      </x:c>
      <x:c r="F50" s="19" t="n">
        <x:v>1</x:v>
      </x:c>
      <x:c r="G50" s="16" t="str"/>
      <x:c r="H50" s="16" t="str">
        <x:v>SRC-006</x:v>
      </x:c>
      <x:c r="I50" s="17" t="str"/>
    </x:row>
    <x:row r="51" ht="37" customHeight="1">
      <x:c r="A51" s="16" t="str">
        <x:v>OBS-0045</x:v>
      </x:c>
      <x:c r="B51" s="17" t="str">
        <x:v>是</x:v>
      </x:c>
      <x:c r="C51" s="17" t="str">
        <x:v>Corrosion delamination towards the lower.</x:v>
      </x:c>
      <x:c r="D51" s="17" t="str">
        <x:v>Backstroke flag posts on the other side</x:v>
      </x:c>
      <x:c r="E51" s="19" t="n">
        <x:v>2</x:v>
      </x:c>
      <x:c r="F51" s="19" t="n">
        <x:v>1</x:v>
      </x:c>
      <x:c r="G51" s="16" t="str">
        <x:v>MRG-0080</x:v>
      </x:c>
      <x:c r="H51" s="16" t="str">
        <x:v>SRC-092</x:v>
      </x:c>
      <x:c r="I51" s="17" t="str"/>
    </x:row>
    <x:row r="52" ht="37" customHeight="1">
      <x:c r="A52" s="16" t="str">
        <x:v>OBS-0046</x:v>
      </x:c>
      <x:c r="B52" s="17" t="str">
        <x:v>是</x:v>
      </x:c>
      <x:c r="C52" s="17" t="str">
        <x:v>Corrosion of the column.</x:v>
      </x:c>
      <x:c r="D52" s="17" t="str">
        <x:v>Light post</x:v>
      </x:c>
      <x:c r="E52" s="19" t="n">
        <x:v>2</x:v>
      </x:c>
      <x:c r="F52" s="19" t="n">
        <x:v>1</x:v>
      </x:c>
      <x:c r="G52" s="16" t="str"/>
      <x:c r="H52" s="16" t="str">
        <x:v>SRC-092</x:v>
      </x:c>
      <x:c r="I52" s="17" t="str"/>
    </x:row>
    <x:row r="53" ht="37" customHeight="1">
      <x:c r="A53" s="16" t="str">
        <x:v>OBS-0047</x:v>
      </x:c>
      <x:c r="B53" s="17" t="str">
        <x:v>是</x:v>
      </x:c>
      <x:c r="C53" s="17" t="str">
        <x:v>Corrosion on roof beams.</x:v>
      </x:c>
      <x:c r="D53" s="17" t="str">
        <x:v>Multipurpose Building - roof beams</x:v>
      </x:c>
      <x:c r="E53" s="19" t="n">
        <x:v>2</x:v>
      </x:c>
      <x:c r="F53" s="19" t="n">
        <x:v>1</x:v>
      </x:c>
      <x:c r="G53" s="16" t="str"/>
      <x:c r="H53" s="16" t="str">
        <x:v>SRC-063</x:v>
      </x:c>
      <x:c r="I53" s="17" t="str"/>
    </x:row>
    <x:row r="54" ht="41" customHeight="1">
      <x:c r="A54" s="16" t="str">
        <x:v>OBS-0048</x:v>
      </x:c>
      <x:c r="B54" s="17" t="str">
        <x:v>是</x:v>
      </x:c>
      <x:c r="C54" s="17" t="str">
        <x:v>Fencing posts on left hand side of property facing the front entrance. Bitumen paint deterioration and corrosion.</x:v>
      </x:c>
      <x:c r="D54" s="17" t="str">
        <x:v>Fencing posts</x:v>
      </x:c>
      <x:c r="E54" s="19" t="n">
        <x:v>2</x:v>
      </x:c>
      <x:c r="F54" s="19" t="n">
        <x:v>1</x:v>
      </x:c>
      <x:c r="G54" s="16" t="str">
        <x:v>MRG-0048, MRG-0061, MRG-0127</x:v>
      </x:c>
      <x:c r="H54" s="16" t="str">
        <x:v>SRC-059</x:v>
      </x:c>
      <x:c r="I54" s="17" t="str"/>
    </x:row>
    <x:row r="55" ht="37" customHeight="1">
      <x:c r="A55" s="16" t="str">
        <x:v>OBS-0049</x:v>
      </x:c>
      <x:c r="B55" s="17" t="str">
        <x:v>是</x:v>
      </x:c>
      <x:c r="C55" s="17" t="str">
        <x:v>Front of property. Cladding in good and framing condition.</x:v>
      </x:c>
      <x:c r="D55" s="17" t="str">
        <x:v>Cladding and framing</x:v>
      </x:c>
      <x:c r="E55" s="19" t="n">
        <x:v>2</x:v>
      </x:c>
      <x:c r="F55" s="19" t="n">
        <x:v>1</x:v>
      </x:c>
      <x:c r="G55" s="16" t="str">
        <x:v>MRG-0163, MRG-0269</x:v>
      </x:c>
      <x:c r="H55" s="16" t="str">
        <x:v>SRC-004, SRC-005</x:v>
      </x:c>
      <x:c r="I55" s="17" t="str"/>
    </x:row>
    <x:row r="56" ht="37" customHeight="1">
      <x:c r="A56" s="16" t="str">
        <x:v>OBS-0050</x:v>
      </x:c>
      <x:c r="B56" s="17" t="str">
        <x:v>是</x:v>
      </x:c>
      <x:c r="C56" s="17" t="str">
        <x:v>Front roof awnings in good condition.</x:v>
      </x:c>
      <x:c r="D56" s="17" t="str">
        <x:v>Roof and awning structures</x:v>
      </x:c>
      <x:c r="E56" s="19" t="n">
        <x:v>2</x:v>
      </x:c>
      <x:c r="F56" s="19" t="n">
        <x:v>1</x:v>
      </x:c>
      <x:c r="G56" s="16" t="str"/>
      <x:c r="H56" s="16" t="str">
        <x:v>SRC-008</x:v>
      </x:c>
      <x:c r="I56" s="17" t="str"/>
    </x:row>
    <x:row r="57" ht="37" customHeight="1">
      <x:c r="A57" s="16" t="str">
        <x:v>OBS-0051</x:v>
      </x:c>
      <x:c r="B57" s="17" t="str">
        <x:v>是</x:v>
      </x:c>
      <x:c r="C57" s="17" t="str">
        <x:v>Front verandah column in good condition.</x:v>
      </x:c>
      <x:c r="D57" s="17" t="str">
        <x:v>Columns</x:v>
      </x:c>
      <x:c r="E57" s="19" t="n">
        <x:v>2</x:v>
      </x:c>
      <x:c r="F57" s="19" t="n">
        <x:v>1</x:v>
      </x:c>
      <x:c r="G57" s="16" t="str">
        <x:v>MRG-0005, MRG-0087, MRG-0111, MRG-0191</x:v>
      </x:c>
      <x:c r="H57" s="16" t="str">
        <x:v>SRC-050, SRC-052</x:v>
      </x:c>
      <x:c r="I57" s="17" t="str"/>
    </x:row>
    <x:row r="58" ht="41" customHeight="1">
      <x:c r="A58" s="16" t="str">
        <x:v>OBS-0052</x:v>
      </x:c>
      <x:c r="B58" s="17" t="str">
        <x:v>是</x:v>
      </x:c>
      <x:c r="C58" s="17" t="str">
        <x:v>Front verandah columns overview</x:v>
      </x:c>
      <x:c r="D58" s="17" t="str">
        <x:v>Carport columns; Verandah columns and beams</x:v>
      </x:c>
      <x:c r="E58" s="19" t="n">
        <x:v>2</x:v>
      </x:c>
      <x:c r="F58" s="19" t="n">
        <x:v>2</x:v>
      </x:c>
      <x:c r="G58" s="16" t="str"/>
      <x:c r="H58" s="16" t="str">
        <x:v>SRC-002, SRC-015</x:v>
      </x:c>
      <x:c r="I58" s="17" t="str"/>
    </x:row>
    <x:row r="59" ht="37" customHeight="1">
      <x:c r="A59" s="16" t="str">
        <x:v>OBS-0053</x:v>
      </x:c>
      <x:c r="B59" s="17" t="str">
        <x:v>是</x:v>
      </x:c>
      <x:c r="C59" s="17" t="str">
        <x:v>Front verandah has salt staining on purlins and rafters.</x:v>
      </x:c>
      <x:c r="D59" s="17" t="str">
        <x:v>Rafters and purlins</x:v>
      </x:c>
      <x:c r="E59" s="19" t="n">
        <x:v>2</x:v>
      </x:c>
      <x:c r="F59" s="19" t="n">
        <x:v>1</x:v>
      </x:c>
      <x:c r="G59" s="16" t="str">
        <x:v>MRG-0031, MRG-0139</x:v>
      </x:c>
      <x:c r="H59" s="16" t="str">
        <x:v>SRC-002</x:v>
      </x:c>
      <x:c r="I59" s="17" t="str"/>
    </x:row>
    <x:row r="60" ht="37" customHeight="1">
      <x:c r="A60" s="16" t="str">
        <x:v>OBS-0054</x:v>
      </x:c>
      <x:c r="B60" s="17" t="str">
        <x:v>是</x:v>
      </x:c>
      <x:c r="C60" s="17" t="str">
        <x:v>Hole in roof where gutter was.</x:v>
      </x:c>
      <x:c r="D60" s="17" t="str">
        <x:v>Purlins and rafters; Roof sheeting</x:v>
      </x:c>
      <x:c r="E60" s="19" t="n">
        <x:v>2</x:v>
      </x:c>
      <x:c r="F60" s="19" t="n">
        <x:v>1</x:v>
      </x:c>
      <x:c r="G60" s="16" t="str"/>
      <x:c r="H60" s="16" t="str">
        <x:v>SRC-048</x:v>
      </x:c>
      <x:c r="I60" s="17" t="str"/>
    </x:row>
    <x:row r="61" ht="37" customHeight="1">
      <x:c r="A61" s="16" t="str">
        <x:v>OBS-0055</x:v>
      </x:c>
      <x:c r="B61" s="17" t="str">
        <x:v>是</x:v>
      </x:c>
      <x:c r="C61" s="17" t="str">
        <x:v>Left hand side columns facing front of house.</x:v>
      </x:c>
      <x:c r="D61" s="17" t="str">
        <x:v>Columns and beams; Columns</x:v>
      </x:c>
      <x:c r="E61" s="19" t="n">
        <x:v>2</x:v>
      </x:c>
      <x:c r="F61" s="19" t="n">
        <x:v>1</x:v>
      </x:c>
      <x:c r="G61" s="16" t="str">
        <x:v>MRG-0065, MRG-0088</x:v>
      </x:c>
      <x:c r="H61" s="16" t="str">
        <x:v>SRC-009, SRC-055</x:v>
      </x:c>
      <x:c r="I61" s="17" t="str"/>
    </x:row>
    <x:row r="62" ht="37" customHeight="1">
      <x:c r="A62" s="16" t="str">
        <x:v>OBS-0056</x:v>
      </x:c>
      <x:c r="B62" s="17" t="str">
        <x:v>是</x:v>
      </x:c>
      <x:c r="C62" s="17" t="str">
        <x:v>Left hand side corner facing front of house. Deterioration of paint.</x:v>
      </x:c>
      <x:c r="D62" s="17" t="str">
        <x:v>Verandah columns and beams</x:v>
      </x:c>
      <x:c r="E62" s="19" t="n">
        <x:v>2</x:v>
      </x:c>
      <x:c r="F62" s="19" t="n">
        <x:v>1</x:v>
      </x:c>
      <x:c r="G62" s="16" t="str"/>
      <x:c r="H62" s="16" t="str">
        <x:v>SRC-014, SRC-015</x:v>
      </x:c>
      <x:c r="I62" s="17" t="str"/>
    </x:row>
    <x:row r="63" ht="37" customHeight="1">
      <x:c r="A63" s="16" t="str">
        <x:v>OBS-0057</x:v>
      </x:c>
      <x:c r="B63" s="17" t="str">
        <x:v>是</x:v>
      </x:c>
      <x:c r="C63" s="17" t="str">
        <x:v>Minor corrosion and salt staining at soffit cladding edge.</x:v>
      </x:c>
      <x:c r="D63" s="17" t="str">
        <x:v>Cladding and framing</x:v>
      </x:c>
      <x:c r="E63" s="19" t="n">
        <x:v>2</x:v>
      </x:c>
      <x:c r="F63" s="19" t="n">
        <x:v>1</x:v>
      </x:c>
      <x:c r="G63" s="16" t="str"/>
      <x:c r="H63" s="16" t="str">
        <x:v>SRC-049, SRC-051</x:v>
      </x:c>
      <x:c r="I63" s="17" t="str"/>
    </x:row>
    <x:row r="64" ht="41" customHeight="1">
      <x:c r="A64" s="16" t="str">
        <x:v>OBS-0058</x:v>
      </x:c>
      <x:c r="B64" s="17" t="str">
        <x:v>是</x:v>
      </x:c>
      <x:c r="C64" s="17" t="str">
        <x:v>Minor corrosion at anchor.</x:v>
      </x:c>
      <x:c r="D64" s="17" t="str">
        <x:v>Shade structure 3 column; Shade structure column</x:v>
      </x:c>
      <x:c r="E64" s="19" t="n">
        <x:v>2</x:v>
      </x:c>
      <x:c r="F64" s="19" t="n">
        <x:v>1</x:v>
      </x:c>
      <x:c r="G64" s="16" t="str"/>
      <x:c r="H64" s="16" t="str">
        <x:v>SRC-092</x:v>
      </x:c>
      <x:c r="I64" s="17" t="str"/>
    </x:row>
    <x:row r="65" ht="37" customHeight="1">
      <x:c r="A65" s="16" t="str">
        <x:v>OBS-0059</x:v>
      </x:c>
      <x:c r="B65" s="17" t="str">
        <x:v>是</x:v>
      </x:c>
      <x:c r="C65" s="17" t="str">
        <x:v>Minor corrosion of PFC flanges.</x:v>
      </x:c>
      <x:c r="D65" s="17" t="str">
        <x:v>Carport PFC purlins</x:v>
      </x:c>
      <x:c r="E65" s="19" t="n">
        <x:v>2</x:v>
      </x:c>
      <x:c r="F65" s="19" t="n">
        <x:v>1</x:v>
      </x:c>
      <x:c r="G65" s="16" t="str"/>
      <x:c r="H65" s="16" t="str">
        <x:v>SRC-029</x:v>
      </x:c>
      <x:c r="I65" s="17" t="str"/>
    </x:row>
    <x:row r="66" ht="37" customHeight="1">
      <x:c r="A66" s="16" t="str">
        <x:v>OBS-0060</x:v>
      </x:c>
      <x:c r="B66" s="17" t="str">
        <x:v>是</x:v>
      </x:c>
      <x:c r="C66" s="17" t="str">
        <x:v>Minor corrosion of Row 1 Column 2.</x:v>
      </x:c>
      <x:c r="D66" s="17" t="str">
        <x:v>Columns</x:v>
      </x:c>
      <x:c r="E66" s="19" t="n">
        <x:v>2</x:v>
      </x:c>
      <x:c r="F66" s="19" t="n">
        <x:v>1</x:v>
      </x:c>
      <x:c r="G66" s="16" t="str"/>
      <x:c r="H66" s="16" t="str">
        <x:v>SRC-023</x:v>
      </x:c>
      <x:c r="I66" s="17" t="str"/>
    </x:row>
    <x:row r="67" ht="37" customHeight="1">
      <x:c r="A67" s="16" t="str">
        <x:v>OBS-0061</x:v>
      </x:c>
      <x:c r="B67" s="17" t="str">
        <x:v>是</x:v>
      </x:c>
      <x:c r="C67" s="17" t="str">
        <x:v>Minor corrosion of bolted connections.</x:v>
      </x:c>
      <x:c r="D67" s="17" t="str">
        <x:v>Back verandah roof bolted connections</x:v>
      </x:c>
      <x:c r="E67" s="19" t="n">
        <x:v>2</x:v>
      </x:c>
      <x:c r="F67" s="19" t="n">
        <x:v>1</x:v>
      </x:c>
      <x:c r="G67" s="16" t="str"/>
      <x:c r="H67" s="16" t="str">
        <x:v>SRC-092</x:v>
      </x:c>
      <x:c r="I67" s="17" t="str"/>
    </x:row>
    <x:row r="68" ht="37" customHeight="1">
      <x:c r="A68" s="16" t="str">
        <x:v>OBS-0062</x:v>
      </x:c>
      <x:c r="B68" s="17" t="str">
        <x:v>是</x:v>
      </x:c>
      <x:c r="C68" s="17" t="str">
        <x:v>Minor corrosion of fencing posts.</x:v>
      </x:c>
      <x:c r="D68" s="17" t="str">
        <x:v>Fencing</x:v>
      </x:c>
      <x:c r="E68" s="19" t="n">
        <x:v>2</x:v>
      </x:c>
      <x:c r="F68" s="19" t="n">
        <x:v>1</x:v>
      </x:c>
      <x:c r="G68" s="16" t="str"/>
      <x:c r="H68" s="16" t="str">
        <x:v>SRC-058</x:v>
      </x:c>
      <x:c r="I68" s="17" t="str"/>
    </x:row>
    <x:row r="69" ht="37" customHeight="1">
      <x:c r="A69" s="16" t="str">
        <x:v>OBS-0063</x:v>
      </x:c>
      <x:c r="B69" s="17" t="str">
        <x:v>是</x:v>
      </x:c>
      <x:c r="C69" s="17" t="str">
        <x:v>Minor corrosion of rafters.</x:v>
      </x:c>
      <x:c r="D69" s="17" t="str">
        <x:v>Rafters</x:v>
      </x:c>
      <x:c r="E69" s="19" t="n">
        <x:v>2</x:v>
      </x:c>
      <x:c r="F69" s="19" t="n">
        <x:v>1</x:v>
      </x:c>
      <x:c r="G69" s="16" t="str"/>
      <x:c r="H69" s="16" t="str">
        <x:v>SRC-029</x:v>
      </x:c>
      <x:c r="I69" s="17" t="str"/>
    </x:row>
    <x:row r="70" ht="37" customHeight="1">
      <x:c r="A70" s="16" t="str">
        <x:v>OBS-0064</x:v>
      </x:c>
      <x:c r="B70" s="17" t="str">
        <x:v>是</x:v>
      </x:c>
      <x:c r="C70" s="17" t="str">
        <x:v>Minor corrosion of sheeting at corner.</x:v>
      </x:c>
      <x:c r="D70" s="17" t="str">
        <x:v>Roof sheeting</x:v>
      </x:c>
      <x:c r="E70" s="19" t="n">
        <x:v>2</x:v>
      </x:c>
      <x:c r="F70" s="19" t="n">
        <x:v>1</x:v>
      </x:c>
      <x:c r="G70" s="16" t="str"/>
      <x:c r="H70" s="16" t="str">
        <x:v>SRC-071</x:v>
      </x:c>
      <x:c r="I70" s="17" t="str"/>
    </x:row>
    <x:row r="71" ht="37" customHeight="1">
      <x:c r="A71" s="16" t="str">
        <x:v>OBS-0065</x:v>
      </x:c>
      <x:c r="B71" s="17" t="str">
        <x:v>是</x:v>
      </x:c>
      <x:c r="C71" s="17" t="str">
        <x:v>Minor corrosion on bolts.</x:v>
      </x:c>
      <x:c r="D71" s="17" t="str">
        <x:v>Childhood Centre verandah</x:v>
      </x:c>
      <x:c r="E71" s="19" t="n">
        <x:v>2</x:v>
      </x:c>
      <x:c r="F71" s="19" t="n">
        <x:v>1</x:v>
      </x:c>
      <x:c r="G71" s="16" t="str">
        <x:v>MRG-0145</x:v>
      </x:c>
      <x:c r="H71" s="16" t="str">
        <x:v>SRC-063</x:v>
      </x:c>
      <x:c r="I71" s="17" t="str"/>
    </x:row>
    <x:row r="72" ht="41" customHeight="1">
      <x:c r="A72" s="16" t="str">
        <x:v>OBS-0066</x:v>
      </x:c>
      <x:c r="B72" s="17" t="str">
        <x:v>是</x:v>
      </x:c>
      <x:c r="C72" s="17" t="str">
        <x:v>Minor corrosion on roof sheeting</x:v>
      </x:c>
      <x:c r="D72" s="17" t="str">
        <x:v>Cladding and framing; Standalone verandah</x:v>
      </x:c>
      <x:c r="E72" s="19" t="n">
        <x:v>2</x:v>
      </x:c>
      <x:c r="F72" s="19" t="n">
        <x:v>2</x:v>
      </x:c>
      <x:c r="G72" s="16" t="str">
        <x:v>MRG-0093, MRG-0180</x:v>
      </x:c>
      <x:c r="H72" s="16" t="str">
        <x:v>SRC-059, SRC-063</x:v>
      </x:c>
      <x:c r="I72" s="17" t="str"/>
    </x:row>
    <x:row r="73" ht="37" customHeight="1">
      <x:c r="A73" s="16" t="str">
        <x:v>OBS-0067</x:v>
      </x:c>
      <x:c r="B73" s="17" t="str">
        <x:v>是</x:v>
      </x:c>
      <x:c r="C73" s="17" t="str">
        <x:v>Minor corrosion towards lower section of column.</x:v>
      </x:c>
      <x:c r="D73" s="17" t="str">
        <x:v>Sign steel frame</x:v>
      </x:c>
      <x:c r="E73" s="19" t="n">
        <x:v>2</x:v>
      </x:c>
      <x:c r="F73" s="19" t="n">
        <x:v>1</x:v>
      </x:c>
      <x:c r="G73" s="16" t="str">
        <x:v>MRG-0067, MRG-0165</x:v>
      </x:c>
      <x:c r="H73" s="16" t="str">
        <x:v>SRC-100</x:v>
      </x:c>
      <x:c r="I73" s="17" t="str"/>
    </x:row>
    <x:row r="74" ht="37" customHeight="1">
      <x:c r="A74" s="16" t="str">
        <x:v>OBS-0068</x:v>
      </x:c>
      <x:c r="B74" s="17" t="str">
        <x:v>是</x:v>
      </x:c>
      <x:c r="C74" s="17" t="str">
        <x:v>Minor corrosion where water ponding has occurred.</x:v>
      </x:c>
      <x:c r="D74" s="17" t="str">
        <x:v>Shed cladding</x:v>
      </x:c>
      <x:c r="E74" s="19" t="n">
        <x:v>2</x:v>
      </x:c>
      <x:c r="F74" s="19" t="n">
        <x:v>1</x:v>
      </x:c>
      <x:c r="G74" s="16" t="str"/>
      <x:c r="H74" s="16" t="str">
        <x:v>SRC-063</x:v>
      </x:c>
      <x:c r="I74" s="17" t="str"/>
    </x:row>
    <x:row r="75" ht="37" customHeight="1">
      <x:c r="A75" s="16" t="str">
        <x:v>OBS-0069</x:v>
      </x:c>
      <x:c r="B75" s="17" t="str">
        <x:v>是</x:v>
      </x:c>
      <x:c r="C75" s="17" t="str">
        <x:v>Minor salt staining and paint deterioration on back verandah column.</x:v>
      </x:c>
      <x:c r="D75" s="17" t="str">
        <x:v>Back verandah columns</x:v>
      </x:c>
      <x:c r="E75" s="19" t="n">
        <x:v>2</x:v>
      </x:c>
      <x:c r="F75" s="19" t="n">
        <x:v>1</x:v>
      </x:c>
      <x:c r="G75" s="16" t="str"/>
      <x:c r="H75" s="16" t="str">
        <x:v>SRC-008</x:v>
      </x:c>
      <x:c r="I75" s="17" t="str"/>
    </x:row>
    <x:row r="76" ht="41" customHeight="1">
      <x:c r="A76" s="16" t="str">
        <x:v>OBS-0070</x:v>
      </x:c>
      <x:c r="B76" s="17" t="str">
        <x:v>是</x:v>
      </x:c>
      <x:c r="C76" s="17" t="str">
        <x:v>Minor surface corrosion of top steel plate.</x:v>
      </x:c>
      <x:c r="D76" s="17" t="str">
        <x:v>Cladding and framing; Front verandah beams</x:v>
      </x:c>
      <x:c r="E76" s="19" t="n">
        <x:v>2</x:v>
      </x:c>
      <x:c r="F76" s="19" t="n">
        <x:v>1</x:v>
      </x:c>
      <x:c r="G76" s="16" t="str"/>
      <x:c r="H76" s="16" t="str">
        <x:v>SRC-010, SRC-012</x:v>
      </x:c>
      <x:c r="I76" s="17" t="str"/>
    </x:row>
    <x:row r="77" ht="37" customHeight="1">
      <x:c r="A77" s="16" t="str">
        <x:v>OBS-0071</x:v>
      </x:c>
      <x:c r="B77" s="17" t="str">
        <x:v>是</x:v>
      </x:c>
      <x:c r="C77" s="17" t="str">
        <x:v>Overview of backyard verandah.</x:v>
      </x:c>
      <x:c r="D77" s="17" t="str">
        <x:v>Verandah tie downs and joists; Columns</x:v>
      </x:c>
      <x:c r="E77" s="19" t="n">
        <x:v>2</x:v>
      </x:c>
      <x:c r="F77" s="19" t="n">
        <x:v>1</x:v>
      </x:c>
      <x:c r="G77" s="16" t="str">
        <x:v>MRG-0192</x:v>
      </x:c>
      <x:c r="H77" s="16" t="str">
        <x:v>SRC-057</x:v>
      </x:c>
      <x:c r="I77" s="17" t="str"/>
    </x:row>
    <x:row r="78" ht="37" customHeight="1">
      <x:c r="A78" s="16" t="str">
        <x:v>OBS-0072</x:v>
      </x:c>
      <x:c r="B78" s="17" t="str">
        <x:v>是</x:v>
      </x:c>
      <x:c r="C78" s="17" t="str">
        <x:v>Overview of carport.</x:v>
      </x:c>
      <x:c r="D78" s="17" t="str">
        <x:v>Beams; Carport column baseplate</x:v>
      </x:c>
      <x:c r="E78" s="19" t="n">
        <x:v>2</x:v>
      </x:c>
      <x:c r="F78" s="19" t="n">
        <x:v>1</x:v>
      </x:c>
      <x:c r="G78" s="16" t="str">
        <x:v>MRG-0085</x:v>
      </x:c>
      <x:c r="H78" s="16" t="str">
        <x:v>SRC-005, SRC-029</x:v>
      </x:c>
      <x:c r="I78" s="17" t="str"/>
    </x:row>
    <x:row r="79" ht="41" customHeight="1">
      <x:c r="A79" s="16" t="str">
        <x:v>OBS-0073</x:v>
      </x:c>
      <x:c r="B79" s="17" t="str">
        <x:v>是</x:v>
      </x:c>
      <x:c r="C79" s="17" t="str">
        <x:v>Overview of circular steel retaining structure.</x:v>
      </x:c>
      <x:c r="D79" s="17" t="str">
        <x:v>circular steel retaining structure; Rectangular steel retaining structures</x:v>
      </x:c>
      <x:c r="E79" s="19" t="n">
        <x:v>2</x:v>
      </x:c>
      <x:c r="F79" s="19" t="n">
        <x:v>1</x:v>
      </x:c>
      <x:c r="G79" s="16" t="str"/>
      <x:c r="H79" s="16" t="str">
        <x:v>SRC-098, SRC-099</x:v>
      </x:c>
      <x:c r="I79" s="17" t="str"/>
    </x:row>
    <x:row r="80" ht="37" customHeight="1">
      <x:c r="A80" s="16" t="str">
        <x:v>OBS-0074</x:v>
      </x:c>
      <x:c r="B80" s="17" t="str">
        <x:v>是</x:v>
      </x:c>
      <x:c r="C80" s="17" t="str">
        <x:v>Overview of property.</x:v>
      </x:c>
      <x:c r="D80" s="17" t="str">
        <x:v>Purlins and rafters; Beams</x:v>
      </x:c>
      <x:c r="E80" s="19" t="n">
        <x:v>2</x:v>
      </x:c>
      <x:c r="F80" s="19" t="n">
        <x:v>1</x:v>
      </x:c>
      <x:c r="G80" s="16" t="str"/>
      <x:c r="H80" s="16" t="str">
        <x:v>SRC-003, SRC-004</x:v>
      </x:c>
      <x:c r="I80" s="17" t="str"/>
    </x:row>
    <x:row r="81" ht="41" customHeight="1">
      <x:c r="A81" s="16" t="str">
        <x:v>OBS-0075</x:v>
      </x:c>
      <x:c r="B81" s="17" t="str">
        <x:v>是</x:v>
      </x:c>
      <x:c r="C81" s="17" t="str">
        <x:v>Overview of purple steel shell.</x:v>
      </x:c>
      <x:c r="D81" s="17" t="str">
        <x:v>Purple steel shell; Purple steel shell and circular retaining structure</x:v>
      </x:c>
      <x:c r="E81" s="19" t="n">
        <x:v>2</x:v>
      </x:c>
      <x:c r="F81" s="19" t="n">
        <x:v>1</x:v>
      </x:c>
      <x:c r="G81" s="16" t="str"/>
      <x:c r="H81" s="16" t="str">
        <x:v>SRC-098, SRC-099</x:v>
      </x:c>
      <x:c r="I81" s="17" t="str"/>
    </x:row>
    <x:row r="82" ht="37" customHeight="1">
      <x:c r="A82" s="16" t="str">
        <x:v>OBS-0076</x:v>
      </x:c>
      <x:c r="B82" s="17" t="str">
        <x:v>是</x:v>
      </x:c>
      <x:c r="C82" s="17" t="str">
        <x:v>Overview of seat.</x:v>
      </x:c>
      <x:c r="D82" s="17" t="str">
        <x:v>Front entrance seat; Seats</x:v>
      </x:c>
      <x:c r="E82" s="19" t="n">
        <x:v>2</x:v>
      </x:c>
      <x:c r="F82" s="19" t="n">
        <x:v>1</x:v>
      </x:c>
      <x:c r="G82" s="16" t="str"/>
      <x:c r="H82" s="16" t="str">
        <x:v>SRC-063</x:v>
      </x:c>
      <x:c r="I82" s="17" t="str"/>
    </x:row>
    <x:row r="83" ht="37" customHeight="1">
      <x:c r="A83" s="16" t="str">
        <x:v>OBS-0077</x:v>
      </x:c>
      <x:c r="B83" s="17" t="str">
        <x:v>是</x:v>
      </x:c>
      <x:c r="C83" s="17" t="str">
        <x:v>Overview of table and seating. Minor corrosion to all areas.</x:v>
      </x:c>
      <x:c r="D83" s="17" t="str">
        <x:v>Table and seating</x:v>
      </x:c>
      <x:c r="E83" s="19" t="n">
        <x:v>2</x:v>
      </x:c>
      <x:c r="F83" s="19" t="n">
        <x:v>1</x:v>
      </x:c>
      <x:c r="G83" s="16" t="str"/>
      <x:c r="H83" s="16" t="str">
        <x:v>SRC-071</x:v>
      </x:c>
      <x:c r="I83" s="17" t="str"/>
    </x:row>
    <x:row r="84" ht="37" customHeight="1">
      <x:c r="A84" s="16" t="str">
        <x:v>OBS-0078</x:v>
      </x:c>
      <x:c r="B84" s="17" t="str">
        <x:v>是</x:v>
      </x:c>
      <x:c r="C84" s="17" t="str">
        <x:v>Porch verandah in good condition</x:v>
      </x:c>
      <x:c r="D84" s="17" t="str">
        <x:v>Purlins and rafters</x:v>
      </x:c>
      <x:c r="E84" s="19" t="n">
        <x:v>2</x:v>
      </x:c>
      <x:c r="F84" s="19" t="n">
        <x:v>1</x:v>
      </x:c>
      <x:c r="G84" s="16" t="str">
        <x:v>MRG-0079, MRG-0100, MRG-0121, MRG-0195</x:v>
      </x:c>
      <x:c r="H84" s="16" t="str">
        <x:v>SRC-001, SRC-062</x:v>
      </x:c>
      <x:c r="I84" s="17" t="str"/>
    </x:row>
    <x:row r="85" ht="37" customHeight="1">
      <x:c r="A85" s="16" t="str">
        <x:v>OBS-0079</x:v>
      </x:c>
      <x:c r="B85" s="17" t="str">
        <x:v>是</x:v>
      </x:c>
      <x:c r="C85" s="17" t="str">
        <x:v>Row 6 Column 2.</x:v>
      </x:c>
      <x:c r="D85" s="17" t="str">
        <x:v>Steel frame columns</x:v>
      </x:c>
      <x:c r="E85" s="19" t="n">
        <x:v>2</x:v>
      </x:c>
      <x:c r="F85" s="19" t="n">
        <x:v>1</x:v>
      </x:c>
      <x:c r="G85" s="16" t="str">
        <x:v>MRG-0054, MRG-0055</x:v>
      </x:c>
      <x:c r="H85" s="16" t="str">
        <x:v>SRC-100</x:v>
      </x:c>
      <x:c r="I85" s="17" t="str"/>
    </x:row>
    <x:row r="86" ht="37" customHeight="1">
      <x:c r="A86" s="16" t="str">
        <x:v>OBS-0080</x:v>
      </x:c>
      <x:c r="B86" s="17" t="str">
        <x:v>是</x:v>
      </x:c>
      <x:c r="C86" s="17" t="str">
        <x:v>Salt staining at corner of window frame, typical to most windows.</x:v>
      </x:c>
      <x:c r="D86" s="17" t="str">
        <x:v>Cladding and framing</x:v>
      </x:c>
      <x:c r="E86" s="19" t="n">
        <x:v>2</x:v>
      </x:c>
      <x:c r="F86" s="19" t="n">
        <x:v>1</x:v>
      </x:c>
      <x:c r="G86" s="16" t="str">
        <x:v>MRG-0164</x:v>
      </x:c>
      <x:c r="H86" s="16" t="str">
        <x:v>SRC-051, SRC-059</x:v>
      </x:c>
      <x:c r="I86" s="17" t="str"/>
    </x:row>
    <x:row r="87" ht="37" customHeight="1">
      <x:c r="A87" s="16" t="str">
        <x:v>OBS-0081</x:v>
      </x:c>
      <x:c r="B87" s="17" t="str">
        <x:v>是</x:v>
      </x:c>
      <x:c r="C87" s="17" t="str">
        <x:v>Salt staining on wall cladding on window frame, typical to most windows.</x:v>
      </x:c>
      <x:c r="D87" s="17" t="str">
        <x:v>Cladding and framing</x:v>
      </x:c>
      <x:c r="E87" s="19" t="n">
        <x:v>2</x:v>
      </x:c>
      <x:c r="F87" s="19" t="n">
        <x:v>1</x:v>
      </x:c>
      <x:c r="G87" s="16" t="str">
        <x:v>MRG-0164</x:v>
      </x:c>
      <x:c r="H87" s="16" t="str">
        <x:v>SRC-027, SRC-049</x:v>
      </x:c>
      <x:c r="I87" s="17" t="str"/>
    </x:row>
    <x:row r="88" ht="37" customHeight="1">
      <x:c r="A88" s="16" t="str">
        <x:v>OBS-0082</x:v>
      </x:c>
      <x:c r="B88" s="17" t="str">
        <x:v>是</x:v>
      </x:c>
      <x:c r="C88" s="17" t="str">
        <x:v>Salt staining to back wall cladding at bolted connections.</x:v>
      </x:c>
      <x:c r="D88" s="17" t="str">
        <x:v>Cladding and framing</x:v>
      </x:c>
      <x:c r="E88" s="19" t="n">
        <x:v>2</x:v>
      </x:c>
      <x:c r="F88" s="19" t="n">
        <x:v>1</x:v>
      </x:c>
      <x:c r="G88" s="16" t="str">
        <x:v>MRG-0045</x:v>
      </x:c>
      <x:c r="H88" s="16" t="str">
        <x:v>SRC-055, SRC-059</x:v>
      </x:c>
      <x:c r="I88" s="17" t="str"/>
    </x:row>
    <x:row r="89" ht="37" customHeight="1">
      <x:c r="A89" s="16" t="str">
        <x:v>OBS-0083</x:v>
      </x:c>
      <x:c r="B89" s="17" t="str">
        <x:v>是</x:v>
      </x:c>
      <x:c r="C89" s="17" t="str">
        <x:v>Salt staining.</x:v>
      </x:c>
      <x:c r="D89" s="17" t="str">
        <x:v>Purlins and rafters</x:v>
      </x:c>
      <x:c r="E89" s="19" t="n">
        <x:v>2</x:v>
      </x:c>
      <x:c r="F89" s="19" t="n">
        <x:v>1</x:v>
      </x:c>
      <x:c r="G89" s="16" t="str"/>
      <x:c r="H89" s="16" t="str">
        <x:v>SRC-001, SRC-059</x:v>
      </x:c>
      <x:c r="I89" s="17" t="str"/>
    </x:row>
    <x:row r="90" ht="37" customHeight="1">
      <x:c r="A90" s="16" t="str">
        <x:v>OBS-0084</x:v>
      </x:c>
      <x:c r="B90" s="17" t="str">
        <x:v>是</x:v>
      </x:c>
      <x:c r="C90" s="17" t="str">
        <x:v>Side roof overhang in good condition.</x:v>
      </x:c>
      <x:c r="D90" s="17" t="str">
        <x:v>Purlins and rafters</x:v>
      </x:c>
      <x:c r="E90" s="19" t="n">
        <x:v>2</x:v>
      </x:c>
      <x:c r="F90" s="19" t="n">
        <x:v>1</x:v>
      </x:c>
      <x:c r="G90" s="16" t="str"/>
      <x:c r="H90" s="16" t="str">
        <x:v>SRC-001, SRC-062</x:v>
      </x:c>
      <x:c r="I90" s="17" t="str"/>
    </x:row>
    <x:row r="91" ht="41" customHeight="1">
      <x:c r="A91" s="16" t="str">
        <x:v>OBS-0085</x:v>
      </x:c>
      <x:c r="B91" s="17" t="str">
        <x:v>是</x:v>
      </x:c>
      <x:c r="C91" s="17" t="str">
        <x:v>Staining.</x:v>
      </x:c>
      <x:c r="D91" s="17" t="str">
        <x:v>Cemetery Beach Sculpture; Rectangular steel retaining structures</x:v>
      </x:c>
      <x:c r="E91" s="19" t="n">
        <x:v>2</x:v>
      </x:c>
      <x:c r="F91" s="19" t="n">
        <x:v>1</x:v>
      </x:c>
      <x:c r="G91" s="16" t="str"/>
      <x:c r="H91" s="16" t="str">
        <x:v>SRC-070, SRC-099</x:v>
      </x:c>
      <x:c r="I91" s="17" t="str"/>
    </x:row>
    <x:row r="92" ht="37" customHeight="1">
      <x:c r="A92" s="16" t="str">
        <x:v>OBS-0086</x:v>
      </x:c>
      <x:c r="B92" s="17" t="str">
        <x:v>是</x:v>
      </x:c>
      <x:c r="C92" s="17" t="str">
        <x:v>Surface corrosion at pipe outlet</x:v>
      </x:c>
      <x:c r="D92" s="17" t="str">
        <x:v>Steel cladding</x:v>
      </x:c>
      <x:c r="E92" s="19" t="n">
        <x:v>2</x:v>
      </x:c>
      <x:c r="F92" s="19" t="n">
        <x:v>1</x:v>
      </x:c>
      <x:c r="G92" s="16" t="str"/>
      <x:c r="H92" s="16" t="str">
        <x:v>SRC-014, SRC-015</x:v>
      </x:c>
      <x:c r="I92" s="17" t="str"/>
    </x:row>
    <x:row r="93" ht="37" customHeight="1">
      <x:c r="A93" s="16" t="str">
        <x:v>OBS-0087</x:v>
      </x:c>
      <x:c r="B93" s="17" t="str">
        <x:v>是</x:v>
      </x:c>
      <x:c r="C93" s="17" t="str">
        <x:v>Timber splitting and rotting towards the lower section.</x:v>
      </x:c>
      <x:c r="D93" s="17" t="str">
        <x:v>Sculpture D</x:v>
      </x:c>
      <x:c r="E93" s="19" t="n">
        <x:v>2</x:v>
      </x:c>
      <x:c r="F93" s="19" t="n">
        <x:v>1</x:v>
      </x:c>
      <x:c r="G93" s="16" t="str">
        <x:v>MRG-0044</x:v>
      </x:c>
      <x:c r="H93" s="16" t="str">
        <x:v>SRC-094</x:v>
      </x:c>
      <x:c r="I93" s="17" t="str"/>
    </x:row>
    <x:row r="94" ht="37" customHeight="1">
      <x:c r="A94" s="16" t="str">
        <x:v>OBS-0088</x:v>
      </x:c>
      <x:c r="B94" s="17" t="str">
        <x:v>是</x:v>
      </x:c>
      <x:c r="C94" s="17" t="str">
        <x:v>Welds at baseplate corroded away.</x:v>
      </x:c>
      <x:c r="D94" s="17" t="str">
        <x:v>Front entrance seat; Seats</x:v>
      </x:c>
      <x:c r="E94" s="19" t="n">
        <x:v>2</x:v>
      </x:c>
      <x:c r="F94" s="19" t="n">
        <x:v>1</x:v>
      </x:c>
      <x:c r="G94" s="16" t="str"/>
      <x:c r="H94" s="16" t="str">
        <x:v>SRC-063</x:v>
      </x:c>
      <x:c r="I94" s="17" t="str"/>
    </x:row>
    <x:row r="95" ht="37" customHeight="1">
      <x:c r="A95" s="16" t="str">
        <x:v>OBS-0089</x:v>
      </x:c>
      <x:c r="B95" s="17" t="str">
        <x:v>是</x:v>
      </x:c>
      <x:c r="C95" s="17" t="str">
        <x:v>Window is right hand side of front door. Screws are missing or loose.</x:v>
      </x:c>
      <x:c r="D95" s="17" t="str">
        <x:v>Cladding and framing</x:v>
      </x:c>
      <x:c r="E95" s="19" t="n">
        <x:v>2</x:v>
      </x:c>
      <x:c r="F95" s="19" t="n">
        <x:v>1</x:v>
      </x:c>
      <x:c r="G95" s="16" t="str"/>
      <x:c r="H95" s="16" t="str">
        <x:v>SRC-048</x:v>
      </x:c>
      <x:c r="I95" s="17" t="str"/>
    </x:row>
    <x:row r="96" ht="41" customHeight="1">
      <x:c r="A96" s="16" t="str">
        <x:v>OBS-0090</x:v>
      </x:c>
      <x:c r="B96" s="17" t="str">
        <x:v>是</x:v>
      </x:c>
      <x:c r="C96" s="17" t="str">
        <x:v>verandah overview.</x:v>
      </x:c>
      <x:c r="D96" s="17" t="str">
        <x:v>Standalone verandah; Multipurpose Building verandah</x:v>
      </x:c>
      <x:c r="E96" s="19" t="n">
        <x:v>2</x:v>
      </x:c>
      <x:c r="F96" s="19" t="n">
        <x:v>1</x:v>
      </x:c>
      <x:c r="G96" s="16" t="str">
        <x:v>MRG-0133</x:v>
      </x:c>
      <x:c r="H96" s="16" t="str">
        <x:v>SRC-063</x:v>
      </x:c>
      <x:c r="I96" s="17" t="str"/>
    </x:row>
    <x:row r="97" ht="41" customHeight="1">
      <x:c r="A97" s="16" t="str">
        <x:v>OBS-0091</x:v>
      </x:c>
      <x:c r="B97" s="17" t="str">
        <x:v>是</x:v>
      </x:c>
      <x:c r="C97" s="17" t="str">
        <x:v>Adjacent to front door. Minor corrosion at corner of window, typical to most windows. Staining on wall cladding at bolted connection.</x:v>
      </x:c>
      <x:c r="D97" s="17" t="str">
        <x:v>Cladding and framing</x:v>
      </x:c>
      <x:c r="E97" s="19" t="n">
        <x:v>1</x:v>
      </x:c>
      <x:c r="F97" s="19" t="n">
        <x:v>1</x:v>
      </x:c>
      <x:c r="G97" s="16" t="str">
        <x:v>MRG-0062, MRG-0086, MRG-0109</x:v>
      </x:c>
      <x:c r="H97" s="16" t="str">
        <x:v>SRC-023</x:v>
      </x:c>
      <x:c r="I97" s="17" t="str"/>
    </x:row>
    <x:row r="98" ht="37" customHeight="1">
      <x:c r="A98" s="16" t="str">
        <x:v>OBS-0092</x:v>
      </x:c>
      <x:c r="B98" s="17" t="str">
        <x:v>是</x:v>
      </x:c>
      <x:c r="C98" s="17" t="str">
        <x:v>Adjacent to front entrance. Damp proof course corroded away.</x:v>
      </x:c>
      <x:c r="D98" s="17" t="str">
        <x:v>Damp proof course</x:v>
      </x:c>
      <x:c r="E98" s="19" t="n">
        <x:v>1</x:v>
      </x:c>
      <x:c r="F98" s="19" t="n">
        <x:v>1</x:v>
      </x:c>
      <x:c r="G98" s="16" t="str"/>
      <x:c r="H98" s="16" t="str">
        <x:v>SRC-012</x:v>
      </x:c>
      <x:c r="I98" s="17" t="str"/>
    </x:row>
    <x:row r="99" ht="37" customHeight="1">
      <x:c r="A99" s="16" t="str">
        <x:v>OBS-0093</x:v>
      </x:c>
      <x:c r="B99" s="17" t="str">
        <x:v>是</x:v>
      </x:c>
      <x:c r="C99" s="17" t="str">
        <x:v>All cladding in good condition.</x:v>
      </x:c>
      <x:c r="D99" s="17" t="str">
        <x:v>Cladding and framing</x:v>
      </x:c>
      <x:c r="E99" s="19" t="n">
        <x:v>1</x:v>
      </x:c>
      <x:c r="F99" s="19" t="n">
        <x:v>1</x:v>
      </x:c>
      <x:c r="G99" s="16" t="str">
        <x:v>MRG-0070, MRG-0077, MRG-0094, MRG-0134, MRG-0137</x:v>
      </x:c>
      <x:c r="H99" s="16" t="str">
        <x:v>SRC-061</x:v>
      </x:c>
      <x:c r="I99" s="17" t="str"/>
    </x:row>
    <x:row r="100" ht="37" customHeight="1">
      <x:c r="A100" s="16" t="str">
        <x:v>OBS-0094</x:v>
      </x:c>
      <x:c r="B100" s="17" t="str">
        <x:v>是</x:v>
      </x:c>
      <x:c r="C100" s="17" t="str">
        <x:v>All seats are in similar condition. Corrosion towards lower section of support.</x:v>
      </x:c>
      <x:c r="D100" s="17" t="str">
        <x:v>Seat supports</x:v>
      </x:c>
      <x:c r="E100" s="19" t="n">
        <x:v>1</x:v>
      </x:c>
      <x:c r="F100" s="19" t="n">
        <x:v>1</x:v>
      </x:c>
      <x:c r="G100" s="16" t="str"/>
      <x:c r="H100" s="16" t="str">
        <x:v>SRC-094</x:v>
      </x:c>
      <x:c r="I100" s="17" t="str"/>
    </x:row>
    <x:row r="101" ht="37" customHeight="1">
      <x:c r="A101" s="16" t="str">
        <x:v>OBS-0095</x:v>
      </x:c>
      <x:c r="B101" s="17" t="str">
        <x:v>是</x:v>
      </x:c>
      <x:c r="C101" s="17" t="str">
        <x:v>All tie downs are corroded.</x:v>
      </x:c>
      <x:c r="D101" s="17" t="str">
        <x:v>Verandah tie downs and joists</x:v>
      </x:c>
      <x:c r="E101" s="19" t="n">
        <x:v>1</x:v>
      </x:c>
      <x:c r="F101" s="19" t="n">
        <x:v>1</x:v>
      </x:c>
      <x:c r="G101" s="16" t="str"/>
      <x:c r="H101" s="16" t="str">
        <x:v>SRC-057</x:v>
      </x:c>
      <x:c r="I101" s="17" t="str"/>
    </x:row>
    <x:row r="102" ht="41" customHeight="1">
      <x:c r="A102" s="16" t="str">
        <x:v>OBS-0096</x:v>
      </x:c>
      <x:c r="B102" s="17" t="str">
        <x:v>是</x:v>
      </x:c>
      <x:c r="C102" s="17" t="str">
        <x:v>Antenna attached to rafter on left hand side of house facing front of house. Loose bolts, separation between side plate and rafter.</x:v>
      </x:c>
      <x:c r="D102" s="17" t="str">
        <x:v>Antenna</x:v>
      </x:c>
      <x:c r="E102" s="19" t="n">
        <x:v>1</x:v>
      </x:c>
      <x:c r="F102" s="19" t="n">
        <x:v>1</x:v>
      </x:c>
      <x:c r="G102" s="16" t="str"/>
      <x:c r="H102" s="16" t="str">
        <x:v>SRC-060</x:v>
      </x:c>
      <x:c r="I102" s="17" t="str"/>
    </x:row>
    <x:row r="103" ht="41" customHeight="1">
      <x:c r="A103" s="16" t="str">
        <x:v>OBS-0097</x:v>
      </x:c>
      <x:c r="B103" s="17" t="str">
        <x:v>是</x:v>
      </x:c>
      <x:c r="C103" s="17" t="str">
        <x:v>At west side of house, minor corrosion of tap hats to the entire length. Minor surface corrosion of rectangular hollow section rafters.</x:v>
      </x:c>
      <x:c r="D103" s="17" t="str">
        <x:v>Top hat purlins and Tek screws</x:v>
      </x:c>
      <x:c r="E103" s="19" t="n">
        <x:v>1</x:v>
      </x:c>
      <x:c r="F103" s="19" t="n">
        <x:v>1</x:v>
      </x:c>
      <x:c r="G103" s="16" t="str"/>
      <x:c r="H103" s="16" t="str">
        <x:v>SRC-029</x:v>
      </x:c>
      <x:c r="I103" s="17" t="str"/>
    </x:row>
    <x:row r="104" ht="37" customHeight="1">
      <x:c r="A104" s="16" t="str">
        <x:v>OBS-0098</x:v>
      </x:c>
      <x:c r="B104" s="17" t="str">
        <x:v>是</x:v>
      </x:c>
      <x:c r="C104" s="17" t="str">
        <x:v>Back balcony. Minor cracking extending from supporting columns.</x:v>
      </x:c>
      <x:c r="D104" s="17" t="str">
        <x:v>Concrete slab</x:v>
      </x:c>
      <x:c r="E104" s="19" t="n">
        <x:v>1</x:v>
      </x:c>
      <x:c r="F104" s="19" t="n">
        <x:v>1</x:v>
      </x:c>
      <x:c r="G104" s="16" t="str"/>
      <x:c r="H104" s="16" t="str">
        <x:v>SRC-096</x:v>
      </x:c>
      <x:c r="I104" s="17" t="str"/>
    </x:row>
    <x:row r="105" ht="37" customHeight="1">
      <x:c r="A105" s="16" t="str">
        <x:v>OBS-0099</x:v>
      </x:c>
      <x:c r="B105" s="17" t="str">
        <x:v>是</x:v>
      </x:c>
      <x:c r="C105" s="17" t="str">
        <x:v>Back cladding in good condition.</x:v>
      </x:c>
      <x:c r="D105" s="17" t="str">
        <x:v>Cladding and framing</x:v>
      </x:c>
      <x:c r="E105" s="19" t="n">
        <x:v>1</x:v>
      </x:c>
      <x:c r="F105" s="19" t="n">
        <x:v>1</x:v>
      </x:c>
      <x:c r="G105" s="16" t="str">
        <x:v>MRG-0060, MRG-0070, MRG-0160</x:v>
      </x:c>
      <x:c r="H105" s="16" t="str">
        <x:v>SRC-002</x:v>
      </x:c>
      <x:c r="I105" s="17" t="str"/>
    </x:row>
    <x:row r="106" ht="37" customHeight="1">
      <x:c r="A106" s="16" t="str">
        <x:v>OBS-0100</x:v>
      </x:c>
      <x:c r="B106" s="17" t="str">
        <x:v>是</x:v>
      </x:c>
      <x:c r="C106" s="17" t="str">
        <x:v>Back leg. Surface corrosion of baseplate.</x:v>
      </x:c>
      <x:c r="D106" s="17" t="str">
        <x:v>Informational panel 2</x:v>
      </x:c>
      <x:c r="E106" s="19" t="n">
        <x:v>1</x:v>
      </x:c>
      <x:c r="F106" s="19" t="n">
        <x:v>1</x:v>
      </x:c>
      <x:c r="G106" s="16" t="str"/>
      <x:c r="H106" s="16" t="str">
        <x:v>SRC-071</x:v>
      </x:c>
      <x:c r="I106" s="17" t="str"/>
    </x:row>
    <x:row r="107" ht="37" customHeight="1">
      <x:c r="A107" s="16" t="str">
        <x:v>OBS-0101</x:v>
      </x:c>
      <x:c r="B107" s="17" t="str">
        <x:v>是</x:v>
      </x:c>
      <x:c r="C107" s="17" t="str">
        <x:v>Back of pool. Flaking corrosion at end of parallel flange channel.</x:v>
      </x:c>
      <x:c r="D107" s="17" t="str">
        <x:v>Pool support</x:v>
      </x:c>
      <x:c r="E107" s="19" t="n">
        <x:v>1</x:v>
      </x:c>
      <x:c r="F107" s="19" t="n">
        <x:v>1</x:v>
      </x:c>
      <x:c r="G107" s="16" t="str"/>
      <x:c r="H107" s="16" t="str">
        <x:v>SRC-013</x:v>
      </x:c>
      <x:c r="I107" s="17" t="str"/>
    </x:row>
    <x:row r="108" ht="41" customHeight="1">
      <x:c r="A108" s="16" t="str">
        <x:v>OBS-0102</x:v>
      </x:c>
      <x:c r="B108" s="17" t="str">
        <x:v>是</x:v>
      </x:c>
      <x:c r="C108" s="17" t="str">
        <x:v>Back of property. Cladding and framing in good condition. Minor corrosion at corner flashing.</x:v>
      </x:c>
      <x:c r="D108" s="17" t="str">
        <x:v>Cladding and framing</x:v>
      </x:c>
      <x:c r="E108" s="19" t="n">
        <x:v>1</x:v>
      </x:c>
      <x:c r="F108" s="19" t="n">
        <x:v>1</x:v>
      </x:c>
      <x:c r="G108" s="16" t="str"/>
      <x:c r="H108" s="16" t="str">
        <x:v>SRC-060</x:v>
      </x:c>
      <x:c r="I108" s="17" t="str"/>
    </x:row>
    <x:row r="109" ht="37" customHeight="1">
      <x:c r="A109" s="16" t="str">
        <x:v>OBS-0103</x:v>
      </x:c>
      <x:c r="B109" s="17" t="str">
        <x:v>是</x:v>
      </x:c>
      <x:c r="C109" s="17" t="str">
        <x:v>Back of property. Cracking above door.</x:v>
      </x:c>
      <x:c r="D109" s="17" t="str">
        <x:v>Brickwork and framing</x:v>
      </x:c>
      <x:c r="E109" s="19" t="n">
        <x:v>1</x:v>
      </x:c>
      <x:c r="F109" s="19" t="n">
        <x:v>1</x:v>
      </x:c>
      <x:c r="G109" s="16" t="str"/>
      <x:c r="H109" s="16" t="str">
        <x:v>SRC-057</x:v>
      </x:c>
      <x:c r="I109" s="17" t="str"/>
    </x:row>
    <x:row r="110" ht="37" customHeight="1">
      <x:c r="A110" s="16" t="str">
        <x:v>OBS-0104</x:v>
      </x:c>
      <x:c r="B110" s="17" t="str">
        <x:v>是</x:v>
      </x:c>
      <x:c r="C110" s="17" t="str">
        <x:v>Back of property. Deformation of roof sheeting.</x:v>
      </x:c>
      <x:c r="D110" s="17" t="str">
        <x:v>Roof sheeting</x:v>
      </x:c>
      <x:c r="E110" s="19" t="n">
        <x:v>1</x:v>
      </x:c>
      <x:c r="F110" s="19" t="n">
        <x:v>1</x:v>
      </x:c>
      <x:c r="G110" s="16" t="str"/>
      <x:c r="H110" s="16" t="str">
        <x:v>SRC-060</x:v>
      </x:c>
      <x:c r="I110" s="17" t="str"/>
    </x:row>
    <x:row r="111" ht="37" customHeight="1">
      <x:c r="A111" s="16" t="str">
        <x:v>OBS-0105</x:v>
      </x:c>
      <x:c r="B111" s="17" t="str">
        <x:v>是</x:v>
      </x:c>
      <x:c r="C111" s="17" t="str">
        <x:v>Back of property. Paint deterioration at corner of window frame.</x:v>
      </x:c>
      <x:c r="D111" s="17" t="str">
        <x:v>Cladding and framing</x:v>
      </x:c>
      <x:c r="E111" s="19" t="n">
        <x:v>1</x:v>
      </x:c>
      <x:c r="F111" s="19" t="n">
        <x:v>1</x:v>
      </x:c>
      <x:c r="G111" s="16" t="str"/>
      <x:c r="H111" s="16" t="str">
        <x:v>SRC-060</x:v>
      </x:c>
      <x:c r="I111" s="17" t="str"/>
    </x:row>
    <x:row r="112" ht="37" customHeight="1">
      <x:c r="A112" s="16" t="str">
        <x:v>OBS-0106</x:v>
      </x:c>
      <x:c r="B112" s="17" t="str">
        <x:v>是</x:v>
      </x:c>
      <x:c r="C112" s="17" t="str">
        <x:v>Back of property. Window awing corrosion.</x:v>
      </x:c>
      <x:c r="D112" s="17" t="str">
        <x:v>Cladding and framing</x:v>
      </x:c>
      <x:c r="E112" s="19" t="n">
        <x:v>1</x:v>
      </x:c>
      <x:c r="F112" s="19" t="n">
        <x:v>1</x:v>
      </x:c>
      <x:c r="G112" s="16" t="str"/>
      <x:c r="H112" s="16" t="str">
        <x:v>SRC-002</x:v>
      </x:c>
      <x:c r="I112" s="17" t="str"/>
    </x:row>
    <x:row r="113" ht="41" customHeight="1">
      <x:c r="A113" s="16" t="str">
        <x:v>OBS-0107</x:v>
      </x:c>
      <x:c r="B113" s="17" t="str">
        <x:v>是</x:v>
      </x:c>
      <x:c r="C113" s="17" t="str">
        <x:v>Back right hand side corner facing front of the house. Hole in rafter due to severe corrosion. Hole in roof above rafter has increased rate of corrosion.</x:v>
      </x:c>
      <x:c r="D113" s="17" t="str">
        <x:v>Purlins and rafters</x:v>
      </x:c>
      <x:c r="E113" s="19" t="n">
        <x:v>1</x:v>
      </x:c>
      <x:c r="F113" s="19" t="n">
        <x:v>1</x:v>
      </x:c>
      <x:c r="G113" s="16" t="str">
        <x:v>MRG-0174</x:v>
      </x:c>
      <x:c r="H113" s="16" t="str">
        <x:v>SRC-048</x:v>
      </x:c>
      <x:c r="I113" s="17" t="str"/>
    </x:row>
    <x:row r="114" ht="41" customHeight="1">
      <x:c r="A114" s="16" t="str">
        <x:v>OBS-0108</x:v>
      </x:c>
      <x:c r="B114" s="17" t="str">
        <x:v>是</x:v>
      </x:c>
      <x:c r="C114" s="17" t="str">
        <x:v>Back right hand side corner facing front of the house. Hole in roof above rafter has increased rate of corrosion.</x:v>
      </x:c>
      <x:c r="D114" s="17" t="str">
        <x:v>Roof sheeting</x:v>
      </x:c>
      <x:c r="E114" s="19" t="n">
        <x:v>1</x:v>
      </x:c>
      <x:c r="F114" s="19" t="n">
        <x:v>1</x:v>
      </x:c>
      <x:c r="G114" s="16" t="str">
        <x:v>MRG-0174</x:v>
      </x:c>
      <x:c r="H114" s="16" t="str">
        <x:v>SRC-048</x:v>
      </x:c>
      <x:c r="I114" s="17" t="str"/>
    </x:row>
    <x:row r="115" ht="37" customHeight="1">
      <x:c r="A115" s="16" t="str">
        <x:v>OBS-0109</x:v>
      </x:c>
      <x:c r="B115" s="17" t="str">
        <x:v>是</x:v>
      </x:c>
      <x:c r="C115" s="17" t="str">
        <x:v>Back verandah column in good condition.</x:v>
      </x:c>
      <x:c r="D115" s="17" t="str">
        <x:v>Columns</x:v>
      </x:c>
      <x:c r="E115" s="19" t="n">
        <x:v>1</x:v>
      </x:c>
      <x:c r="F115" s="19" t="n">
        <x:v>1</x:v>
      </x:c>
      <x:c r="G115" s="16" t="str">
        <x:v>MRG-0004, MRG-0090, MRG-0111, MRG-0178</x:v>
      </x:c>
      <x:c r="H115" s="16" t="str">
        <x:v>SRC-052</x:v>
      </x:c>
      <x:c r="I115" s="17" t="str"/>
    </x:row>
    <x:row r="116" ht="41" customHeight="1">
      <x:c r="A116" s="16" t="str">
        <x:v>OBS-0110</x:v>
      </x:c>
      <x:c r="B116" s="17" t="str">
        <x:v>是</x:v>
      </x:c>
      <x:c r="C116" s="17" t="str">
        <x:v>Back verandah column with tap attached. Column is more likely to corrode due to the direct flow of water from tap.</x:v>
      </x:c>
      <x:c r="D116" s="17" t="str">
        <x:v>Columns</x:v>
      </x:c>
      <x:c r="E116" s="19" t="n">
        <x:v>1</x:v>
      </x:c>
      <x:c r="F116" s="19" t="n">
        <x:v>1</x:v>
      </x:c>
      <x:c r="G116" s="16" t="str"/>
      <x:c r="H116" s="16" t="str">
        <x:v>SRC-056</x:v>
      </x:c>
      <x:c r="I116" s="17" t="str"/>
    </x:row>
    <x:row r="117" ht="37" customHeight="1">
      <x:c r="A117" s="16" t="str">
        <x:v>OBS-0111</x:v>
      </x:c>
      <x:c r="B117" s="17" t="str">
        <x:v>是</x:v>
      </x:c>
      <x:c r="C117" s="17" t="str">
        <x:v>Back verandah column. Delamination towards lower section of column.</x:v>
      </x:c>
      <x:c r="D117" s="17" t="str">
        <x:v>Columns</x:v>
      </x:c>
      <x:c r="E117" s="19" t="n">
        <x:v>1</x:v>
      </x:c>
      <x:c r="F117" s="19" t="n">
        <x:v>1</x:v>
      </x:c>
      <x:c r="G117" s="16" t="str"/>
      <x:c r="H117" s="16" t="str">
        <x:v>SRC-024</x:v>
      </x:c>
      <x:c r="I117" s="17" t="str"/>
    </x:row>
    <x:row r="118" ht="41" customHeight="1">
      <x:c r="A118" s="16" t="str">
        <x:v>OBS-0112</x:v>
      </x:c>
      <x:c r="B118" s="17" t="str">
        <x:v>是</x:v>
      </x:c>
      <x:c r="C118" s="17" t="str">
        <x:v>Back verandah column. Major delamination of the lower section. All other columns are in good condition.</x:v>
      </x:c>
      <x:c r="D118" s="17" t="str">
        <x:v>Columns</x:v>
      </x:c>
      <x:c r="E118" s="19" t="n">
        <x:v>1</x:v>
      </x:c>
      <x:c r="F118" s="19" t="n">
        <x:v>1</x:v>
      </x:c>
      <x:c r="G118" s="16" t="str"/>
      <x:c r="H118" s="16" t="str">
        <x:v>SRC-024</x:v>
      </x:c>
      <x:c r="I118" s="17" t="str"/>
    </x:row>
    <x:row r="119" ht="41" customHeight="1">
      <x:c r="A119" s="16" t="str">
        <x:v>OBS-0113</x:v>
      </x:c>
      <x:c r="B119" s="17" t="str">
        <x:v>是</x:v>
      </x:c>
      <x:c r="C119" s="17" t="str">
        <x:v>Back verandah column. Water from tap ponding at bottom will accelerate corrosion.</x:v>
      </x:c>
      <x:c r="D119" s="17" t="str">
        <x:v>Columns</x:v>
      </x:c>
      <x:c r="E119" s="19" t="n">
        <x:v>1</x:v>
      </x:c>
      <x:c r="F119" s="19" t="n">
        <x:v>1</x:v>
      </x:c>
      <x:c r="G119" s="16" t="str"/>
      <x:c r="H119" s="16" t="str">
        <x:v>SRC-052</x:v>
      </x:c>
      <x:c r="I119" s="17" t="str"/>
    </x:row>
    <x:row r="120" ht="41" customHeight="1">
      <x:c r="A120" s="16" t="str">
        <x:v>OBS-0114</x:v>
      </x:c>
      <x:c r="B120" s="17" t="str">
        <x:v>是</x:v>
      </x:c>
      <x:c r="C120" s="17" t="str">
        <x:v>Back verandah columns have minor corrosion at the lower section and paint deterioration.</x:v>
      </x:c>
      <x:c r="D120" s="17" t="str">
        <x:v>Verandah columns and beams</x:v>
      </x:c>
      <x:c r="E120" s="19" t="n">
        <x:v>1</x:v>
      </x:c>
      <x:c r="F120" s="19" t="n">
        <x:v>1</x:v>
      </x:c>
      <x:c r="G120" s="16" t="str"/>
      <x:c r="H120" s="16" t="str">
        <x:v>SRC-014</x:v>
      </x:c>
      <x:c r="I120" s="17" t="str"/>
    </x:row>
    <x:row r="121" ht="37" customHeight="1">
      <x:c r="A121" s="16" t="str">
        <x:v>OBS-0115</x:v>
      </x:c>
      <x:c r="B121" s="17" t="str">
        <x:v>是</x:v>
      </x:c>
      <x:c r="C121" s="17" t="str">
        <x:v>Back verandah in good condition, minor salt staining on fascia beam.</x:v>
      </x:c>
      <x:c r="D121" s="17" t="str">
        <x:v>Roof and awning structures</x:v>
      </x:c>
      <x:c r="E121" s="19" t="n">
        <x:v>1</x:v>
      </x:c>
      <x:c r="F121" s="19" t="n">
        <x:v>1</x:v>
      </x:c>
      <x:c r="G121" s="16" t="str"/>
      <x:c r="H121" s="16" t="str">
        <x:v>SRC-008</x:v>
      </x:c>
      <x:c r="I121" s="17" t="str"/>
    </x:row>
    <x:row r="122" ht="37" customHeight="1">
      <x:c r="A122" s="16" t="str">
        <x:v>OBS-0116</x:v>
      </x:c>
      <x:c r="B122" s="17" t="str">
        <x:v>是</x:v>
      </x:c>
      <x:c r="C122" s="17" t="str">
        <x:v>Back verandah in similar condition to front.</x:v>
      </x:c>
      <x:c r="D122" s="17" t="str">
        <x:v>Rafters</x:v>
      </x:c>
      <x:c r="E122" s="19" t="n">
        <x:v>1</x:v>
      </x:c>
      <x:c r="F122" s="19" t="n">
        <x:v>1</x:v>
      </x:c>
      <x:c r="G122" s="16" t="str"/>
      <x:c r="H122" s="16" t="str">
        <x:v>SRC-014</x:v>
      </x:c>
      <x:c r="I122" s="17" t="str"/>
    </x:row>
    <x:row r="123" ht="37" customHeight="1">
      <x:c r="A123" s="16" t="str">
        <x:v>OBS-0117</x:v>
      </x:c>
      <x:c r="B123" s="17" t="str">
        <x:v>是</x:v>
      </x:c>
      <x:c r="C123" s="17" t="str">
        <x:v>Back verandah overview.</x:v>
      </x:c>
      <x:c r="D123" s="17" t="str">
        <x:v>Back verandah columns</x:v>
      </x:c>
      <x:c r="E123" s="19" t="n">
        <x:v>1</x:v>
      </x:c>
      <x:c r="F123" s="19" t="n">
        <x:v>1</x:v>
      </x:c>
      <x:c r="G123" s="16" t="str">
        <x:v>MRG-0133</x:v>
      </x:c>
      <x:c r="H123" s="16" t="str">
        <x:v>SRC-012</x:v>
      </x:c>
      <x:c r="I123" s="17" t="str"/>
    </x:row>
    <x:row r="124" ht="37" customHeight="1">
      <x:c r="A124" s="16" t="str">
        <x:v>OBS-0118</x:v>
      </x:c>
      <x:c r="B124" s="17" t="str">
        <x:v>是</x:v>
      </x:c>
      <x:c r="C124" s="17" t="str">
        <x:v>Back verandah. Corrosion of Tek screws and top hat purlins.</x:v>
      </x:c>
      <x:c r="D124" s="17" t="str">
        <x:v>Tek screws</x:v>
      </x:c>
      <x:c r="E124" s="19" t="n">
        <x:v>1</x:v>
      </x:c>
      <x:c r="F124" s="19" t="n">
        <x:v>1</x:v>
      </x:c>
      <x:c r="G124" s="16" t="str">
        <x:v>MRG-0046</x:v>
      </x:c>
      <x:c r="H124" s="16" t="str">
        <x:v>SRC-014</x:v>
      </x:c>
      <x:c r="I124" s="17" t="str"/>
    </x:row>
    <x:row r="125" ht="37" customHeight="1">
      <x:c r="A125" s="16" t="str">
        <x:v>OBS-0119</x:v>
      </x:c>
      <x:c r="B125" s="17" t="str">
        <x:v>是</x:v>
      </x:c>
      <x:c r="C125" s="17" t="str">
        <x:v>Back verandah. Minor corrosion on Tek screws and top hat purlins.</x:v>
      </x:c>
      <x:c r="D125" s="17" t="str">
        <x:v>Top hats</x:v>
      </x:c>
      <x:c r="E125" s="19" t="n">
        <x:v>1</x:v>
      </x:c>
      <x:c r="F125" s="19" t="n">
        <x:v>1</x:v>
      </x:c>
      <x:c r="G125" s="16" t="str">
        <x:v>MRG-0046</x:v>
      </x:c>
      <x:c r="H125" s="16" t="str">
        <x:v>SRC-014</x:v>
      </x:c>
      <x:c r="I125" s="17" t="str"/>
    </x:row>
    <x:row r="126" ht="37" customHeight="1">
      <x:c r="A126" s="16" t="str">
        <x:v>OBS-0120</x:v>
      </x:c>
      <x:c r="B126" s="17" t="str">
        <x:v>是</x:v>
      </x:c>
      <x:c r="C126" s="17" t="str">
        <x:v>Back verandah. Sagging soffit edge flashing.</x:v>
      </x:c>
      <x:c r="D126" s="17" t="str">
        <x:v>Soffit edge flashing</x:v>
      </x:c>
      <x:c r="E126" s="19" t="n">
        <x:v>1</x:v>
      </x:c>
      <x:c r="F126" s="19" t="n">
        <x:v>1</x:v>
      </x:c>
      <x:c r="G126" s="16" t="str"/>
      <x:c r="H126" s="16" t="str">
        <x:v>SRC-092</x:v>
      </x:c>
      <x:c r="I126" s="17" t="str"/>
    </x:row>
    <x:row r="127" ht="37" customHeight="1">
      <x:c r="A127" s="16" t="str">
        <x:v>OBS-0121</x:v>
      </x:c>
      <x:c r="B127" s="17" t="str">
        <x:v>是</x:v>
      </x:c>
      <x:c r="C127" s="17" t="str">
        <x:v>Back wall cladding facing front entrance in good condition.</x:v>
      </x:c>
      <x:c r="D127" s="17" t="str">
        <x:v>Cladding and framing</x:v>
      </x:c>
      <x:c r="E127" s="19" t="n">
        <x:v>1</x:v>
      </x:c>
      <x:c r="F127" s="19" t="n">
        <x:v>1</x:v>
      </x:c>
      <x:c r="G127" s="16" t="str">
        <x:v>MRG-0128</x:v>
      </x:c>
      <x:c r="H127" s="16" t="str">
        <x:v>SRC-058</x:v>
      </x:c>
      <x:c r="I127" s="17" t="str"/>
    </x:row>
    <x:row r="128" ht="37" customHeight="1">
      <x:c r="A128" s="16" t="str">
        <x:v>OBS-0122</x:v>
      </x:c>
      <x:c r="B128" s="17" t="str">
        <x:v>是</x:v>
      </x:c>
      <x:c r="C128" s="17" t="str">
        <x:v>Back wall cladding in good condition</x:v>
      </x:c>
      <x:c r="D128" s="17" t="str">
        <x:v>Steel cladding</x:v>
      </x:c>
      <x:c r="E128" s="19" t="n">
        <x:v>1</x:v>
      </x:c>
      <x:c r="F128" s="19" t="n">
        <x:v>1</x:v>
      </x:c>
      <x:c r="G128" s="16" t="str">
        <x:v>MRG-0060, MRG-0077, MRG-0114, MRG-0119, MRG-0144, MRG-0162</x:v>
      </x:c>
      <x:c r="H128" s="16" t="str">
        <x:v>SRC-015</x:v>
      </x:c>
      <x:c r="I128" s="17" t="str"/>
    </x:row>
    <x:row r="129" ht="37" customHeight="1">
      <x:c r="A129" s="16" t="str">
        <x:v>OBS-0123</x:v>
      </x:c>
      <x:c r="B129" s="17" t="str">
        <x:v>是</x:v>
      </x:c>
      <x:c r="C129" s="17" t="str">
        <x:v>Back wall of house.</x:v>
      </x:c>
      <x:c r="D129" s="17" t="str">
        <x:v>Roof sheeting</x:v>
      </x:c>
      <x:c r="E129" s="19" t="n">
        <x:v>1</x:v>
      </x:c>
      <x:c r="F129" s="19" t="n">
        <x:v>1</x:v>
      </x:c>
      <x:c r="G129" s="16" t="str"/>
      <x:c r="H129" s="16" t="str">
        <x:v>SRC-006</x:v>
      </x:c>
      <x:c r="I129" s="17" t="str"/>
    </x:row>
    <x:row r="130" ht="37" customHeight="1">
      <x:c r="A130" s="16" t="str">
        <x:v>OBS-0124</x:v>
      </x:c>
      <x:c r="B130" s="17" t="str">
        <x:v>是</x:v>
      </x:c>
      <x:c r="C130" s="17" t="str">
        <x:v>Backyard entry gate. Minor corrosion on fencing post.</x:v>
      </x:c>
      <x:c r="D130" s="17" t="str">
        <x:v>Fencing post</x:v>
      </x:c>
      <x:c r="E130" s="19" t="n">
        <x:v>1</x:v>
      </x:c>
      <x:c r="F130" s="19" t="n">
        <x:v>1</x:v>
      </x:c>
      <x:c r="G130" s="16" t="str"/>
      <x:c r="H130" s="16" t="str">
        <x:v>SRC-057</x:v>
      </x:c>
      <x:c r="I130" s="17" t="str"/>
    </x:row>
    <x:row r="131" ht="41" customHeight="1">
      <x:c r="A131" s="16" t="str">
        <x:v>OBS-0125</x:v>
      </x:c>
      <x:c r="B131" s="17" t="str">
        <x:v>是</x:v>
      </x:c>
      <x:c r="C131" s="17" t="str">
        <x:v>Backyard fence, left hand side facing the front entrance. Delamination corrosion on lower section of post.</x:v>
      </x:c>
      <x:c r="D131" s="17" t="str">
        <x:v>Fencing posts</x:v>
      </x:c>
      <x:c r="E131" s="19" t="n">
        <x:v>1</x:v>
      </x:c>
      <x:c r="F131" s="19" t="n">
        <x:v>1</x:v>
      </x:c>
      <x:c r="G131" s="16" t="str"/>
      <x:c r="H131" s="16" t="str">
        <x:v>SRC-062</x:v>
      </x:c>
      <x:c r="I131" s="17" t="str"/>
    </x:row>
    <x:row r="132" ht="37" customHeight="1">
      <x:c r="A132" s="16" t="str">
        <x:v>OBS-0126</x:v>
      </x:c>
      <x:c r="B132" s="17" t="str">
        <x:v>是</x:v>
      </x:c>
      <x:c r="C132" s="17" t="str">
        <x:v>Backyard fence. Minor corrosion of fencing cladding.</x:v>
      </x:c>
      <x:c r="D132" s="17" t="str">
        <x:v>Fencing posts</x:v>
      </x:c>
      <x:c r="E132" s="19" t="n">
        <x:v>1</x:v>
      </x:c>
      <x:c r="F132" s="19" t="n">
        <x:v>1</x:v>
      </x:c>
      <x:c r="G132" s="16" t="str"/>
      <x:c r="H132" s="16" t="str">
        <x:v>SRC-060</x:v>
      </x:c>
      <x:c r="I132" s="17" t="str"/>
    </x:row>
    <x:row r="133" ht="37" customHeight="1">
      <x:c r="A133" s="16" t="str">
        <x:v>OBS-0127</x:v>
      </x:c>
      <x:c r="B133" s="17" t="str">
        <x:v>是</x:v>
      </x:c>
      <x:c r="C133" s="17" t="str">
        <x:v>Backyard fencing post. Bitumen Paint deterioration and flaking corrosion.</x:v>
      </x:c>
      <x:c r="D133" s="17" t="str">
        <x:v>Fencing posts</x:v>
      </x:c>
      <x:c r="E133" s="19" t="n">
        <x:v>1</x:v>
      </x:c>
      <x:c r="F133" s="19" t="n">
        <x:v>1</x:v>
      </x:c>
      <x:c r="G133" s="16" t="str">
        <x:v>MRG-0037</x:v>
      </x:c>
      <x:c r="H133" s="16" t="str">
        <x:v>SRC-052</x:v>
      </x:c>
      <x:c r="I133" s="17" t="str"/>
    </x:row>
    <x:row r="134" ht="37" customHeight="1">
      <x:c r="A134" s="16" t="str">
        <x:v>OBS-0128</x:v>
      </x:c>
      <x:c r="B134" s="17" t="str">
        <x:v>是</x:v>
      </x:c>
      <x:c r="C134" s="17" t="str">
        <x:v>Backyard fencing post. Bitumen Paint deterioration and severe flaking corrosion.</x:v>
      </x:c>
      <x:c r="D134" s="17" t="str">
        <x:v>Fencing posts</x:v>
      </x:c>
      <x:c r="E134" s="19" t="n">
        <x:v>1</x:v>
      </x:c>
      <x:c r="F134" s="19" t="n">
        <x:v>1</x:v>
      </x:c>
      <x:c r="G134" s="16" t="str">
        <x:v>MRG-0037</x:v>
      </x:c>
      <x:c r="H134" s="16" t="str">
        <x:v>SRC-026</x:v>
      </x:c>
      <x:c r="I134" s="17" t="str"/>
    </x:row>
    <x:row r="135" ht="37" customHeight="1">
      <x:c r="A135" s="16" t="str">
        <x:v>OBS-0129</x:v>
      </x:c>
      <x:c r="B135" s="17" t="str">
        <x:v>是</x:v>
      </x:c>
      <x:c r="C135" s="17" t="str">
        <x:v>Backyard fencing post. Bitumen Paint deterioration.</x:v>
      </x:c>
      <x:c r="D135" s="17" t="str">
        <x:v>Fencing posts</x:v>
      </x:c>
      <x:c r="E135" s="19" t="n">
        <x:v>1</x:v>
      </x:c>
      <x:c r="F135" s="19" t="n">
        <x:v>1</x:v>
      </x:c>
      <x:c r="G135" s="16" t="str"/>
      <x:c r="H135" s="16" t="str">
        <x:v>SRC-011</x:v>
      </x:c>
      <x:c r="I135" s="17" t="str"/>
    </x:row>
    <x:row r="136" ht="55" customHeight="1">
      <x:c r="A136" s="16" t="str">
        <x:v>OBS-0130</x:v>
      </x:c>
      <x:c r="B136" s="17" t="str">
        <x:v>是</x:v>
      </x:c>
      <x:c r="C136" s="17" t="str">
        <x:v>Backyard fencing posts at back of property. Minor surface corrosion along the length of the post. No access to 12/19 Dempster Street backyard. Photo taken from 13/19 Dempster Street backyard.</x:v>
      </x:c>
      <x:c r="D136" s="17" t="str">
        <x:v>Fencing posts</x:v>
      </x:c>
      <x:c r="E136" s="19" t="n">
        <x:v>1</x:v>
      </x:c>
      <x:c r="F136" s="19" t="n">
        <x:v>1</x:v>
      </x:c>
      <x:c r="G136" s="16" t="str"/>
      <x:c r="H136" s="16" t="str">
        <x:v>SRC-004</x:v>
      </x:c>
      <x:c r="I136" s="17" t="str"/>
    </x:row>
    <x:row r="137" ht="41" customHeight="1">
      <x:c r="A137" s="16" t="str">
        <x:v>OBS-0131</x:v>
      </x:c>
      <x:c r="B137" s="17" t="str">
        <x:v>是</x:v>
      </x:c>
      <x:c r="C137" s="17" t="str">
        <x:v>Backyard fencing posts on left hand side of property facing the front entrance. Minor surface corrosion along the length of the post.</x:v>
      </x:c>
      <x:c r="D137" s="17" t="str">
        <x:v>Fencing posts</x:v>
      </x:c>
      <x:c r="E137" s="19" t="n">
        <x:v>1</x:v>
      </x:c>
      <x:c r="F137" s="19" t="n">
        <x:v>1</x:v>
      </x:c>
      <x:c r="G137" s="16" t="str">
        <x:v>MRG-0188</x:v>
      </x:c>
      <x:c r="H137" s="16" t="str">
        <x:v>SRC-003</x:v>
      </x:c>
      <x:c r="I137" s="17" t="str"/>
    </x:row>
    <x:row r="138" ht="55" customHeight="1">
      <x:c r="A138" s="16" t="str">
        <x:v>OBS-0132</x:v>
      </x:c>
      <x:c r="B138" s="17" t="str">
        <x:v>是</x:v>
      </x:c>
      <x:c r="C138" s="17" t="str">
        <x:v>Backyard fencing posts on left hand side of property facing the front entrance. Minor surface corrosion along the length of the post. Delamination of steel towards the lower section.</x:v>
      </x:c>
      <x:c r="D138" s="17" t="str">
        <x:v>Fencing posts</x:v>
      </x:c>
      <x:c r="E138" s="19" t="n">
        <x:v>1</x:v>
      </x:c>
      <x:c r="F138" s="19" t="n">
        <x:v>1</x:v>
      </x:c>
      <x:c r="G138" s="16" t="str">
        <x:v>MRG-0188</x:v>
      </x:c>
      <x:c r="H138" s="16" t="str">
        <x:v>SRC-001</x:v>
      </x:c>
      <x:c r="I138" s="17" t="str"/>
    </x:row>
    <x:row r="139" ht="37" customHeight="1">
      <x:c r="A139" s="16" t="str">
        <x:v>OBS-0133</x:v>
      </x:c>
      <x:c r="B139" s="17" t="str">
        <x:v>是</x:v>
      </x:c>
      <x:c r="C139" s="17" t="str">
        <x:v>Backyard fencing posts. Delamination of Post 3.</x:v>
      </x:c>
      <x:c r="D139" s="17" t="str">
        <x:v>Fencing posts</x:v>
      </x:c>
      <x:c r="E139" s="19" t="n">
        <x:v>1</x:v>
      </x:c>
      <x:c r="F139" s="19" t="n">
        <x:v>1</x:v>
      </x:c>
      <x:c r="G139" s="16" t="str"/>
      <x:c r="H139" s="16" t="str">
        <x:v>SRC-060</x:v>
      </x:c>
      <x:c r="I139" s="17" t="str"/>
    </x:row>
    <x:row r="140" ht="41" customHeight="1">
      <x:c r="A140" s="16" t="str">
        <x:v>OBS-0134</x:v>
      </x:c>
      <x:c r="B140" s="17" t="str">
        <x:v>是</x:v>
      </x:c>
      <x:c r="C140" s="17" t="str">
        <x:v>Backyard fencing posts. Water flows from verandah roof directed to fencing posts. Delamination and minor corrosion observed.</x:v>
      </x:c>
      <x:c r="D140" s="17" t="str">
        <x:v>Fencing posts</x:v>
      </x:c>
      <x:c r="E140" s="19" t="n">
        <x:v>1</x:v>
      </x:c>
      <x:c r="F140" s="19" t="n">
        <x:v>1</x:v>
      </x:c>
      <x:c r="G140" s="16" t="str"/>
      <x:c r="H140" s="16" t="str">
        <x:v>SRC-060</x:v>
      </x:c>
      <x:c r="I140" s="17" t="str"/>
    </x:row>
    <x:row r="141" ht="37" customHeight="1">
      <x:c r="A141" s="16" t="str">
        <x:v>OBS-0135</x:v>
      </x:c>
      <x:c r="B141" s="17" t="str">
        <x:v>是</x:v>
      </x:c>
      <x:c r="C141" s="17" t="str">
        <x:v>Backyard fencing. Severe corrosion and bitumen paint deterioration.</x:v>
      </x:c>
      <x:c r="D141" s="17" t="str">
        <x:v>Fencing posts</x:v>
      </x:c>
      <x:c r="E141" s="19" t="n">
        <x:v>1</x:v>
      </x:c>
      <x:c r="F141" s="19" t="n">
        <x:v>1</x:v>
      </x:c>
      <x:c r="G141" s="16" t="str">
        <x:v>MRG-0176</x:v>
      </x:c>
      <x:c r="H141" s="16" t="str">
        <x:v>SRC-011</x:v>
      </x:c>
      <x:c r="I141" s="17" t="str"/>
    </x:row>
    <x:row r="142" ht="37" customHeight="1">
      <x:c r="A142" s="16" t="str">
        <x:v>OBS-0136</x:v>
      </x:c>
      <x:c r="B142" s="17" t="str">
        <x:v>是</x:v>
      </x:c>
      <x:c r="C142" s="17" t="str">
        <x:v>Backyard roof overhang has salt staining on purlins.</x:v>
      </x:c>
      <x:c r="D142" s="17" t="str">
        <x:v>Rafters and purlins</x:v>
      </x:c>
      <x:c r="E142" s="19" t="n">
        <x:v>1</x:v>
      </x:c>
      <x:c r="F142" s="19" t="n">
        <x:v>1</x:v>
      </x:c>
      <x:c r="G142" s="16" t="str"/>
      <x:c r="H142" s="16" t="str">
        <x:v>SRC-058</x:v>
      </x:c>
      <x:c r="I142" s="17" t="str"/>
    </x:row>
    <x:row r="143" ht="37" customHeight="1">
      <x:c r="A143" s="16" t="str">
        <x:v>OBS-0137</x:v>
      </x:c>
      <x:c r="B143" s="17" t="str">
        <x:v>是</x:v>
      </x:c>
      <x:c r="C143" s="17" t="str">
        <x:v>Backyard verandah columns. Paint deterioration.</x:v>
      </x:c>
      <x:c r="D143" s="17" t="str">
        <x:v>Columns and beams</x:v>
      </x:c>
      <x:c r="E143" s="19" t="n">
        <x:v>1</x:v>
      </x:c>
      <x:c r="F143" s="19" t="n">
        <x:v>1</x:v>
      </x:c>
      <x:c r="G143" s="16" t="str"/>
      <x:c r="H143" s="16" t="str">
        <x:v>SRC-009</x:v>
      </x:c>
      <x:c r="I143" s="17" t="str"/>
    </x:row>
    <x:row r="144" ht="37" customHeight="1">
      <x:c r="A144" s="16" t="str">
        <x:v>OBS-0138</x:v>
      </x:c>
      <x:c r="B144" s="17" t="str">
        <x:v>是</x:v>
      </x:c>
      <x:c r="C144" s="17" t="str">
        <x:v>Backyard verandah. In good condition.</x:v>
      </x:c>
      <x:c r="D144" s="17" t="str">
        <x:v>Back verandah beams</x:v>
      </x:c>
      <x:c r="E144" s="19" t="n">
        <x:v>1</x:v>
      </x:c>
      <x:c r="F144" s="19" t="n">
        <x:v>1</x:v>
      </x:c>
      <x:c r="G144" s="16" t="str">
        <x:v>MRG-0043, MRG-0136, MRG-0153, MRG-0178</x:v>
      </x:c>
      <x:c r="H144" s="16" t="str">
        <x:v>SRC-012</x:v>
      </x:c>
      <x:c r="I144" s="17" t="str"/>
    </x:row>
    <x:row r="145" ht="37" customHeight="1">
      <x:c r="A145" s="16" t="str">
        <x:v>OBS-0139</x:v>
      </x:c>
      <x:c r="B145" s="17" t="str">
        <x:v>是</x:v>
      </x:c>
      <x:c r="C145" s="17" t="str">
        <x:v>Backyard verandah. Paint deterioration on purlins and rafters.</x:v>
      </x:c>
      <x:c r="D145" s="17" t="str">
        <x:v>Purlins and rafters</x:v>
      </x:c>
      <x:c r="E145" s="19" t="n">
        <x:v>1</x:v>
      </x:c>
      <x:c r="F145" s="19" t="n">
        <x:v>1</x:v>
      </x:c>
      <x:c r="G145" s="16" t="str">
        <x:v>MRG-0084</x:v>
      </x:c>
      <x:c r="H145" s="16" t="str">
        <x:v>SRC-009</x:v>
      </x:c>
      <x:c r="I145" s="17" t="str"/>
    </x:row>
    <x:row r="146" ht="37" customHeight="1">
      <x:c r="A146" s="16" t="str">
        <x:v>OBS-0140</x:v>
      </x:c>
      <x:c r="B146" s="17" t="str">
        <x:v>是</x:v>
      </x:c>
      <x:c r="C146" s="17" t="str">
        <x:v>Basketball post.</x:v>
      </x:c>
      <x:c r="D146" s="17" t="str">
        <x:v>Basketball post</x:v>
      </x:c>
      <x:c r="E146" s="19" t="n">
        <x:v>1</x:v>
      </x:c>
      <x:c r="F146" s="19" t="n">
        <x:v>1</x:v>
      </x:c>
      <x:c r="G146" s="16" t="str"/>
      <x:c r="H146" s="16" t="str">
        <x:v>SRC-092</x:v>
      </x:c>
      <x:c r="I146" s="17" t="str"/>
    </x:row>
    <x:row r="147" ht="37" customHeight="1">
      <x:c r="A147" s="16" t="str">
        <x:v>OBS-0141</x:v>
      </x:c>
      <x:c r="B147" s="17" t="str">
        <x:v>是</x:v>
      </x:c>
      <x:c r="C147" s="17" t="str">
        <x:v>Bench adjacent to column. Steel tube supporting seats have severe corrosion.</x:v>
      </x:c>
      <x:c r="D147" s="17" t="str">
        <x:v>Table and seating</x:v>
      </x:c>
      <x:c r="E147" s="19" t="n">
        <x:v>1</x:v>
      </x:c>
      <x:c r="F147" s="19" t="n">
        <x:v>1</x:v>
      </x:c>
      <x:c r="G147" s="16" t="str"/>
      <x:c r="H147" s="16" t="str">
        <x:v>SRC-071</x:v>
      </x:c>
      <x:c r="I147" s="17" t="str"/>
    </x:row>
    <x:row r="148" ht="41" customHeight="1">
      <x:c r="A148" s="16" t="str">
        <x:v>OBS-0142</x:v>
      </x:c>
      <x:c r="B148" s="17" t="str">
        <x:v>是</x:v>
      </x:c>
      <x:c r="C148" s="17" t="str">
        <x:v>Bench adjacent to column. Steel tube supporting seats have severe corrosion. All other tables and seating show signs of minor corrosion.</x:v>
      </x:c>
      <x:c r="D148" s="17" t="str">
        <x:v>Table and seating</x:v>
      </x:c>
      <x:c r="E148" s="19" t="n">
        <x:v>1</x:v>
      </x:c>
      <x:c r="F148" s="19" t="n">
        <x:v>1</x:v>
      </x:c>
      <x:c r="G148" s="16" t="str"/>
      <x:c r="H148" s="16" t="str">
        <x:v>SRC-071</x:v>
      </x:c>
      <x:c r="I148" s="17" t="str"/>
    </x:row>
    <x:row r="149" ht="37" customHeight="1">
      <x:c r="A149" s="16" t="str">
        <x:v>OBS-0143</x:v>
      </x:c>
      <x:c r="B149" s="17" t="str">
        <x:v>是</x:v>
      </x:c>
      <x:c r="C149" s="17" t="str">
        <x:v>Blistering corrosion on all independent columns.</x:v>
      </x:c>
      <x:c r="D149" s="17" t="str">
        <x:v>Steel frame columns</x:v>
      </x:c>
      <x:c r="E149" s="19" t="n">
        <x:v>1</x:v>
      </x:c>
      <x:c r="F149" s="19" t="n">
        <x:v>1</x:v>
      </x:c>
      <x:c r="G149" s="16" t="str"/>
      <x:c r="H149" s="16" t="str">
        <x:v>SRC-100</x:v>
      </x:c>
      <x:c r="I149" s="17" t="str"/>
    </x:row>
    <x:row r="150" ht="37" customHeight="1">
      <x:c r="A150" s="16" t="str">
        <x:v>OBS-0144</x:v>
      </x:c>
      <x:c r="B150" s="17" t="str">
        <x:v>是</x:v>
      </x:c>
      <x:c r="C150" s="17" t="str">
        <x:v>Blistering corrosion towards lower section of the column.</x:v>
      </x:c>
      <x:c r="D150" s="17" t="str">
        <x:v>Shade structure 3 column</x:v>
      </x:c>
      <x:c r="E150" s="19" t="n">
        <x:v>1</x:v>
      </x:c>
      <x:c r="F150" s="19" t="n">
        <x:v>1</x:v>
      </x:c>
      <x:c r="G150" s="16" t="str">
        <x:v>MRG-0165</x:v>
      </x:c>
      <x:c r="H150" s="16" t="str">
        <x:v>SRC-092</x:v>
      </x:c>
      <x:c r="I150" s="17" t="str"/>
    </x:row>
    <x:row r="151" ht="41" customHeight="1">
      <x:c r="A151" s="16" t="str">
        <x:v>OBS-0145</x:v>
      </x:c>
      <x:c r="B151" s="17" t="str">
        <x:v>是</x:v>
      </x:c>
      <x:c r="C151" s="17" t="str">
        <x:v>Blocked drain allowing water to pool at steel elements. Staining has occurred where water is pooling.</x:v>
      </x:c>
      <x:c r="D151" s="17" t="str">
        <x:v>Drain</x:v>
      </x:c>
      <x:c r="E151" s="19" t="n">
        <x:v>1</x:v>
      </x:c>
      <x:c r="F151" s="19" t="n">
        <x:v>1</x:v>
      </x:c>
      <x:c r="G151" s="16" t="str"/>
      <x:c r="H151" s="16" t="str">
        <x:v>SRC-063</x:v>
      </x:c>
      <x:c r="I151" s="17" t="str"/>
    </x:row>
    <x:row r="152" ht="37" customHeight="1">
      <x:c r="A152" s="16" t="str">
        <x:v>OBS-0146</x:v>
      </x:c>
      <x:c r="B152" s="17" t="str">
        <x:v>是</x:v>
      </x:c>
      <x:c r="C152" s="17" t="str">
        <x:v>Blocks have eroded leaving rough edges and sharp mortar joints.</x:v>
      </x:c>
      <x:c r="D152" s="17" t="str">
        <x:v>Pool retaining wall</x:v>
      </x:c>
      <x:c r="E152" s="19" t="n">
        <x:v>1</x:v>
      </x:c>
      <x:c r="F152" s="19" t="n">
        <x:v>1</x:v>
      </x:c>
      <x:c r="G152" s="16" t="str"/>
      <x:c r="H152" s="16" t="str">
        <x:v>SRC-009</x:v>
      </x:c>
      <x:c r="I152" s="17" t="str"/>
    </x:row>
    <x:row r="153" ht="37" customHeight="1">
      <x:c r="A153" s="16" t="str">
        <x:v>OBS-0147</x:v>
      </x:c>
      <x:c r="B153" s="17" t="str">
        <x:v>是</x:v>
      </x:c>
      <x:c r="C153" s="17" t="str">
        <x:v>Bolted connection between column and beam has minor corrosion.</x:v>
      </x:c>
      <x:c r="D153" s="17" t="str">
        <x:v>Verandah columns</x:v>
      </x:c>
      <x:c r="E153" s="19" t="n">
        <x:v>1</x:v>
      </x:c>
      <x:c r="F153" s="19" t="n">
        <x:v>1</x:v>
      </x:c>
      <x:c r="G153" s="16" t="str"/>
      <x:c r="H153" s="16" t="str">
        <x:v>SRC-048</x:v>
      </x:c>
      <x:c r="I153" s="17" t="str"/>
    </x:row>
    <x:row r="154" ht="37" customHeight="1">
      <x:c r="A154" s="16" t="str">
        <x:v>OBS-0148</x:v>
      </x:c>
      <x:c r="B154" s="17" t="str">
        <x:v>是</x:v>
      </x:c>
      <x:c r="C154" s="17" t="str">
        <x:v>Bolts protruding from timber.</x:v>
      </x:c>
      <x:c r="D154" s="17" t="str">
        <x:v>Sculpture A</x:v>
      </x:c>
      <x:c r="E154" s="19" t="n">
        <x:v>1</x:v>
      </x:c>
      <x:c r="F154" s="19" t="n">
        <x:v>1</x:v>
      </x:c>
      <x:c r="G154" s="16" t="str"/>
      <x:c r="H154" s="16" t="str">
        <x:v>SRC-094</x:v>
      </x:c>
      <x:c r="I154" s="17" t="str"/>
    </x:row>
    <x:row r="155" ht="41" customHeight="1">
      <x:c r="A155" s="16" t="str">
        <x:v>OBS-0149</x:v>
      </x:c>
      <x:c r="B155" s="17" t="str">
        <x:v>是</x:v>
      </x:c>
      <x:c r="C155" s="17" t="str">
        <x:v>Carport brick wall. Minor cracking of mortar indicating minor movement of the foundation.</x:v>
      </x:c>
      <x:c r="D155" s="17" t="str">
        <x:v>Brick wall</x:v>
      </x:c>
      <x:c r="E155" s="19" t="n">
        <x:v>1</x:v>
      </x:c>
      <x:c r="F155" s="19" t="n">
        <x:v>1</x:v>
      </x:c>
      <x:c r="G155" s="16" t="str"/>
      <x:c r="H155" s="16" t="str">
        <x:v>SRC-024</x:v>
      </x:c>
      <x:c r="I155" s="17" t="str"/>
    </x:row>
    <x:row r="156" ht="37" customHeight="1">
      <x:c r="A156" s="16" t="str">
        <x:v>OBS-0150</x:v>
      </x:c>
      <x:c r="B156" s="17" t="str">
        <x:v>是</x:v>
      </x:c>
      <x:c r="C156" s="17" t="str">
        <x:v>Carport brick wall. Minor cracking of mortar.</x:v>
      </x:c>
      <x:c r="D156" s="17" t="str">
        <x:v>Brick wall</x:v>
      </x:c>
      <x:c r="E156" s="19" t="n">
        <x:v>1</x:v>
      </x:c>
      <x:c r="F156" s="19" t="n">
        <x:v>1</x:v>
      </x:c>
      <x:c r="G156" s="16" t="str"/>
      <x:c r="H156" s="16" t="str">
        <x:v>SRC-052</x:v>
      </x:c>
      <x:c r="I156" s="17" t="str"/>
    </x:row>
    <x:row r="157" ht="37" customHeight="1">
      <x:c r="A157" s="16" t="str">
        <x:v>OBS-0151</x:v>
      </x:c>
      <x:c r="B157" s="17" t="str">
        <x:v>是</x:v>
      </x:c>
      <x:c r="C157" s="17" t="str">
        <x:v>Carport column 1. Minor corrosion at the top column connection.</x:v>
      </x:c>
      <x:c r="D157" s="17" t="str">
        <x:v>Columns and beams</x:v>
      </x:c>
      <x:c r="E157" s="19" t="n">
        <x:v>1</x:v>
      </x:c>
      <x:c r="F157" s="19" t="n">
        <x:v>1</x:v>
      </x:c>
      <x:c r="G157" s="16" t="str">
        <x:v>MRG-0013, MRG-0014, MRG-0167</x:v>
      </x:c>
      <x:c r="H157" s="16" t="str">
        <x:v>SRC-009</x:v>
      </x:c>
      <x:c r="I157" s="17" t="str"/>
    </x:row>
    <x:row r="158" ht="37" customHeight="1">
      <x:c r="A158" s="16" t="str">
        <x:v>OBS-0152</x:v>
      </x:c>
      <x:c r="B158" s="17" t="str">
        <x:v>是</x:v>
      </x:c>
      <x:c r="C158" s="17" t="str">
        <x:v>Carport column 2. Minor corrosion at the top column connection.</x:v>
      </x:c>
      <x:c r="D158" s="17" t="str">
        <x:v>Columns and beams</x:v>
      </x:c>
      <x:c r="E158" s="19" t="n">
        <x:v>1</x:v>
      </x:c>
      <x:c r="F158" s="19" t="n">
        <x:v>1</x:v>
      </x:c>
      <x:c r="G158" s="16" t="str">
        <x:v>MRG-0013, MRG-0015, MRG-0168</x:v>
      </x:c>
      <x:c r="H158" s="16" t="str">
        <x:v>SRC-009</x:v>
      </x:c>
      <x:c r="I158" s="17" t="str"/>
    </x:row>
    <x:row r="159" ht="37" customHeight="1">
      <x:c r="A159" s="16" t="str">
        <x:v>OBS-0153</x:v>
      </x:c>
      <x:c r="B159" s="17" t="str">
        <x:v>是</x:v>
      </x:c>
      <x:c r="C159" s="17" t="str">
        <x:v>Carport column 3. Minor corrosion at the top column connection.</x:v>
      </x:c>
      <x:c r="D159" s="17" t="str">
        <x:v>Columns and beams</x:v>
      </x:c>
      <x:c r="E159" s="19" t="n">
        <x:v>1</x:v>
      </x:c>
      <x:c r="F159" s="19" t="n">
        <x:v>1</x:v>
      </x:c>
      <x:c r="G159" s="16" t="str">
        <x:v>MRG-0014, MRG-0015, MRG-0169</x:v>
      </x:c>
      <x:c r="H159" s="16" t="str">
        <x:v>SRC-009</x:v>
      </x:c>
      <x:c r="I159" s="17" t="str"/>
    </x:row>
    <x:row r="160" ht="37" customHeight="1">
      <x:c r="A160" s="16" t="str">
        <x:v>OBS-0154</x:v>
      </x:c>
      <x:c r="B160" s="17" t="str">
        <x:v>是</x:v>
      </x:c>
      <x:c r="C160" s="17" t="str">
        <x:v>Carport column.</x:v>
      </x:c>
      <x:c r="D160" s="17" t="str">
        <x:v>Columns</x:v>
      </x:c>
      <x:c r="E160" s="19" t="n">
        <x:v>1</x:v>
      </x:c>
      <x:c r="F160" s="19" t="n">
        <x:v>1</x:v>
      </x:c>
      <x:c r="G160" s="16" t="str"/>
      <x:c r="H160" s="16" t="str">
        <x:v>SRC-005</x:v>
      </x:c>
      <x:c r="I160" s="17" t="str"/>
    </x:row>
    <x:row r="161" ht="37" customHeight="1">
      <x:c r="A161" s="16" t="str">
        <x:v>OBS-0155</x:v>
      </x:c>
      <x:c r="B161" s="17" t="str">
        <x:v>是</x:v>
      </x:c>
      <x:c r="C161" s="17" t="str">
        <x:v>Carport columns with fence attached. Minor corrosion at connection.</x:v>
      </x:c>
      <x:c r="D161" s="17" t="str">
        <x:v>Columns and beams</x:v>
      </x:c>
      <x:c r="E161" s="19" t="n">
        <x:v>1</x:v>
      </x:c>
      <x:c r="F161" s="19" t="n">
        <x:v>1</x:v>
      </x:c>
      <x:c r="G161" s="16" t="str"/>
      <x:c r="H161" s="16" t="str">
        <x:v>SRC-009</x:v>
      </x:c>
      <x:c r="I161" s="17" t="str"/>
    </x:row>
    <x:row r="162" ht="37" customHeight="1">
      <x:c r="A162" s="16" t="str">
        <x:v>OBS-0156</x:v>
      </x:c>
      <x:c r="B162" s="17" t="str">
        <x:v>是</x:v>
      </x:c>
      <x:c r="C162" s="17" t="str">
        <x:v>Carport corner fencing post. Paint deterioration.</x:v>
      </x:c>
      <x:c r="D162" s="17" t="str">
        <x:v>Fencing posts</x:v>
      </x:c>
      <x:c r="E162" s="19" t="n">
        <x:v>1</x:v>
      </x:c>
      <x:c r="F162" s="19" t="n">
        <x:v>1</x:v>
      </x:c>
      <x:c r="G162" s="16" t="str"/>
      <x:c r="H162" s="16" t="str">
        <x:v>SRC-056</x:v>
      </x:c>
      <x:c r="I162" s="17" t="str"/>
    </x:row>
    <x:row r="163" ht="41" customHeight="1">
      <x:c r="A163" s="16" t="str">
        <x:v>OBS-0157</x:v>
      </x:c>
      <x:c r="B163" s="17" t="str">
        <x:v>是</x:v>
      </x:c>
      <x:c r="C163" s="17" t="str">
        <x:v>Carport fencing post. Most posts have paint deterioration and corrosion at the lower section.</x:v>
      </x:c>
      <x:c r="D163" s="17" t="str">
        <x:v>Fencing posts</x:v>
      </x:c>
      <x:c r="E163" s="19" t="n">
        <x:v>1</x:v>
      </x:c>
      <x:c r="F163" s="19" t="n">
        <x:v>1</x:v>
      </x:c>
      <x:c r="G163" s="16" t="str">
        <x:v>MRG-0149, MRG-0154</x:v>
      </x:c>
      <x:c r="H163" s="16" t="str">
        <x:v>SRC-052</x:v>
      </x:c>
      <x:c r="I163" s="17" t="str"/>
    </x:row>
    <x:row r="164" ht="41" customHeight="1">
      <x:c r="A164" s="16" t="str">
        <x:v>OBS-0158</x:v>
      </x:c>
      <x:c r="B164" s="17" t="str">
        <x:v>是</x:v>
      </x:c>
      <x:c r="C164" s="17" t="str">
        <x:v>Carport fencing post. Most posts have paint deterioration at the lower section. Bitumen Paint deterioration and severe flaking corrosion.</x:v>
      </x:c>
      <x:c r="D164" s="17" t="str">
        <x:v>Fencing posts</x:v>
      </x:c>
      <x:c r="E164" s="19" t="n">
        <x:v>1</x:v>
      </x:c>
      <x:c r="F164" s="19" t="n">
        <x:v>1</x:v>
      </x:c>
      <x:c r="G164" s="16" t="str"/>
      <x:c r="H164" s="16" t="str">
        <x:v>SRC-028</x:v>
      </x:c>
      <x:c r="I164" s="17" t="str"/>
    </x:row>
    <x:row r="165" ht="37" customHeight="1">
      <x:c r="A165" s="16" t="str">
        <x:v>OBS-0159</x:v>
      </x:c>
      <x:c r="B165" s="17" t="str">
        <x:v>是</x:v>
      </x:c>
      <x:c r="C165" s="17" t="str">
        <x:v>Carport fencing posts.</x:v>
      </x:c>
      <x:c r="D165" s="17" t="str">
        <x:v>Fencing posts</x:v>
      </x:c>
      <x:c r="E165" s="19" t="n">
        <x:v>1</x:v>
      </x:c>
      <x:c r="F165" s="19" t="n">
        <x:v>1</x:v>
      </x:c>
      <x:c r="G165" s="16" t="str"/>
      <x:c r="H165" s="16" t="str">
        <x:v>SRC-056</x:v>
      </x:c>
      <x:c r="I165" s="17" t="str"/>
    </x:row>
    <x:row r="166" ht="37" customHeight="1">
      <x:c r="A166" s="16" t="str">
        <x:v>OBS-0160</x:v>
      </x:c>
      <x:c r="B166" s="17" t="str">
        <x:v>是</x:v>
      </x:c>
      <x:c r="C166" s="17" t="str">
        <x:v>Carport front window.</x:v>
      </x:c>
      <x:c r="D166" s="17" t="str">
        <x:v>Cladding and framing</x:v>
      </x:c>
      <x:c r="E166" s="19" t="n">
        <x:v>1</x:v>
      </x:c>
      <x:c r="F166" s="19" t="n">
        <x:v>1</x:v>
      </x:c>
      <x:c r="G166" s="16" t="str"/>
      <x:c r="H166" s="16" t="str">
        <x:v>SRC-023</x:v>
      </x:c>
      <x:c r="I166" s="17" t="str"/>
    </x:row>
    <x:row r="167" ht="41" customHeight="1">
      <x:c r="A167" s="16" t="str">
        <x:v>OBS-0161</x:v>
      </x:c>
      <x:c r="B167" s="17" t="str">
        <x:v>是</x:v>
      </x:c>
      <x:c r="C167" s="17" t="str">
        <x:v>Carport front window. Minor corrosion at corner of window, typical to most windows. Salt staining on wall cladding at bolted connection.</x:v>
      </x:c>
      <x:c r="D167" s="17" t="str">
        <x:v>Cladding and framing</x:v>
      </x:c>
      <x:c r="E167" s="19" t="n">
        <x:v>1</x:v>
      </x:c>
      <x:c r="F167" s="19" t="n">
        <x:v>1</x:v>
      </x:c>
      <x:c r="G167" s="16" t="str">
        <x:v>MRG-0017, MRG-0072, MRG-0086</x:v>
      </x:c>
      <x:c r="H167" s="16" t="str">
        <x:v>SRC-025</x:v>
      </x:c>
      <x:c r="I167" s="17" t="str"/>
    </x:row>
    <x:row r="168" ht="41" customHeight="1">
      <x:c r="A168" s="16" t="str">
        <x:v>OBS-0162</x:v>
      </x:c>
      <x:c r="B168" s="17" t="str">
        <x:v>是</x:v>
      </x:c>
      <x:c r="C168" s="17" t="str">
        <x:v>Carport front window. Minor corrosion at corner of window, typical to most windows. Staining on wall cladding at bolted connection.</x:v>
      </x:c>
      <x:c r="D168" s="17" t="str">
        <x:v>Cladding and framing</x:v>
      </x:c>
      <x:c r="E168" s="19" t="n">
        <x:v>1</x:v>
      </x:c>
      <x:c r="F168" s="19" t="n">
        <x:v>1</x:v>
      </x:c>
      <x:c r="G168" s="16" t="str">
        <x:v>MRG-0017, MRG-0062, MRG-0097</x:v>
      </x:c>
      <x:c r="H168" s="16" t="str">
        <x:v>SRC-023</x:v>
      </x:c>
      <x:c r="I168" s="17" t="str"/>
    </x:row>
    <x:row r="169" ht="41" customHeight="1">
      <x:c r="A169" s="16" t="str">
        <x:v>OBS-0163</x:v>
      </x:c>
      <x:c r="B169" s="17" t="str">
        <x:v>是</x:v>
      </x:c>
      <x:c r="C169" s="17" t="str">
        <x:v>Carport front window. Salt staining and minor corrosion on wall cladding at bolted connections.</x:v>
      </x:c>
      <x:c r="D169" s="17" t="str">
        <x:v>Cladding and framing</x:v>
      </x:c>
      <x:c r="E169" s="19" t="n">
        <x:v>1</x:v>
      </x:c>
      <x:c r="F169" s="19" t="n">
        <x:v>1</x:v>
      </x:c>
      <x:c r="G169" s="16" t="str"/>
      <x:c r="H169" s="16" t="str">
        <x:v>SRC-051</x:v>
      </x:c>
      <x:c r="I169" s="17" t="str"/>
    </x:row>
    <x:row r="170" ht="37" customHeight="1">
      <x:c r="A170" s="16" t="str">
        <x:v>OBS-0164</x:v>
      </x:c>
      <x:c r="B170" s="17" t="str">
        <x:v>是</x:v>
      </x:c>
      <x:c r="C170" s="17" t="str">
        <x:v>Carport gate post. Most posts have paint deterioration at the lower section.</x:v>
      </x:c>
      <x:c r="D170" s="17" t="str">
        <x:v>Fencing posts</x:v>
      </x:c>
      <x:c r="E170" s="19" t="n">
        <x:v>1</x:v>
      </x:c>
      <x:c r="F170" s="19" t="n">
        <x:v>1</x:v>
      </x:c>
      <x:c r="G170" s="16" t="str">
        <x:v>MRG-0112, MRG-0154</x:v>
      </x:c>
      <x:c r="H170" s="16" t="str">
        <x:v>SRC-050</x:v>
      </x:c>
      <x:c r="I170" s="17" t="str"/>
    </x:row>
    <x:row r="171" ht="37" customHeight="1">
      <x:c r="A171" s="16" t="str">
        <x:v>OBS-0165</x:v>
      </x:c>
      <x:c r="B171" s="17" t="str">
        <x:v>是</x:v>
      </x:c>
      <x:c r="C171" s="17" t="str">
        <x:v>Carport in good condition.</x:v>
      </x:c>
      <x:c r="D171" s="17" t="str">
        <x:v>Roof and awning structures</x:v>
      </x:c>
      <x:c r="E171" s="19" t="n">
        <x:v>1</x:v>
      </x:c>
      <x:c r="F171" s="19" t="n">
        <x:v>1</x:v>
      </x:c>
      <x:c r="G171" s="16" t="str">
        <x:v>MRG-0185</x:v>
      </x:c>
      <x:c r="H171" s="16" t="str">
        <x:v>SRC-008</x:v>
      </x:c>
      <x:c r="I171" s="17" t="str"/>
    </x:row>
    <x:row r="172" ht="37" customHeight="1">
      <x:c r="A172" s="16" t="str">
        <x:v>OBS-0166</x:v>
      </x:c>
      <x:c r="B172" s="17" t="str">
        <x:v>是</x:v>
      </x:c>
      <x:c r="C172" s="17" t="str">
        <x:v>Carport roof sheeting. Minor corrosion at roof edge.</x:v>
      </x:c>
      <x:c r="D172" s="17" t="str">
        <x:v>Roof sheeting</x:v>
      </x:c>
      <x:c r="E172" s="19" t="n">
        <x:v>1</x:v>
      </x:c>
      <x:c r="F172" s="19" t="n">
        <x:v>1</x:v>
      </x:c>
      <x:c r="G172" s="16" t="str"/>
      <x:c r="H172" s="16" t="str">
        <x:v>SRC-024</x:v>
      </x:c>
      <x:c r="I172" s="17" t="str"/>
    </x:row>
    <x:row r="173" ht="37" customHeight="1">
      <x:c r="A173" s="16" t="str">
        <x:v>OBS-0167</x:v>
      </x:c>
      <x:c r="B173" s="17" t="str">
        <x:v>是</x:v>
      </x:c>
      <x:c r="C173" s="17" t="str">
        <x:v>Carport verandah column, minor corrosion at lower section.</x:v>
      </x:c>
      <x:c r="D173" s="17" t="str">
        <x:v>Columns</x:v>
      </x:c>
      <x:c r="E173" s="19" t="n">
        <x:v>1</x:v>
      </x:c>
      <x:c r="F173" s="19" t="n">
        <x:v>1</x:v>
      </x:c>
      <x:c r="G173" s="16" t="str"/>
      <x:c r="H173" s="16" t="str">
        <x:v>SRC-050</x:v>
      </x:c>
      <x:c r="I173" s="17" t="str"/>
    </x:row>
    <x:row r="174" ht="37" customHeight="1">
      <x:c r="A174" s="16" t="str">
        <x:v>OBS-0168</x:v>
      </x:c>
      <x:c r="B174" s="17" t="str">
        <x:v>是</x:v>
      </x:c>
      <x:c r="C174" s="17" t="str">
        <x:v>Carport verandah columns.</x:v>
      </x:c>
      <x:c r="D174" s="17" t="str">
        <x:v>Columns</x:v>
      </x:c>
      <x:c r="E174" s="19" t="n">
        <x:v>1</x:v>
      </x:c>
      <x:c r="F174" s="19" t="n">
        <x:v>1</x:v>
      </x:c>
      <x:c r="G174" s="16" t="str"/>
      <x:c r="H174" s="16" t="str">
        <x:v>SRC-023</x:v>
      </x:c>
      <x:c r="I174" s="17" t="str"/>
    </x:row>
    <x:row r="175" ht="37" customHeight="1">
      <x:c r="A175" s="16" t="str">
        <x:v>OBS-0169</x:v>
      </x:c>
      <x:c r="B175" s="17" t="str">
        <x:v>是</x:v>
      </x:c>
      <x:c r="C175" s="17" t="str">
        <x:v>Carport verandah columns. Minor corrosion.</x:v>
      </x:c>
      <x:c r="D175" s="17" t="str">
        <x:v>Columns</x:v>
      </x:c>
      <x:c r="E175" s="19" t="n">
        <x:v>1</x:v>
      </x:c>
      <x:c r="F175" s="19" t="n">
        <x:v>1</x:v>
      </x:c>
      <x:c r="G175" s="16" t="str"/>
      <x:c r="H175" s="16" t="str">
        <x:v>SRC-026</x:v>
      </x:c>
      <x:c r="I175" s="17" t="str"/>
    </x:row>
    <x:row r="176" ht="37" customHeight="1">
      <x:c r="A176" s="16" t="str">
        <x:v>OBS-0170</x:v>
      </x:c>
      <x:c r="B176" s="17" t="str">
        <x:v>是</x:v>
      </x:c>
      <x:c r="C176" s="17" t="str">
        <x:v>Carport verandah corner. Salt staining on purlins and rafters.</x:v>
      </x:c>
      <x:c r="D176" s="17" t="str">
        <x:v>Rafters and purlins</x:v>
      </x:c>
      <x:c r="E176" s="19" t="n">
        <x:v>1</x:v>
      </x:c>
      <x:c r="F176" s="19" t="n">
        <x:v>1</x:v>
      </x:c>
      <x:c r="G176" s="16" t="str">
        <x:v>MRG-0110, MRG-0139</x:v>
      </x:c>
      <x:c r="H176" s="16" t="str">
        <x:v>SRC-053</x:v>
      </x:c>
      <x:c r="I176" s="17" t="str"/>
    </x:row>
    <x:row r="177" ht="37" customHeight="1">
      <x:c r="A177" s="16" t="str">
        <x:v>OBS-0171</x:v>
      </x:c>
      <x:c r="B177" s="17" t="str">
        <x:v>是</x:v>
      </x:c>
      <x:c r="C177" s="17" t="str">
        <x:v>Carport verandah in good condition. Holes in purlin end plate.</x:v>
      </x:c>
      <x:c r="D177" s="17" t="str">
        <x:v>Purlins and rafters</x:v>
      </x:c>
      <x:c r="E177" s="19" t="n">
        <x:v>1</x:v>
      </x:c>
      <x:c r="F177" s="19" t="n">
        <x:v>1</x:v>
      </x:c>
      <x:c r="G177" s="16" t="str"/>
      <x:c r="H177" s="16" t="str">
        <x:v>SRC-001</x:v>
      </x:c>
      <x:c r="I177" s="17" t="str"/>
    </x:row>
    <x:row r="178" ht="37" customHeight="1">
      <x:c r="A178" s="16" t="str">
        <x:v>OBS-0172</x:v>
      </x:c>
      <x:c r="B178" s="17" t="str">
        <x:v>是</x:v>
      </x:c>
      <x:c r="C178" s="17" t="str">
        <x:v>Carport verandah ridge. Surface corrosion at sheeting edges.</x:v>
      </x:c>
      <x:c r="D178" s="17" t="str">
        <x:v>Roof sheeting</x:v>
      </x:c>
      <x:c r="E178" s="19" t="n">
        <x:v>1</x:v>
      </x:c>
      <x:c r="F178" s="19" t="n">
        <x:v>1</x:v>
      </x:c>
      <x:c r="G178" s="16" t="str"/>
      <x:c r="H178" s="16" t="str">
        <x:v>SRC-050</x:v>
      </x:c>
      <x:c r="I178" s="17" t="str"/>
    </x:row>
    <x:row r="179" ht="41" customHeight="1">
      <x:c r="A179" s="16" t="str">
        <x:v>OBS-0173</x:v>
      </x:c>
      <x:c r="B179" s="17" t="str">
        <x:v>是</x:v>
      </x:c>
      <x:c r="C179" s="17" t="str">
        <x:v>Carport verandah roof, right hand side facing the front entrance. Deformed roof sheeting.</x:v>
      </x:c>
      <x:c r="D179" s="17" t="str">
        <x:v>Roof</x:v>
      </x:c>
      <x:c r="E179" s="19" t="n">
        <x:v>1</x:v>
      </x:c>
      <x:c r="F179" s="19" t="n">
        <x:v>1</x:v>
      </x:c>
      <x:c r="G179" s="16" t="str"/>
      <x:c r="H179" s="16" t="str">
        <x:v>SRC-001</x:v>
      </x:c>
      <x:c r="I179" s="17" t="str"/>
    </x:row>
    <x:row r="180" ht="37" customHeight="1">
      <x:c r="A180" s="16" t="str">
        <x:v>OBS-0174</x:v>
      </x:c>
      <x:c r="B180" s="17" t="str">
        <x:v>是</x:v>
      </x:c>
      <x:c r="C180" s="17" t="str">
        <x:v>Carport verandah soffit cladding. Minor corrosion along edge.</x:v>
      </x:c>
      <x:c r="D180" s="17" t="str">
        <x:v>Roof</x:v>
      </x:c>
      <x:c r="E180" s="19" t="n">
        <x:v>1</x:v>
      </x:c>
      <x:c r="F180" s="19" t="n">
        <x:v>1</x:v>
      </x:c>
      <x:c r="G180" s="16" t="str"/>
      <x:c r="H180" s="16" t="str">
        <x:v>SRC-009</x:v>
      </x:c>
      <x:c r="I180" s="17" t="str"/>
    </x:row>
    <x:row r="181" ht="37" customHeight="1">
      <x:c r="A181" s="16" t="str">
        <x:v>OBS-0175</x:v>
      </x:c>
      <x:c r="B181" s="17" t="str">
        <x:v>是</x:v>
      </x:c>
      <x:c r="C181" s="17" t="str">
        <x:v>Carport verandah. Minor corrosion of purlins and rafters.</x:v>
      </x:c>
      <x:c r="D181" s="17" t="str">
        <x:v>Rafters and purlins</x:v>
      </x:c>
      <x:c r="E181" s="19" t="n">
        <x:v>1</x:v>
      </x:c>
      <x:c r="F181" s="19" t="n">
        <x:v>1</x:v>
      </x:c>
      <x:c r="G181" s="16" t="str"/>
      <x:c r="H181" s="16" t="str">
        <x:v>SRC-054</x:v>
      </x:c>
      <x:c r="I181" s="17" t="str"/>
    </x:row>
    <x:row r="182" ht="37" customHeight="1">
      <x:c r="A182" s="16" t="str">
        <x:v>OBS-0176</x:v>
      </x:c>
      <x:c r="B182" s="17" t="str">
        <x:v>是</x:v>
      </x:c>
      <x:c r="C182" s="17" t="str">
        <x:v>Carport verandah. Soffit Tek screws and cladding have minor corrosion.</x:v>
      </x:c>
      <x:c r="D182" s="17" t="str">
        <x:v>Soffit cladding</x:v>
      </x:c>
      <x:c r="E182" s="19" t="n">
        <x:v>1</x:v>
      </x:c>
      <x:c r="F182" s="19" t="n">
        <x:v>1</x:v>
      </x:c>
      <x:c r="G182" s="16" t="str"/>
      <x:c r="H182" s="16" t="str">
        <x:v>SRC-013</x:v>
      </x:c>
      <x:c r="I182" s="17" t="str"/>
    </x:row>
    <x:row r="183" ht="37" customHeight="1">
      <x:c r="A183" s="16" t="str">
        <x:v>OBS-0177</x:v>
      </x:c>
      <x:c r="B183" s="17" t="str">
        <x:v>是</x:v>
      </x:c>
      <x:c r="C183" s="17" t="str">
        <x:v>Carport wall columns with water tap attached.</x:v>
      </x:c>
      <x:c r="D183" s="17" t="str">
        <x:v>Columns</x:v>
      </x:c>
      <x:c r="E183" s="19" t="n">
        <x:v>1</x:v>
      </x:c>
      <x:c r="F183" s="19" t="n">
        <x:v>1</x:v>
      </x:c>
      <x:c r="G183" s="16" t="str"/>
      <x:c r="H183" s="16" t="str">
        <x:v>SRC-011</x:v>
      </x:c>
      <x:c r="I183" s="17" t="str"/>
    </x:row>
    <x:row r="184" ht="37" customHeight="1">
      <x:c r="A184" s="16" t="str">
        <x:v>OBS-0178</x:v>
      </x:c>
      <x:c r="B184" s="17" t="str">
        <x:v>是</x:v>
      </x:c>
      <x:c r="C184" s="17" t="str">
        <x:v>Carport. Salt staining on steel beams. Carport. Salt staining on steel beams.</x:v>
      </x:c>
      <x:c r="D184" s="17" t="str">
        <x:v>Purlins and rafters</x:v>
      </x:c>
      <x:c r="E184" s="19" t="n">
        <x:v>1</x:v>
      </x:c>
      <x:c r="F184" s="19" t="n">
        <x:v>1</x:v>
      </x:c>
      <x:c r="G184" s="16" t="str"/>
      <x:c r="H184" s="16" t="str">
        <x:v>SRC-003</x:v>
      </x:c>
      <x:c r="I184" s="17" t="str"/>
    </x:row>
    <x:row r="185" ht="37" customHeight="1">
      <x:c r="A185" s="16" t="str">
        <x:v>OBS-0179</x:v>
      </x:c>
      <x:c r="B185" s="17" t="str">
        <x:v>是</x:v>
      </x:c>
      <x:c r="C185" s="17" t="str">
        <x:v>Carport. Salt staining on steel beams. Minor corrosion circled in red.</x:v>
      </x:c>
      <x:c r="D185" s="17" t="str">
        <x:v>Beams</x:v>
      </x:c>
      <x:c r="E185" s="19" t="n">
        <x:v>1</x:v>
      </x:c>
      <x:c r="F185" s="19" t="n">
        <x:v>1</x:v>
      </x:c>
      <x:c r="G185" s="16" t="str"/>
      <x:c r="H185" s="16" t="str">
        <x:v>SRC-004</x:v>
      </x:c>
      <x:c r="I185" s="17" t="str"/>
    </x:row>
    <x:row r="186" ht="41" customHeight="1">
      <x:c r="A186" s="16" t="str">
        <x:v>OBS-0180</x:v>
      </x:c>
      <x:c r="B186" s="17" t="str">
        <x:v>是</x:v>
      </x:c>
      <x:c r="C186" s="17" t="str">
        <x:v>Carport. Salt staining on steel beams. Minor surface corrosion on web side plate connection.</x:v>
      </x:c>
      <x:c r="D186" s="17" t="str">
        <x:v>Purlins and rafters</x:v>
      </x:c>
      <x:c r="E186" s="19" t="n">
        <x:v>1</x:v>
      </x:c>
      <x:c r="F186" s="19" t="n">
        <x:v>1</x:v>
      </x:c>
      <x:c r="G186" s="16" t="str"/>
      <x:c r="H186" s="16" t="str">
        <x:v>SRC-003</x:v>
      </x:c>
      <x:c r="I186" s="17" t="str"/>
    </x:row>
    <x:row r="187" ht="37" customHeight="1">
      <x:c r="A187" s="16" t="str">
        <x:v>OBS-0181</x:v>
      </x:c>
      <x:c r="B187" s="17" t="str">
        <x:v>是</x:v>
      </x:c>
      <x:c r="C187" s="17" t="str">
        <x:v>Carport. Soffit flashing has minor corrosion.</x:v>
      </x:c>
      <x:c r="D187" s="17" t="str">
        <x:v>Roof</x:v>
      </x:c>
      <x:c r="E187" s="19" t="n">
        <x:v>1</x:v>
      </x:c>
      <x:c r="F187" s="19" t="n">
        <x:v>1</x:v>
      </x:c>
      <x:c r="G187" s="16" t="str"/>
      <x:c r="H187" s="16" t="str">
        <x:v>SRC-054</x:v>
      </x:c>
      <x:c r="I187" s="17" t="str"/>
    </x:row>
    <x:row r="188" ht="37" customHeight="1">
      <x:c r="A188" s="16" t="str">
        <x:v>OBS-0182</x:v>
      </x:c>
      <x:c r="B188" s="17" t="str">
        <x:v>是</x:v>
      </x:c>
      <x:c r="C188" s="17" t="str">
        <x:v>Carport. Surface corrosion on corner flashing at overlap.</x:v>
      </x:c>
      <x:c r="D188" s="17" t="str">
        <x:v>Cladding and framing</x:v>
      </x:c>
      <x:c r="E188" s="19" t="n">
        <x:v>1</x:v>
      </x:c>
      <x:c r="F188" s="19" t="n">
        <x:v>1</x:v>
      </x:c>
      <x:c r="G188" s="16" t="str"/>
      <x:c r="H188" s="16" t="str">
        <x:v>SRC-024</x:v>
      </x:c>
      <x:c r="I188" s="17" t="str"/>
    </x:row>
    <x:row r="189" ht="37" customHeight="1">
      <x:c r="A189" s="16" t="str">
        <x:v>OBS-0183</x:v>
      </x:c>
      <x:c r="B189" s="17" t="str">
        <x:v>是</x:v>
      </x:c>
      <x:c r="C189" s="17" t="str">
        <x:v>Cladding and framing in good condition.</x:v>
      </x:c>
      <x:c r="D189" s="17" t="str">
        <x:v>Cladding and framing</x:v>
      </x:c>
      <x:c r="E189" s="19" t="n">
        <x:v>1</x:v>
      </x:c>
      <x:c r="F189" s="19" t="n">
        <x:v>1</x:v>
      </x:c>
      <x:c r="G189" s="16" t="str"/>
      <x:c r="H189" s="16" t="str">
        <x:v>SRC-008</x:v>
      </x:c>
      <x:c r="I189" s="17" t="str"/>
    </x:row>
    <x:row r="190" ht="41" customHeight="1">
      <x:c r="A190" s="16" t="str">
        <x:v>OBS-0184</x:v>
      </x:c>
      <x:c r="B190" s="17" t="str">
        <x:v>是</x:v>
      </x:c>
      <x:c r="C190" s="17" t="str">
        <x:v>Cladding and framing in good condition. Minor salt staining in the corner of window.</x:v>
      </x:c>
      <x:c r="D190" s="17" t="str">
        <x:v>Cladding and framing</x:v>
      </x:c>
      <x:c r="E190" s="19" t="n">
        <x:v>1</x:v>
      </x:c>
      <x:c r="F190" s="19" t="n">
        <x:v>1</x:v>
      </x:c>
      <x:c r="G190" s="16" t="str"/>
      <x:c r="H190" s="16" t="str">
        <x:v>SRC-008</x:v>
      </x:c>
      <x:c r="I190" s="17" t="str"/>
    </x:row>
    <x:row r="191" ht="37" customHeight="1">
      <x:c r="A191" s="16" t="str">
        <x:v>OBS-0185</x:v>
      </x:c>
      <x:c r="B191" s="17" t="str">
        <x:v>是</x:v>
      </x:c>
      <x:c r="C191" s="17" t="str">
        <x:v>Cladding and framing in good condition. Minor salt staining.</x:v>
      </x:c>
      <x:c r="D191" s="17" t="str">
        <x:v>Cladding and framing</x:v>
      </x:c>
      <x:c r="E191" s="19" t="n">
        <x:v>1</x:v>
      </x:c>
      <x:c r="F191" s="19" t="n">
        <x:v>1</x:v>
      </x:c>
      <x:c r="G191" s="16" t="str"/>
      <x:c r="H191" s="16" t="str">
        <x:v>SRC-008</x:v>
      </x:c>
      <x:c r="I191" s="17" t="str"/>
    </x:row>
    <x:row r="192" ht="37" customHeight="1">
      <x:c r="A192" s="16" t="str">
        <x:v>OBS-0186</x:v>
      </x:c>
      <x:c r="B192" s="17" t="str">
        <x:v>是</x:v>
      </x:c>
      <x:c r="C192" s="17" t="str">
        <x:v>Close up of location circled in red shown below. Splitting at bolt.</x:v>
      </x:c>
      <x:c r="D192" s="17" t="str">
        <x:v>Timber beam</x:v>
      </x:c>
      <x:c r="E192" s="19" t="n">
        <x:v>1</x:v>
      </x:c>
      <x:c r="F192" s="19" t="n">
        <x:v>1</x:v>
      </x:c>
      <x:c r="G192" s="16" t="str"/>
      <x:c r="H192" s="16" t="str">
        <x:v>SRC-092</x:v>
      </x:c>
      <x:c r="I192" s="17" t="str"/>
    </x:row>
    <x:row r="193" ht="41" customHeight="1">
      <x:c r="A193" s="16" t="str">
        <x:v>OBS-0187</x:v>
      </x:c>
      <x:c r="B193" s="17" t="str">
        <x:v>是</x:v>
      </x:c>
      <x:c r="C193" s="17" t="str">
        <x:v>Colum C5.1. Column has been rusted with holes at the base and is close to failure C5.2 appears to be rusted at the base as well.</x:v>
      </x:c>
      <x:c r="D193" s="17" t="str">
        <x:v>Verandah columns</x:v>
      </x:c>
      <x:c r="E193" s="19" t="n">
        <x:v>1</x:v>
      </x:c>
      <x:c r="F193" s="19" t="n">
        <x:v>1</x:v>
      </x:c>
      <x:c r="G193" s="16" t="str"/>
      <x:c r="H193" s="16" t="str">
        <x:v>SRC-029</x:v>
      </x:c>
      <x:c r="I193" s="17" t="str"/>
    </x:row>
    <x:row r="194" ht="37" customHeight="1">
      <x:c r="A194" s="16" t="str">
        <x:v>OBS-0188</x:v>
      </x:c>
      <x:c r="B194" s="17" t="str">
        <x:v>是</x:v>
      </x:c>
      <x:c r="C194" s="17" t="str">
        <x:v>Column 1 baseplate has blistering corrosion.</x:v>
      </x:c>
      <x:c r="D194" s="17" t="str">
        <x:v>Columns</x:v>
      </x:c>
      <x:c r="E194" s="19" t="n">
        <x:v>1</x:v>
      </x:c>
      <x:c r="F194" s="19" t="n">
        <x:v>1</x:v>
      </x:c>
      <x:c r="G194" s="16" t="str">
        <x:v>MRG-0024</x:v>
      </x:c>
      <x:c r="H194" s="16" t="str">
        <x:v>SRC-057</x:v>
      </x:c>
      <x:c r="I194" s="17" t="str"/>
    </x:row>
    <x:row r="195" ht="37" customHeight="1">
      <x:c r="A195" s="16" t="str">
        <x:v>OBS-0189</x:v>
      </x:c>
      <x:c r="B195" s="17" t="str">
        <x:v>是</x:v>
      </x:c>
      <x:c r="C195" s="17" t="str">
        <x:v>Column 1 strut. Paint deterioration and corrosion.</x:v>
      </x:c>
      <x:c r="D195" s="17" t="str">
        <x:v>Shade structure 4 columns and struts</x:v>
      </x:c>
      <x:c r="E195" s="19" t="n">
        <x:v>1</x:v>
      </x:c>
      <x:c r="F195" s="19" t="n">
        <x:v>1</x:v>
      </x:c>
      <x:c r="G195" s="16" t="str">
        <x:v>MRG-0022, MRG-0075</x:v>
      </x:c>
      <x:c r="H195" s="16" t="str">
        <x:v>SRC-092</x:v>
      </x:c>
      <x:c r="I195" s="17" t="str"/>
    </x:row>
    <x:row r="196" ht="37" customHeight="1">
      <x:c r="A196" s="16" t="str">
        <x:v>OBS-0190</x:v>
      </x:c>
      <x:c r="B196" s="17" t="str">
        <x:v>是</x:v>
      </x:c>
      <x:c r="C196" s="17" t="str">
        <x:v>Column 1. Major corrosion of the connection.</x:v>
      </x:c>
      <x:c r="D196" s="17" t="str">
        <x:v>Shade structure 1 over children’s pool</x:v>
      </x:c>
      <x:c r="E196" s="19" t="n">
        <x:v>1</x:v>
      </x:c>
      <x:c r="F196" s="19" t="n">
        <x:v>1</x:v>
      </x:c>
      <x:c r="G196" s="16" t="str">
        <x:v>MRG-0051</x:v>
      </x:c>
      <x:c r="H196" s="16" t="str">
        <x:v>SRC-092</x:v>
      </x:c>
      <x:c r="I196" s="17" t="str"/>
    </x:row>
    <x:row r="197" ht="37" customHeight="1">
      <x:c r="A197" s="16" t="str">
        <x:v>OBS-0191</x:v>
      </x:c>
      <x:c r="B197" s="17" t="str">
        <x:v>是</x:v>
      </x:c>
      <x:c r="C197" s="17" t="str">
        <x:v>Column 1. Paint deterioration.</x:v>
      </x:c>
      <x:c r="D197" s="17" t="str">
        <x:v>Front verandah columns</x:v>
      </x:c>
      <x:c r="E197" s="19" t="n">
        <x:v>1</x:v>
      </x:c>
      <x:c r="F197" s="19" t="n">
        <x:v>1</x:v>
      </x:c>
      <x:c r="G197" s="16" t="str">
        <x:v>MRG-0030</x:v>
      </x:c>
      <x:c r="H197" s="16" t="str">
        <x:v>SRC-092</x:v>
      </x:c>
      <x:c r="I197" s="17" t="str"/>
    </x:row>
    <x:row r="198" ht="41" customHeight="1">
      <x:c r="A198" s="16" t="str">
        <x:v>OBS-0192</x:v>
      </x:c>
      <x:c r="B198" s="17" t="str">
        <x:v>是</x:v>
      </x:c>
      <x:c r="C198" s="17" t="str">
        <x:v>Column 1. Severe corrosion of the connection. Steel brush pushed through showing that section loss has occurred and connection has hole through.</x:v>
      </x:c>
      <x:c r="D198" s="17" t="str">
        <x:v>Shade structure 1 over children’s pool</x:v>
      </x:c>
      <x:c r="E198" s="19" t="n">
        <x:v>1</x:v>
      </x:c>
      <x:c r="F198" s="19" t="n">
        <x:v>1</x:v>
      </x:c>
      <x:c r="G198" s="16" t="str"/>
      <x:c r="H198" s="16" t="str">
        <x:v>SRC-092</x:v>
      </x:c>
      <x:c r="I198" s="17" t="str"/>
    </x:row>
    <x:row r="199" ht="37" customHeight="1">
      <x:c r="A199" s="16" t="str">
        <x:v>OBS-0193</x:v>
      </x:c>
      <x:c r="B199" s="17" t="str">
        <x:v>是</x:v>
      </x:c>
      <x:c r="C199" s="17" t="str">
        <x:v>Column 2. Corrosion delamination towards the lower section of column.</x:v>
      </x:c>
      <x:c r="D199" s="17" t="str">
        <x:v>Front verandah columns</x:v>
      </x:c>
      <x:c r="E199" s="19" t="n">
        <x:v>1</x:v>
      </x:c>
      <x:c r="F199" s="19" t="n">
        <x:v>1</x:v>
      </x:c>
      <x:c r="G199" s="16" t="str">
        <x:v>MRG-0008</x:v>
      </x:c>
      <x:c r="H199" s="16" t="str">
        <x:v>SRC-092</x:v>
      </x:c>
      <x:c r="I199" s="17" t="str"/>
    </x:row>
    <x:row r="200" ht="41" customHeight="1">
      <x:c r="A200" s="16" t="str">
        <x:v>OBS-0194</x:v>
      </x:c>
      <x:c r="B200" s="17" t="str">
        <x:v>是</x:v>
      </x:c>
      <x:c r="C200" s="17" t="str">
        <x:v>Column 2. Paint deterioration on column. Typical defect to all shade structure columns. Corrosion delamination towards lower section.</x:v>
      </x:c>
      <x:c r="D200" s="17" t="str">
        <x:v>Shade structure 2 columns</x:v>
      </x:c>
      <x:c r="E200" s="19" t="n">
        <x:v>1</x:v>
      </x:c>
      <x:c r="F200" s="19" t="n">
        <x:v>1</x:v>
      </x:c>
      <x:c r="G200" s="16" t="str"/>
      <x:c r="H200" s="16" t="str">
        <x:v>SRC-092</x:v>
      </x:c>
      <x:c r="I200" s="17" t="str"/>
    </x:row>
    <x:row r="201" ht="37" customHeight="1">
      <x:c r="A201" s="16" t="str">
        <x:v>OBS-0195</x:v>
      </x:c>
      <x:c r="B201" s="17" t="str">
        <x:v>是</x:v>
      </x:c>
      <x:c r="C201" s="17" t="str">
        <x:v>Column 2. Salt staining at the lower section of column.</x:v>
      </x:c>
      <x:c r="D201" s="17" t="str">
        <x:v>Verandah columns</x:v>
      </x:c>
      <x:c r="E201" s="19" t="n">
        <x:v>1</x:v>
      </x:c>
      <x:c r="F201" s="19" t="n">
        <x:v>1</x:v>
      </x:c>
      <x:c r="G201" s="16" t="str">
        <x:v>MRG-0018</x:v>
      </x:c>
      <x:c r="H201" s="16" t="str">
        <x:v>SRC-002</x:v>
      </x:c>
      <x:c r="I201" s="17" t="str"/>
    </x:row>
    <x:row r="202" ht="37" customHeight="1">
      <x:c r="A202" s="16" t="str">
        <x:v>OBS-0196</x:v>
      </x:c>
      <x:c r="B202" s="17" t="str">
        <x:v>是</x:v>
      </x:c>
      <x:c r="C202" s="17" t="str">
        <x:v>Column 3 overview. Minor corrosion of the connection.</x:v>
      </x:c>
      <x:c r="D202" s="17" t="str">
        <x:v>Shade structure 1 over children’s pool</x:v>
      </x:c>
      <x:c r="E202" s="19" t="n">
        <x:v>1</x:v>
      </x:c>
      <x:c r="F202" s="19" t="n">
        <x:v>1</x:v>
      </x:c>
      <x:c r="G202" s="16" t="str">
        <x:v>MRG-0113</x:v>
      </x:c>
      <x:c r="H202" s="16" t="str">
        <x:v>SRC-092</x:v>
      </x:c>
      <x:c r="I202" s="17" t="str"/>
    </x:row>
    <x:row r="203" ht="37" customHeight="1">
      <x:c r="A203" s="16" t="str">
        <x:v>OBS-0197</x:v>
      </x:c>
      <x:c r="B203" s="17" t="str">
        <x:v>是</x:v>
      </x:c>
      <x:c r="C203" s="17" t="str">
        <x:v>Column 3 strut. Paint deterioration and corrosion.</x:v>
      </x:c>
      <x:c r="D203" s="17" t="str">
        <x:v>Shade structure 4 columns and struts</x:v>
      </x:c>
      <x:c r="E203" s="19" t="n">
        <x:v>1</x:v>
      </x:c>
      <x:c r="F203" s="19" t="n">
        <x:v>1</x:v>
      </x:c>
      <x:c r="G203" s="16" t="str">
        <x:v>MRG-0022, MRG-0047</x:v>
      </x:c>
      <x:c r="H203" s="16" t="str">
        <x:v>SRC-092</x:v>
      </x:c>
      <x:c r="I203" s="17" t="str"/>
    </x:row>
    <x:row r="204" ht="37" customHeight="1">
      <x:c r="A204" s="16" t="str">
        <x:v>OBS-0198</x:v>
      </x:c>
      <x:c r="B204" s="17" t="str">
        <x:v>是</x:v>
      </x:c>
      <x:c r="C204" s="17" t="str">
        <x:v>Column 3. Corrosion delamination towards the lower section of column.</x:v>
      </x:c>
      <x:c r="D204" s="17" t="str">
        <x:v>Front verandah columns</x:v>
      </x:c>
      <x:c r="E204" s="19" t="n">
        <x:v>1</x:v>
      </x:c>
      <x:c r="F204" s="19" t="n">
        <x:v>1</x:v>
      </x:c>
      <x:c r="G204" s="16" t="str">
        <x:v>MRG-0008</x:v>
      </x:c>
      <x:c r="H204" s="16" t="str">
        <x:v>SRC-092</x:v>
      </x:c>
      <x:c r="I204" s="17" t="str"/>
    </x:row>
    <x:row r="205" ht="37" customHeight="1">
      <x:c r="A205" s="16" t="str">
        <x:v>OBS-0199</x:v>
      </x:c>
      <x:c r="B205" s="17" t="str">
        <x:v>是</x:v>
      </x:c>
      <x:c r="C205" s="17" t="str">
        <x:v>Column 3. Paint deterioration and corrosion.</x:v>
      </x:c>
      <x:c r="D205" s="17" t="str">
        <x:v>Shade structure 4 columns and struts</x:v>
      </x:c>
      <x:c r="E205" s="19" t="n">
        <x:v>1</x:v>
      </x:c>
      <x:c r="F205" s="19" t="n">
        <x:v>1</x:v>
      </x:c>
      <x:c r="G205" s="16" t="str">
        <x:v>MRG-0047, MRG-0075</x:v>
      </x:c>
      <x:c r="H205" s="16" t="str">
        <x:v>SRC-092</x:v>
      </x:c>
      <x:c r="I205" s="17" t="str"/>
    </x:row>
    <x:row r="206" ht="37" customHeight="1">
      <x:c r="A206" s="16" t="str">
        <x:v>OBS-0200</x:v>
      </x:c>
      <x:c r="B206" s="17" t="str">
        <x:v>是</x:v>
      </x:c>
      <x:c r="C206" s="17" t="str">
        <x:v>Column 3. Salt staining at the lower section of column.</x:v>
      </x:c>
      <x:c r="D206" s="17" t="str">
        <x:v>Verandah columns</x:v>
      </x:c>
      <x:c r="E206" s="19" t="n">
        <x:v>1</x:v>
      </x:c>
      <x:c r="F206" s="19" t="n">
        <x:v>1</x:v>
      </x:c>
      <x:c r="G206" s="16" t="str">
        <x:v>MRG-0018</x:v>
      </x:c>
      <x:c r="H206" s="16" t="str">
        <x:v>SRC-002</x:v>
      </x:c>
      <x:c r="I206" s="17" t="str"/>
    </x:row>
    <x:row r="207" ht="37" customHeight="1">
      <x:c r="A207" s="16" t="str">
        <x:v>OBS-0201</x:v>
      </x:c>
      <x:c r="B207" s="17" t="str">
        <x:v>是</x:v>
      </x:c>
      <x:c r="C207" s="17" t="str">
        <x:v>Column 4 baseplate has blistering corrosion.</x:v>
      </x:c>
      <x:c r="D207" s="17" t="str">
        <x:v>Columns</x:v>
      </x:c>
      <x:c r="E207" s="19" t="n">
        <x:v>1</x:v>
      </x:c>
      <x:c r="F207" s="19" t="n">
        <x:v>1</x:v>
      </x:c>
      <x:c r="G207" s="16" t="str">
        <x:v>MRG-0024</x:v>
      </x:c>
      <x:c r="H207" s="16" t="str">
        <x:v>SRC-057</x:v>
      </x:c>
      <x:c r="I207" s="17" t="str"/>
    </x:row>
    <x:row r="208" ht="37" customHeight="1">
      <x:c r="A208" s="16" t="str">
        <x:v>OBS-0202</x:v>
      </x:c>
      <x:c r="B208" s="17" t="str">
        <x:v>是</x:v>
      </x:c>
      <x:c r="C208" s="17" t="str">
        <x:v>Column 4 has hole in column towards the bottom.</x:v>
      </x:c>
      <x:c r="D208" s="17" t="str">
        <x:v>Shade structure 2 columns</x:v>
      </x:c>
      <x:c r="E208" s="19" t="n">
        <x:v>1</x:v>
      </x:c>
      <x:c r="F208" s="19" t="n">
        <x:v>1</x:v>
      </x:c>
      <x:c r="G208" s="16" t="str"/>
      <x:c r="H208" s="16" t="str">
        <x:v>SRC-092</x:v>
      </x:c>
      <x:c r="I208" s="17" t="str"/>
    </x:row>
    <x:row r="209" ht="37" customHeight="1">
      <x:c r="A209" s="16" t="str">
        <x:v>OBS-0203</x:v>
      </x:c>
      <x:c r="B209" s="17" t="str">
        <x:v>是</x:v>
      </x:c>
      <x:c r="C209" s="17" t="str">
        <x:v>Column 4. Minor corrosion at the lower section of column.</x:v>
      </x:c>
      <x:c r="D209" s="17" t="str">
        <x:v>Verandah columns</x:v>
      </x:c>
      <x:c r="E209" s="19" t="n">
        <x:v>1</x:v>
      </x:c>
      <x:c r="F209" s="19" t="n">
        <x:v>1</x:v>
      </x:c>
      <x:c r="G209" s="16" t="str">
        <x:v>MRG-0147</x:v>
      </x:c>
      <x:c r="H209" s="16" t="str">
        <x:v>SRC-002</x:v>
      </x:c>
      <x:c r="I209" s="17" t="str"/>
    </x:row>
    <x:row r="210" ht="37" customHeight="1">
      <x:c r="A210" s="16" t="str">
        <x:v>OBS-0204</x:v>
      </x:c>
      <x:c r="B210" s="17" t="str">
        <x:v>是</x:v>
      </x:c>
      <x:c r="C210" s="17" t="str">
        <x:v>Column 4. Minor corrosion of the connection.</x:v>
      </x:c>
      <x:c r="D210" s="17" t="str">
        <x:v>Shade structure 1 over children’s pool</x:v>
      </x:c>
      <x:c r="E210" s="19" t="n">
        <x:v>1</x:v>
      </x:c>
      <x:c r="F210" s="19" t="n">
        <x:v>1</x:v>
      </x:c>
      <x:c r="G210" s="16" t="str">
        <x:v>MRG-0051, MRG-0113</x:v>
      </x:c>
      <x:c r="H210" s="16" t="str">
        <x:v>SRC-092</x:v>
      </x:c>
      <x:c r="I210" s="17" t="str"/>
    </x:row>
    <x:row r="211" ht="37" customHeight="1">
      <x:c r="A211" s="16" t="str">
        <x:v>OBS-0205</x:v>
      </x:c>
      <x:c r="B211" s="17" t="str">
        <x:v>是</x:v>
      </x:c>
      <x:c r="C211" s="17" t="str">
        <x:v>Column 5 from the left-hand side. Staining and paint deterioration.</x:v>
      </x:c>
      <x:c r="D211" s="17" t="str">
        <x:v>Verandah columns and beams</x:v>
      </x:c>
      <x:c r="E211" s="19" t="n">
        <x:v>1</x:v>
      </x:c>
      <x:c r="F211" s="19" t="n">
        <x:v>1</x:v>
      </x:c>
      <x:c r="G211" s="16" t="str">
        <x:v>MRG-0009</x:v>
      </x:c>
      <x:c r="H211" s="16" t="str">
        <x:v>SRC-015</x:v>
      </x:c>
      <x:c r="I211" s="17" t="str"/>
    </x:row>
    <x:row r="212" ht="37" customHeight="1">
      <x:c r="A212" s="16" t="str">
        <x:v>OBS-0206</x:v>
      </x:c>
      <x:c r="B212" s="17" t="str">
        <x:v>是</x:v>
      </x:c>
      <x:c r="C212" s="17" t="str">
        <x:v>Column 6 from the left-hand side. Staining and paint deterioration.</x:v>
      </x:c>
      <x:c r="D212" s="17" t="str">
        <x:v>Verandah columns and beams</x:v>
      </x:c>
      <x:c r="E212" s="19" t="n">
        <x:v>1</x:v>
      </x:c>
      <x:c r="F212" s="19" t="n">
        <x:v>1</x:v>
      </x:c>
      <x:c r="G212" s="16" t="str">
        <x:v>MRG-0009</x:v>
      </x:c>
      <x:c r="H212" s="16" t="str">
        <x:v>SRC-015</x:v>
      </x:c>
      <x:c r="I212" s="17" t="str"/>
    </x:row>
    <x:row r="213" ht="37" customHeight="1">
      <x:c r="A213" s="16" t="str">
        <x:v>OBS-0207</x:v>
      </x:c>
      <x:c r="B213" s="17" t="str">
        <x:v>是</x:v>
      </x:c>
      <x:c r="C213" s="17" t="str">
        <x:v>Column C1 had completely corroded through and is close to failure.</x:v>
      </x:c>
      <x:c r="D213" s="17" t="str">
        <x:v>Verandah columns</x:v>
      </x:c>
      <x:c r="E213" s="19" t="n">
        <x:v>1</x:v>
      </x:c>
      <x:c r="F213" s="19" t="n">
        <x:v>1</x:v>
      </x:c>
      <x:c r="G213" s="16" t="str"/>
      <x:c r="H213" s="16" t="str">
        <x:v>SRC-029</x:v>
      </x:c>
      <x:c r="I213" s="17" t="str"/>
    </x:row>
    <x:row r="214" ht="41" customHeight="1">
      <x:c r="A214" s="16" t="str">
        <x:v>OBS-0208</x:v>
      </x:c>
      <x:c r="B214" s="17" t="str">
        <x:v>是</x:v>
      </x:c>
      <x:c r="C214" s="17" t="str">
        <x:v>Column C4.1 has been rusted with holes at the lower portion of the column and is close to failure</x:v>
      </x:c>
      <x:c r="D214" s="17" t="str">
        <x:v>Verandah columns</x:v>
      </x:c>
      <x:c r="E214" s="19" t="n">
        <x:v>1</x:v>
      </x:c>
      <x:c r="F214" s="19" t="n">
        <x:v>1</x:v>
      </x:c>
      <x:c r="G214" s="16" t="str"/>
      <x:c r="H214" s="16" t="str">
        <x:v>SRC-029</x:v>
      </x:c>
      <x:c r="I214" s="17" t="str"/>
    </x:row>
    <x:row r="215" ht="37" customHeight="1">
      <x:c r="A215" s="16" t="str">
        <x:v>OBS-0209</x:v>
      </x:c>
      <x:c r="B215" s="17" t="str">
        <x:v>是</x:v>
      </x:c>
      <x:c r="C215" s="17" t="str">
        <x:v>Column C5.4 has corrosion delamination.</x:v>
      </x:c>
      <x:c r="D215" s="17" t="str">
        <x:v>Carport column baseplate</x:v>
      </x:c>
      <x:c r="E215" s="19" t="n">
        <x:v>1</x:v>
      </x:c>
      <x:c r="F215" s="19" t="n">
        <x:v>1</x:v>
      </x:c>
      <x:c r="G215" s="16" t="str"/>
      <x:c r="H215" s="16" t="str">
        <x:v>SRC-029</x:v>
      </x:c>
      <x:c r="I215" s="17" t="str"/>
    </x:row>
    <x:row r="216" ht="41" customHeight="1">
      <x:c r="A216" s="16" t="str">
        <x:v>OBS-0210</x:v>
      </x:c>
      <x:c r="B216" s="17" t="str">
        <x:v>是</x:v>
      </x:c>
      <x:c r="C216" s="17" t="str">
        <x:v>Column C6.1 has been rusted with holes through at the base and is close to failure</x:v>
      </x:c>
      <x:c r="D216" s="17" t="str">
        <x:v>Verandah columns</x:v>
      </x:c>
      <x:c r="E216" s="19" t="n">
        <x:v>1</x:v>
      </x:c>
      <x:c r="F216" s="19" t="n">
        <x:v>1</x:v>
      </x:c>
      <x:c r="G216" s="16" t="str">
        <x:v>MRG-0194</x:v>
      </x:c>
      <x:c r="H216" s="16" t="str">
        <x:v>SRC-029</x:v>
      </x:c>
      <x:c r="I216" s="17" t="str"/>
    </x:row>
    <x:row r="217" ht="37" customHeight="1">
      <x:c r="A217" s="16" t="str">
        <x:v>OBS-0211</x:v>
      </x:c>
      <x:c r="B217" s="17" t="str">
        <x:v>是</x:v>
      </x:c>
      <x:c r="C217" s="17" t="str">
        <x:v>Column C6.4 along perimeter fencing has corrosion delamination of baseplate.</x:v>
      </x:c>
      <x:c r="D217" s="17" t="str">
        <x:v>Carport column baseplate</x:v>
      </x:c>
      <x:c r="E217" s="19" t="n">
        <x:v>1</x:v>
      </x:c>
      <x:c r="F217" s="19" t="n">
        <x:v>1</x:v>
      </x:c>
      <x:c r="G217" s="16" t="str"/>
      <x:c r="H217" s="16" t="str">
        <x:v>SRC-029</x:v>
      </x:c>
      <x:c r="I217" s="17" t="str"/>
    </x:row>
    <x:row r="218" ht="37" customHeight="1">
      <x:c r="A218" s="16" t="str">
        <x:v>OBS-0212</x:v>
      </x:c>
      <x:c r="B218" s="17" t="str">
        <x:v>是</x:v>
      </x:c>
      <x:c r="C218" s="17" t="str">
        <x:v>Column C7.1 1 has severe corrosion at the base and is close to failure</x:v>
      </x:c>
      <x:c r="D218" s="17" t="str">
        <x:v>Verandah columns</x:v>
      </x:c>
      <x:c r="E218" s="19" t="n">
        <x:v>1</x:v>
      </x:c>
      <x:c r="F218" s="19" t="n">
        <x:v>1</x:v>
      </x:c>
      <x:c r="G218" s="16" t="str"/>
      <x:c r="H218" s="16" t="str">
        <x:v>SRC-029</x:v>
      </x:c>
      <x:c r="I218" s="17" t="str"/>
    </x:row>
    <x:row r="219" ht="41" customHeight="1">
      <x:c r="A219" s="16" t="str">
        <x:v>OBS-0213</x:v>
      </x:c>
      <x:c r="B219" s="17" t="str">
        <x:v>是</x:v>
      </x:c>
      <x:c r="C219" s="17" t="str">
        <x:v>Column C8.1 is within 57B Lukis Street front yard and has severe corrosion at the base and is close to failure</x:v>
      </x:c>
      <x:c r="D219" s="17" t="str">
        <x:v>Verandah columns</x:v>
      </x:c>
      <x:c r="E219" s="19" t="n">
        <x:v>1</x:v>
      </x:c>
      <x:c r="F219" s="19" t="n">
        <x:v>1</x:v>
      </x:c>
      <x:c r="G219" s="16" t="str"/>
      <x:c r="H219" s="16" t="str">
        <x:v>SRC-029</x:v>
      </x:c>
      <x:c r="I219" s="17" t="str"/>
    </x:row>
    <x:row r="220" ht="37" customHeight="1">
      <x:c r="A220" s="16" t="str">
        <x:v>OBS-0214</x:v>
      </x:c>
      <x:c r="B220" s="17" t="str">
        <x:v>是</x:v>
      </x:c>
      <x:c r="C220" s="17" t="str">
        <x:v>Column furthest away from ocean. GENERAL</x:v>
      </x:c>
      <x:c r="D220" s="17" t="str">
        <x:v>Column baseplate</x:v>
      </x:c>
      <x:c r="E220" s="19" t="n">
        <x:v>1</x:v>
      </x:c>
      <x:c r="F220" s="19" t="n">
        <x:v>1</x:v>
      </x:c>
      <x:c r="G220" s="16" t="str"/>
      <x:c r="H220" s="16" t="str">
        <x:v>SRC-080</x:v>
      </x:c>
      <x:c r="I220" s="17" t="str"/>
    </x:row>
    <x:row r="221" ht="41" customHeight="1">
      <x:c r="A221" s="16" t="str">
        <x:v>OBS-0215</x:v>
      </x:c>
      <x:c r="B221" s="17" t="str">
        <x:v>是</x:v>
      </x:c>
      <x:c r="C221" s="17" t="str">
        <x:v>Columns C2.1, C2.2 and C2.3 had been rusted through at the base and is close to failure.</x:v>
      </x:c>
      <x:c r="D221" s="17" t="str">
        <x:v>Verandah columns</x:v>
      </x:c>
      <x:c r="E221" s="19" t="n">
        <x:v>1</x:v>
      </x:c>
      <x:c r="F221" s="19" t="n">
        <x:v>1</x:v>
      </x:c>
      <x:c r="G221" s="16" t="str">
        <x:v>MRG-0194</x:v>
      </x:c>
      <x:c r="H221" s="16" t="str">
        <x:v>SRC-029</x:v>
      </x:c>
      <x:c r="I221" s="17" t="str"/>
    </x:row>
    <x:row r="222" ht="37" customHeight="1">
      <x:c r="A222" s="16" t="str">
        <x:v>OBS-0216</x:v>
      </x:c>
      <x:c r="B222" s="17" t="str">
        <x:v>是</x:v>
      </x:c>
      <x:c r="C222" s="17" t="str">
        <x:v>Columns and baseplate in good condition.</x:v>
      </x:c>
      <x:c r="D222" s="17" t="str">
        <x:v>Verandah columns</x:v>
      </x:c>
      <x:c r="E222" s="19" t="n">
        <x:v>1</x:v>
      </x:c>
      <x:c r="F222" s="19" t="n">
        <x:v>1</x:v>
      </x:c>
      <x:c r="G222" s="16" t="str"/>
      <x:c r="H222" s="16" t="str">
        <x:v>SRC-048</x:v>
      </x:c>
      <x:c r="I222" s="17" t="str"/>
    </x:row>
    <x:row r="223" ht="37" customHeight="1">
      <x:c r="A223" s="16" t="str">
        <x:v>OBS-0217</x:v>
      </x:c>
      <x:c r="B223" s="17" t="str">
        <x:v>是</x:v>
      </x:c>
      <x:c r="C223" s="17" t="str">
        <x:v>Concrete service lid. Exposed reinforcement and spalling of concrete.</x:v>
      </x:c>
      <x:c r="D223" s="17" t="str">
        <x:v>Service lid</x:v>
      </x:c>
      <x:c r="E223" s="19" t="n">
        <x:v>1</x:v>
      </x:c>
      <x:c r="F223" s="19" t="n">
        <x:v>1</x:v>
      </x:c>
      <x:c r="G223" s="16" t="str"/>
      <x:c r="H223" s="16" t="str">
        <x:v>SRC-009</x:v>
      </x:c>
      <x:c r="I223" s="17" t="str"/>
    </x:row>
    <x:row r="224" ht="37" customHeight="1">
      <x:c r="A224" s="16" t="str">
        <x:v>OBS-0218</x:v>
      </x:c>
      <x:c r="B224" s="17" t="str">
        <x:v>是</x:v>
      </x:c>
      <x:c r="C224" s="17" t="str">
        <x:v>Connection between fencing frame and mesh has detached.</x:v>
      </x:c>
      <x:c r="D224" s="17" t="str">
        <x:v>Fence</x:v>
      </x:c>
      <x:c r="E224" s="19" t="n">
        <x:v>1</x:v>
      </x:c>
      <x:c r="F224" s="19" t="n">
        <x:v>1</x:v>
      </x:c>
      <x:c r="G224" s="16" t="str"/>
      <x:c r="H224" s="16" t="str">
        <x:v>SRC-092</x:v>
      </x:c>
      <x:c r="I224" s="17" t="str"/>
    </x:row>
    <x:row r="225" ht="37" customHeight="1">
      <x:c r="A225" s="16" t="str">
        <x:v>OBS-0219</x:v>
      </x:c>
      <x:c r="B225" s="17" t="str">
        <x:v>是</x:v>
      </x:c>
      <x:c r="C225" s="17" t="str">
        <x:v>Corroded Tek screw and surrounding sheeting.</x:v>
      </x:c>
      <x:c r="D225" s="17" t="str">
        <x:v>Roof</x:v>
      </x:c>
      <x:c r="E225" s="19" t="n">
        <x:v>1</x:v>
      </x:c>
      <x:c r="F225" s="19" t="n">
        <x:v>1</x:v>
      </x:c>
      <x:c r="G225" s="16" t="str"/>
      <x:c r="H225" s="16" t="str">
        <x:v>SRC-010</x:v>
      </x:c>
      <x:c r="I225" s="17" t="str"/>
    </x:row>
    <x:row r="226" ht="37" customHeight="1">
      <x:c r="A226" s="16" t="str">
        <x:v>OBS-0220</x:v>
      </x:c>
      <x:c r="B226" s="17" t="str">
        <x:v>是</x:v>
      </x:c>
      <x:c r="C226" s="17" t="str">
        <x:v>Corroded base plate and bolts.</x:v>
      </x:c>
      <x:c r="D226" s="17" t="str">
        <x:v>Column baseplate</x:v>
      </x:c>
      <x:c r="E226" s="19" t="n">
        <x:v>1</x:v>
      </x:c>
      <x:c r="F226" s="19" t="n">
        <x:v>1</x:v>
      </x:c>
      <x:c r="G226" s="16" t="str"/>
      <x:c r="H226" s="16" t="str">
        <x:v>SRC-071</x:v>
      </x:c>
      <x:c r="I226" s="17" t="str"/>
    </x:row>
    <x:row r="227" ht="37" customHeight="1">
      <x:c r="A227" s="16" t="str">
        <x:v>OBS-0221</x:v>
      </x:c>
      <x:c r="B227" s="17" t="str">
        <x:v>是</x:v>
      </x:c>
      <x:c r="C227" s="17" t="str">
        <x:v>Corroded bolt causing cracking in brickwork.</x:v>
      </x:c>
      <x:c r="D227" s="17" t="str">
        <x:v>Garage</x:v>
      </x:c>
      <x:c r="E227" s="19" t="n">
        <x:v>1</x:v>
      </x:c>
      <x:c r="F227" s="19" t="n">
        <x:v>1</x:v>
      </x:c>
      <x:c r="G227" s="16" t="str"/>
      <x:c r="H227" s="16" t="str">
        <x:v>SRC-006</x:v>
      </x:c>
      <x:c r="I227" s="17" t="str"/>
    </x:row>
    <x:row r="228" ht="37" customHeight="1">
      <x:c r="A228" s="16" t="str">
        <x:v>OBS-0222</x:v>
      </x:c>
      <x:c r="B228" s="17" t="str">
        <x:v>是</x:v>
      </x:c>
      <x:c r="C228" s="17" t="str">
        <x:v>Corrosion and paint deterioration.</x:v>
      </x:c>
      <x:c r="D228" s="17" t="str">
        <x:v>Basketball post</x:v>
      </x:c>
      <x:c r="E228" s="19" t="n">
        <x:v>1</x:v>
      </x:c>
      <x:c r="F228" s="19" t="n">
        <x:v>1</x:v>
      </x:c>
      <x:c r="G228" s="16" t="str">
        <x:v>MRG-0071</x:v>
      </x:c>
      <x:c r="H228" s="16" t="str">
        <x:v>SRC-092</x:v>
      </x:c>
      <x:c r="I228" s="17" t="str"/>
    </x:row>
    <x:row r="229" ht="37" customHeight="1">
      <x:c r="A229" s="16" t="str">
        <x:v>OBS-0223</x:v>
      </x:c>
      <x:c r="B229" s="17" t="str">
        <x:v>是</x:v>
      </x:c>
      <x:c r="C229" s="17" t="str">
        <x:v>Corrosion at supports. Moves when pushed.</x:v>
      </x:c>
      <x:c r="D229" s="17" t="str">
        <x:v>Sculpture B</x:v>
      </x:c>
      <x:c r="E229" s="19" t="n">
        <x:v>1</x:v>
      </x:c>
      <x:c r="F229" s="19" t="n">
        <x:v>1</x:v>
      </x:c>
      <x:c r="G229" s="16" t="str"/>
      <x:c r="H229" s="16" t="str">
        <x:v>SRC-094</x:v>
      </x:c>
      <x:c r="I229" s="17" t="str"/>
    </x:row>
    <x:row r="230" ht="55" customHeight="1">
      <x:c r="A230" s="16" t="str">
        <x:v>OBS-0224</x:v>
      </x:c>
      <x:c r="B230" s="17" t="str">
        <x:v>是</x:v>
      </x:c>
      <x:c r="C230" s="17" t="str">
        <x:v>Corrosion at the lower portion of artwork. No footing was observed. Sprinkler system and rainwater pooling at ground level may be the cause of corrosion. Foot plates also corroded away.</x:v>
      </x:c>
      <x:c r="D230" s="17" t="str">
        <x:v>Lower portion of the welded couple</x:v>
      </x:c>
      <x:c r="E230" s="19" t="n">
        <x:v>1</x:v>
      </x:c>
      <x:c r="F230" s="19" t="n">
        <x:v>1</x:v>
      </x:c>
      <x:c r="G230" s="16" t="str"/>
      <x:c r="H230" s="16" t="str">
        <x:v>SRC-103</x:v>
      </x:c>
      <x:c r="I230" s="17" t="str"/>
    </x:row>
    <x:row r="231" ht="41" customHeight="1">
      <x:c r="A231" s="16" t="str">
        <x:v>OBS-0225</x:v>
      </x:c>
      <x:c r="B231" s="17" t="str">
        <x:v>是</x:v>
      </x:c>
      <x:c r="C231" s="17" t="str">
        <x:v>Corrosion behind the placard. Minor corrosion and pitting of the entire steel sheet.</x:v>
      </x:c>
      <x:c r="D231" s="17" t="str">
        <x:v>Informational Panel 1</x:v>
      </x:c>
      <x:c r="E231" s="19" t="n">
        <x:v>1</x:v>
      </x:c>
      <x:c r="F231" s="19" t="n">
        <x:v>1</x:v>
      </x:c>
      <x:c r="G231" s="16" t="str"/>
      <x:c r="H231" s="16" t="str">
        <x:v>SRC-071</x:v>
      </x:c>
      <x:c r="I231" s="17" t="str"/>
    </x:row>
    <x:row r="232" ht="37" customHeight="1">
      <x:c r="A232" s="16" t="str">
        <x:v>OBS-0226</x:v>
      </x:c>
      <x:c r="B232" s="17" t="str">
        <x:v>是</x:v>
      </x:c>
      <x:c r="C232" s="17" t="str">
        <x:v>Corrosion delamination on all purlins.</x:v>
      </x:c>
      <x:c r="D232" s="17" t="str">
        <x:v>Purlins and rafters</x:v>
      </x:c>
      <x:c r="E232" s="19" t="n">
        <x:v>1</x:v>
      </x:c>
      <x:c r="F232" s="19" t="n">
        <x:v>1</x:v>
      </x:c>
      <x:c r="G232" s="16" t="str"/>
      <x:c r="H232" s="16" t="str">
        <x:v>SRC-100</x:v>
      </x:c>
      <x:c r="I232" s="17" t="str"/>
    </x:row>
    <x:row r="233" ht="37" customHeight="1">
      <x:c r="A233" s="16" t="str">
        <x:v>OBS-0227</x:v>
      </x:c>
      <x:c r="B233" s="17" t="str">
        <x:v>是</x:v>
      </x:c>
      <x:c r="C233" s="17" t="str">
        <x:v>Corrosion delamination towards the lower section.</x:v>
      </x:c>
      <x:c r="D233" s="17" t="str">
        <x:v>Light post</x:v>
      </x:c>
      <x:c r="E233" s="19" t="n">
        <x:v>1</x:v>
      </x:c>
      <x:c r="F233" s="19" t="n">
        <x:v>1</x:v>
      </x:c>
      <x:c r="G233" s="16" t="str">
        <x:v>MRG-0080</x:v>
      </x:c>
      <x:c r="H233" s="16" t="str">
        <x:v>SRC-092</x:v>
      </x:c>
      <x:c r="I233" s="17" t="str"/>
    </x:row>
    <x:row r="234" ht="37" customHeight="1">
      <x:c r="A234" s="16" t="str">
        <x:v>OBS-0228</x:v>
      </x:c>
      <x:c r="B234" s="17" t="str">
        <x:v>是</x:v>
      </x:c>
      <x:c r="C234" s="17" t="str">
        <x:v>Corrosion of top hat purlins and Tek screws.</x:v>
      </x:c>
      <x:c r="D234" s="17" t="str">
        <x:v>Purlins and rafters</x:v>
      </x:c>
      <x:c r="E234" s="19" t="n">
        <x:v>1</x:v>
      </x:c>
      <x:c r="F234" s="19" t="n">
        <x:v>1</x:v>
      </x:c>
      <x:c r="G234" s="16" t="str"/>
      <x:c r="H234" s="16" t="str">
        <x:v>SRC-048</x:v>
      </x:c>
      <x:c r="I234" s="17" t="str"/>
    </x:row>
    <x:row r="235" ht="37" customHeight="1">
      <x:c r="A235" s="16" t="str">
        <x:v>OBS-0229</x:v>
      </x:c>
      <x:c r="B235" s="17" t="str">
        <x:v>是</x:v>
      </x:c>
      <x:c r="C235" s="17" t="str">
        <x:v>Corrosion on baseplate.</x:v>
      </x:c>
      <x:c r="D235" s="17" t="str">
        <x:v>Multipurpose Building verandah</x:v>
      </x:c>
      <x:c r="E235" s="19" t="n">
        <x:v>1</x:v>
      </x:c>
      <x:c r="F235" s="19" t="n">
        <x:v>1</x:v>
      </x:c>
      <x:c r="G235" s="16" t="str"/>
      <x:c r="H235" s="16" t="str">
        <x:v>SRC-063</x:v>
      </x:c>
      <x:c r="I235" s="17" t="str"/>
    </x:row>
    <x:row r="236" ht="37" customHeight="1">
      <x:c r="A236" s="16" t="str">
        <x:v>OBS-0230</x:v>
      </x:c>
      <x:c r="B236" s="17" t="str">
        <x:v>是</x:v>
      </x:c>
      <x:c r="C236" s="17" t="str">
        <x:v>Corrosion on cladding.</x:v>
      </x:c>
      <x:c r="D236" s="17" t="str">
        <x:v>Front cladding</x:v>
      </x:c>
      <x:c r="E236" s="19" t="n">
        <x:v>1</x:v>
      </x:c>
      <x:c r="F236" s="19" t="n">
        <x:v>1</x:v>
      </x:c>
      <x:c r="G236" s="16" t="str"/>
      <x:c r="H236" s="16" t="str">
        <x:v>SRC-092</x:v>
      </x:c>
      <x:c r="I236" s="17" t="str"/>
    </x:row>
    <x:row r="237" ht="37" customHeight="1">
      <x:c r="A237" s="16" t="str">
        <x:v>OBS-0231</x:v>
      </x:c>
      <x:c r="B237" s="17" t="str">
        <x:v>是</x:v>
      </x:c>
      <x:c r="C237" s="17" t="str">
        <x:v>Corrosion on cladding. Close-up photo shown below.</x:v>
      </x:c>
      <x:c r="D237" s="17" t="str">
        <x:v>Front cladding</x:v>
      </x:c>
      <x:c r="E237" s="19" t="n">
        <x:v>1</x:v>
      </x:c>
      <x:c r="F237" s="19" t="n">
        <x:v>1</x:v>
      </x:c>
      <x:c r="G237" s="16" t="str"/>
      <x:c r="H237" s="16" t="str">
        <x:v>SRC-092</x:v>
      </x:c>
      <x:c r="I237" s="17" t="str"/>
    </x:row>
    <x:row r="238" ht="41" customHeight="1">
      <x:c r="A238" s="16" t="str">
        <x:v>OBS-0232</x:v>
      </x:c>
      <x:c r="B238" s="17" t="str">
        <x:v>是</x:v>
      </x:c>
      <x:c r="C238" s="17" t="str">
        <x:v>Corrosion on damp proof coursing at front of house. Typical corrosion to all damp proof coursing around house.</x:v>
      </x:c>
      <x:c r="D238" s="17" t="str">
        <x:v>Damp proof coursing</x:v>
      </x:c>
      <x:c r="E238" s="19" t="n">
        <x:v>1</x:v>
      </x:c>
      <x:c r="F238" s="19" t="n">
        <x:v>1</x:v>
      </x:c>
      <x:c r="G238" s="16" t="str"/>
      <x:c r="H238" s="16" t="str">
        <x:v>SRC-006</x:v>
      </x:c>
      <x:c r="I238" s="17" t="str"/>
    </x:row>
    <x:row r="239" ht="37" customHeight="1">
      <x:c r="A239" s="16" t="str">
        <x:v>OBS-0233</x:v>
      </x:c>
      <x:c r="B239" s="17" t="str">
        <x:v>是</x:v>
      </x:c>
      <x:c r="C239" s="17" t="str">
        <x:v>Corrosion on roof sheeting.</x:v>
      </x:c>
      <x:c r="D239" s="17" t="str">
        <x:v>Multipurpose Building verandah</x:v>
      </x:c>
      <x:c r="E239" s="19" t="n">
        <x:v>1</x:v>
      </x:c>
      <x:c r="F239" s="19" t="n">
        <x:v>1</x:v>
      </x:c>
      <x:c r="G239" s="16" t="str">
        <x:v>MRG-0093, MRG-0146</x:v>
      </x:c>
      <x:c r="H239" s="16" t="str">
        <x:v>SRC-063</x:v>
      </x:c>
      <x:c r="I239" s="17" t="str"/>
    </x:row>
    <x:row r="240" ht="37" customHeight="1">
      <x:c r="A240" s="16" t="str">
        <x:v>OBS-0234</x:v>
      </x:c>
      <x:c r="B240" s="17" t="str">
        <x:v>是</x:v>
      </x:c>
      <x:c r="C240" s="17" t="str">
        <x:v>Corrosion on steel column.</x:v>
      </x:c>
      <x:c r="D240" s="17" t="str">
        <x:v>Garage</x:v>
      </x:c>
      <x:c r="E240" s="19" t="n">
        <x:v>1</x:v>
      </x:c>
      <x:c r="F240" s="19" t="n">
        <x:v>1</x:v>
      </x:c>
      <x:c r="G240" s="16" t="str"/>
      <x:c r="H240" s="16" t="str">
        <x:v>SRC-006</x:v>
      </x:c>
      <x:c r="I240" s="17" t="str"/>
    </x:row>
    <x:row r="241" ht="37" customHeight="1">
      <x:c r="A241" s="16" t="str">
        <x:v>OBS-0235</x:v>
      </x:c>
      <x:c r="B241" s="17" t="str">
        <x:v>是</x:v>
      </x:c>
      <x:c r="C241" s="17" t="str">
        <x:v>Corrosion on steel supports.</x:v>
      </x:c>
      <x:c r="D241" s="17" t="str">
        <x:v>Sculpture A</x:v>
      </x:c>
      <x:c r="E241" s="19" t="n">
        <x:v>1</x:v>
      </x:c>
      <x:c r="F241" s="19" t="n">
        <x:v>1</x:v>
      </x:c>
      <x:c r="G241" s="16" t="str"/>
      <x:c r="H241" s="16" t="str">
        <x:v>SRC-094</x:v>
      </x:c>
      <x:c r="I241" s="17" t="str"/>
    </x:row>
    <x:row r="242" ht="37" customHeight="1">
      <x:c r="A242" s="16" t="str">
        <x:v>OBS-0236</x:v>
      </x:c>
      <x:c r="B242" s="17" t="str">
        <x:v>是</x:v>
      </x:c>
      <x:c r="C242" s="17" t="str">
        <x:v>Corrosion on steel supports. One support has failed.</x:v>
      </x:c>
      <x:c r="D242" s="17" t="str">
        <x:v>Sculpture A</x:v>
      </x:c>
      <x:c r="E242" s="19" t="n">
        <x:v>1</x:v>
      </x:c>
      <x:c r="F242" s="19" t="n">
        <x:v>1</x:v>
      </x:c>
      <x:c r="G242" s="16" t="str"/>
      <x:c r="H242" s="16" t="str">
        <x:v>SRC-094</x:v>
      </x:c>
      <x:c r="I242" s="17" t="str"/>
    </x:row>
    <x:row r="243" ht="37" customHeight="1">
      <x:c r="A243" s="16" t="str">
        <x:v>OBS-0237</x:v>
      </x:c>
      <x:c r="B243" s="17" t="str">
        <x:v>是</x:v>
      </x:c>
      <x:c r="C243" s="17" t="str">
        <x:v>Corrosion on the lower section of fencing.</x:v>
      </x:c>
      <x:c r="D243" s="17" t="str">
        <x:v>Fencing</x:v>
      </x:c>
      <x:c r="E243" s="19" t="n">
        <x:v>1</x:v>
      </x:c>
      <x:c r="F243" s="19" t="n">
        <x:v>1</x:v>
      </x:c>
      <x:c r="G243" s="16" t="str"/>
      <x:c r="H243" s="16" t="str">
        <x:v>SRC-013</x:v>
      </x:c>
      <x:c r="I243" s="17" t="str"/>
    </x:row>
    <x:row r="244" ht="41" customHeight="1">
      <x:c r="A244" s="16" t="str">
        <x:v>OBS-0238</x:v>
      </x:c>
      <x:c r="B244" s="17" t="str">
        <x:v>是</x:v>
      </x:c>
      <x:c r="C244" s="17" t="str">
        <x:v>Corrosion towards lower section circled column in red. All other columns are in good condition.</x:v>
      </x:c>
      <x:c r="D244" s="17" t="str">
        <x:v>Back verandah columns</x:v>
      </x:c>
      <x:c r="E244" s="19" t="n">
        <x:v>1</x:v>
      </x:c>
      <x:c r="F244" s="19" t="n">
        <x:v>1</x:v>
      </x:c>
      <x:c r="G244" s="16" t="str"/>
      <x:c r="H244" s="16" t="str">
        <x:v>SRC-092</x:v>
      </x:c>
      <x:c r="I244" s="17" t="str"/>
    </x:row>
    <x:row r="245" ht="37" customHeight="1">
      <x:c r="A245" s="16" t="str">
        <x:v>OBS-0239</x:v>
      </x:c>
      <x:c r="B245" s="17" t="str">
        <x:v>是</x:v>
      </x:c>
      <x:c r="C245" s="17" t="str">
        <x:v>Corrosion towards lower section of support.</x:v>
      </x:c>
      <x:c r="D245" s="17" t="str">
        <x:v>Seat supports</x:v>
      </x:c>
      <x:c r="E245" s="19" t="n">
        <x:v>1</x:v>
      </x:c>
      <x:c r="F245" s="19" t="n">
        <x:v>1</x:v>
      </x:c>
      <x:c r="G245" s="16" t="str"/>
      <x:c r="H245" s="16" t="str">
        <x:v>SRC-094</x:v>
      </x:c>
      <x:c r="I245" s="17" t="str"/>
    </x:row>
    <x:row r="246" ht="37" customHeight="1">
      <x:c r="A246" s="16" t="str">
        <x:v>OBS-0240</x:v>
      </x:c>
      <x:c r="B246" s="17" t="str">
        <x:v>是</x:v>
      </x:c>
      <x:c r="C246" s="17" t="str">
        <x:v>Cracking along the mortar bed. Typical building defect.</x:v>
      </x:c>
      <x:c r="D246" s="17" t="str">
        <x:v>Multipurpose Building – brick wall</x:v>
      </x:c>
      <x:c r="E246" s="19" t="n">
        <x:v>1</x:v>
      </x:c>
      <x:c r="F246" s="19" t="n">
        <x:v>1</x:v>
      </x:c>
      <x:c r="G246" s="16" t="str"/>
      <x:c r="H246" s="16" t="str">
        <x:v>SRC-063</x:v>
      </x:c>
      <x:c r="I246" s="17" t="str"/>
    </x:row>
    <x:row r="247" ht="41" customHeight="1">
      <x:c r="A247" s="16" t="str">
        <x:v>OBS-0241</x:v>
      </x:c>
      <x:c r="B247" s="17" t="str">
        <x:v>是</x:v>
      </x:c>
      <x:c r="C247" s="17" t="str">
        <x:v>Cracking on brickwork to full height. The crack widens at the bottom and tapers towards the top.</x:v>
      </x:c>
      <x:c r="D247" s="17" t="str">
        <x:v>Brick wall</x:v>
      </x:c>
      <x:c r="E247" s="19" t="n">
        <x:v>1</x:v>
      </x:c>
      <x:c r="F247" s="19" t="n">
        <x:v>1</x:v>
      </x:c>
      <x:c r="G247" s="16" t="str"/>
      <x:c r="H247" s="16" t="str">
        <x:v>SRC-006</x:v>
      </x:c>
      <x:c r="I247" s="17" t="str"/>
    </x:row>
    <x:row r="248" ht="37" customHeight="1">
      <x:c r="A248" s="16" t="str">
        <x:v>OBS-0242</x:v>
      </x:c>
      <x:c r="B248" s="17" t="str">
        <x:v>是</x:v>
      </x:c>
      <x:c r="C248" s="17" t="str">
        <x:v>Cracking on concrete column.</x:v>
      </x:c>
      <x:c r="D248" s="17" t="str">
        <x:v>Concrete column</x:v>
      </x:c>
      <x:c r="E248" s="19" t="n">
        <x:v>1</x:v>
      </x:c>
      <x:c r="F248" s="19" t="n">
        <x:v>1</x:v>
      </x:c>
      <x:c r="G248" s="16" t="str"/>
      <x:c r="H248" s="16" t="str">
        <x:v>SRC-096</x:v>
      </x:c>
      <x:c r="I248" s="17" t="str"/>
    </x:row>
    <x:row r="249" ht="37" customHeight="1">
      <x:c r="A249" s="16" t="str">
        <x:v>OBS-0243</x:v>
      </x:c>
      <x:c r="B249" s="17" t="str">
        <x:v>是</x:v>
      </x:c>
      <x:c r="C249" s="17" t="str">
        <x:v>Cracking on concrete footpath.</x:v>
      </x:c>
      <x:c r="D249" s="17" t="str">
        <x:v>Footpath</x:v>
      </x:c>
      <x:c r="E249" s="19" t="n">
        <x:v>1</x:v>
      </x:c>
      <x:c r="F249" s="19" t="n">
        <x:v>1</x:v>
      </x:c>
      <x:c r="G249" s="16" t="str"/>
      <x:c r="H249" s="16" t="str">
        <x:v>SRC-063</x:v>
      </x:c>
      <x:c r="I249" s="17" t="str"/>
    </x:row>
    <x:row r="250" ht="37" customHeight="1">
      <x:c r="A250" s="16" t="str">
        <x:v>OBS-0244</x:v>
      </x:c>
      <x:c r="B250" s="17" t="str">
        <x:v>是</x:v>
      </x:c>
      <x:c r="C250" s="17" t="str">
        <x:v>Cracks on footpath.</x:v>
      </x:c>
      <x:c r="D250" s="17" t="str">
        <x:v>Footpath</x:v>
      </x:c>
      <x:c r="E250" s="19" t="n">
        <x:v>1</x:v>
      </x:c>
      <x:c r="F250" s="19" t="n">
        <x:v>1</x:v>
      </x:c>
      <x:c r="G250" s="16" t="str"/>
      <x:c r="H250" s="16" t="str">
        <x:v>SRC-063</x:v>
      </x:c>
      <x:c r="I250" s="17" t="str"/>
    </x:row>
    <x:row r="251" ht="37" customHeight="1">
      <x:c r="A251" s="16" t="str">
        <x:v>OBS-0245</x:v>
      </x:c>
      <x:c r="B251" s="17" t="str">
        <x:v>是</x:v>
      </x:c>
      <x:c r="C251" s="17" t="str">
        <x:v>Deformed fencing</x:v>
      </x:c>
      <x:c r="D251" s="17" t="str">
        <x:v>Fencing</x:v>
      </x:c>
      <x:c r="E251" s="19" t="n">
        <x:v>1</x:v>
      </x:c>
      <x:c r="F251" s="19" t="n">
        <x:v>1</x:v>
      </x:c>
      <x:c r="G251" s="16" t="str"/>
      <x:c r="H251" s="16" t="str">
        <x:v>SRC-013</x:v>
      </x:c>
      <x:c r="I251" s="17" t="str"/>
    </x:row>
    <x:row r="252" ht="37" customHeight="1">
      <x:c r="A252" s="16" t="str">
        <x:v>OBS-0246</x:v>
      </x:c>
      <x:c r="B252" s="17" t="str">
        <x:v>是</x:v>
      </x:c>
      <x:c r="C252" s="17" t="str">
        <x:v>Deformed roof sheeting due to impact damage.</x:v>
      </x:c>
      <x:c r="D252" s="17" t="str">
        <x:v>Roof sheeting</x:v>
      </x:c>
      <x:c r="E252" s="19" t="n">
        <x:v>1</x:v>
      </x:c>
      <x:c r="F252" s="19" t="n">
        <x:v>1</x:v>
      </x:c>
      <x:c r="G252" s="16" t="str"/>
      <x:c r="H252" s="16" t="str">
        <x:v>SRC-071</x:v>
      </x:c>
      <x:c r="I252" s="17" t="str"/>
    </x:row>
    <x:row r="253" ht="37" customHeight="1">
      <x:c r="A253" s="16" t="str">
        <x:v>OBS-0247</x:v>
      </x:c>
      <x:c r="B253" s="17" t="str">
        <x:v>是</x:v>
      </x:c>
      <x:c r="C253" s="17" t="str">
        <x:v>Deformed roof sheeting.</x:v>
      </x:c>
      <x:c r="D253" s="17" t="str">
        <x:v>Roof sheeting</x:v>
      </x:c>
      <x:c r="E253" s="19" t="n">
        <x:v>1</x:v>
      </x:c>
      <x:c r="F253" s="19" t="n">
        <x:v>1</x:v>
      </x:c>
      <x:c r="G253" s="16" t="str"/>
      <x:c r="H253" s="16" t="str">
        <x:v>SRC-071</x:v>
      </x:c>
      <x:c r="I253" s="17" t="str"/>
    </x:row>
    <x:row r="254" ht="37" customHeight="1">
      <x:c r="A254" s="16" t="str">
        <x:v>OBS-0248</x:v>
      </x:c>
      <x:c r="B254" s="17" t="str">
        <x:v>是</x:v>
      </x:c>
      <x:c r="C254" s="17" t="str">
        <x:v>Deterioration of chain link fence coating.</x:v>
      </x:c>
      <x:c r="D254" s="17" t="str">
        <x:v>Fence</x:v>
      </x:c>
      <x:c r="E254" s="19" t="n">
        <x:v>1</x:v>
      </x:c>
      <x:c r="F254" s="19" t="n">
        <x:v>1</x:v>
      </x:c>
      <x:c r="G254" s="16" t="str"/>
      <x:c r="H254" s="16" t="str">
        <x:v>SRC-092</x:v>
      </x:c>
      <x:c r="I254" s="17" t="str"/>
    </x:row>
    <x:row r="255" ht="41" customHeight="1">
      <x:c r="A255" s="16" t="str">
        <x:v>OBS-0249</x:v>
      </x:c>
      <x:c r="B255" s="17" t="str">
        <x:v>是</x:v>
      </x:c>
      <x:c r="C255" s="17" t="str">
        <x:v>East end of site, left hand side light post. Lights removed or failed due to corroded connection.</x:v>
      </x:c>
      <x:c r="D255" s="17" t="str">
        <x:v>Light post</x:v>
      </x:c>
      <x:c r="E255" s="19" t="n">
        <x:v>1</x:v>
      </x:c>
      <x:c r="F255" s="19" t="n">
        <x:v>1</x:v>
      </x:c>
      <x:c r="G255" s="16" t="str"/>
      <x:c r="H255" s="16" t="str">
        <x:v>SRC-063</x:v>
      </x:c>
      <x:c r="I255" s="17" t="str"/>
    </x:row>
    <x:row r="256" ht="37" customHeight="1">
      <x:c r="A256" s="16" t="str">
        <x:v>OBS-0250</x:v>
      </x:c>
      <x:c r="B256" s="17" t="str">
        <x:v>是</x:v>
      </x:c>
      <x:c r="C256" s="17" t="str">
        <x:v>East end of site, left hand side light post. Overview of light post.</x:v>
      </x:c>
      <x:c r="D256" s="17" t="str">
        <x:v>Light post</x:v>
      </x:c>
      <x:c r="E256" s="19" t="n">
        <x:v>1</x:v>
      </x:c>
      <x:c r="F256" s="19" t="n">
        <x:v>1</x:v>
      </x:c>
      <x:c r="G256" s="16" t="str"/>
      <x:c r="H256" s="16" t="str">
        <x:v>SRC-063</x:v>
      </x:c>
      <x:c r="I256" s="17" t="str"/>
    </x:row>
    <x:row r="257" ht="41" customHeight="1">
      <x:c r="A257" s="16" t="str">
        <x:v>OBS-0251</x:v>
      </x:c>
      <x:c r="B257" s="17" t="str">
        <x:v>是</x:v>
      </x:c>
      <x:c r="C257" s="17" t="str">
        <x:v>East end of site, left hand side light post. Severely corroded baseplate and stiffeners.</x:v>
      </x:c>
      <x:c r="D257" s="17" t="str">
        <x:v>Light post</x:v>
      </x:c>
      <x:c r="E257" s="19" t="n">
        <x:v>1</x:v>
      </x:c>
      <x:c r="F257" s="19" t="n">
        <x:v>1</x:v>
      </x:c>
      <x:c r="G257" s="16" t="str"/>
      <x:c r="H257" s="16" t="str">
        <x:v>SRC-063</x:v>
      </x:c>
      <x:c r="I257" s="17" t="str"/>
    </x:row>
    <x:row r="258" ht="41" customHeight="1">
      <x:c r="A258" s="16" t="str">
        <x:v>OBS-0252</x:v>
      </x:c>
      <x:c r="B258" s="17" t="str">
        <x:v>是</x:v>
      </x:c>
      <x:c r="C258" s="17" t="str">
        <x:v>East end of site, right hand side light post. Corroded plate and bolt connection.</x:v>
      </x:c>
      <x:c r="D258" s="17" t="str">
        <x:v>Light post</x:v>
      </x:c>
      <x:c r="E258" s="19" t="n">
        <x:v>1</x:v>
      </x:c>
      <x:c r="F258" s="19" t="n">
        <x:v>1</x:v>
      </x:c>
      <x:c r="G258" s="16" t="str"/>
      <x:c r="H258" s="16" t="str">
        <x:v>SRC-063</x:v>
      </x:c>
      <x:c r="I258" s="17" t="str"/>
    </x:row>
    <x:row r="259" ht="41" customHeight="1">
      <x:c r="A259" s="16" t="str">
        <x:v>OBS-0253</x:v>
      </x:c>
      <x:c r="B259" s="17" t="str">
        <x:v>是</x:v>
      </x:c>
      <x:c r="C259" s="17" t="str">
        <x:v>East end of site, right hand side light post. Minor corrosion on stiffener and baseplate.</x:v>
      </x:c>
      <x:c r="D259" s="17" t="str">
        <x:v>Light post</x:v>
      </x:c>
      <x:c r="E259" s="19" t="n">
        <x:v>1</x:v>
      </x:c>
      <x:c r="F259" s="19" t="n">
        <x:v>1</x:v>
      </x:c>
      <x:c r="G259" s="16" t="str"/>
      <x:c r="H259" s="16" t="str">
        <x:v>SRC-063</x:v>
      </x:c>
      <x:c r="I259" s="17" t="str"/>
    </x:row>
    <x:row r="260" ht="37" customHeight="1">
      <x:c r="A260" s="16" t="str">
        <x:v>OBS-0254</x:v>
      </x:c>
      <x:c r="B260" s="17" t="str">
        <x:v>是</x:v>
      </x:c>
      <x:c r="C260" s="17" t="str">
        <x:v>East end of site, right hand side light post. Overview.</x:v>
      </x:c>
      <x:c r="D260" s="17" t="str">
        <x:v>Light post</x:v>
      </x:c>
      <x:c r="E260" s="19" t="n">
        <x:v>1</x:v>
      </x:c>
      <x:c r="F260" s="19" t="n">
        <x:v>1</x:v>
      </x:c>
      <x:c r="G260" s="16" t="str"/>
      <x:c r="H260" s="16" t="str">
        <x:v>SRC-063</x:v>
      </x:c>
      <x:c r="I260" s="17" t="str"/>
    </x:row>
    <x:row r="261" ht="37" customHeight="1">
      <x:c r="A261" s="16" t="str">
        <x:v>OBS-0255</x:v>
      </x:c>
      <x:c r="B261" s="17" t="str">
        <x:v>是</x:v>
      </x:c>
      <x:c r="C261" s="17" t="str">
        <x:v>East side corner in the front of house. Top hats and Tek screws have rusted.</x:v>
      </x:c>
      <x:c r="D261" s="17" t="str">
        <x:v>Top hat purlins and Tek screws</x:v>
      </x:c>
      <x:c r="E261" s="19" t="n">
        <x:v>1</x:v>
      </x:c>
      <x:c r="F261" s="19" t="n">
        <x:v>1</x:v>
      </x:c>
      <x:c r="G261" s="16" t="str"/>
      <x:c r="H261" s="16" t="str">
        <x:v>SRC-029</x:v>
      </x:c>
      <x:c r="I261" s="17" t="str"/>
    </x:row>
    <x:row r="262" ht="37" customHeight="1">
      <x:c r="A262" s="16" t="str">
        <x:v>OBS-0256</x:v>
      </x:c>
      <x:c r="B262" s="17" t="str">
        <x:v>是</x:v>
      </x:c>
      <x:c r="C262" s="17" t="str">
        <x:v>Edge column C5.6 has minor corrosion at baseplate and anchors.</x:v>
      </x:c>
      <x:c r="D262" s="17" t="str">
        <x:v>Carport column baseplate</x:v>
      </x:c>
      <x:c r="E262" s="19" t="n">
        <x:v>1</x:v>
      </x:c>
      <x:c r="F262" s="19" t="n">
        <x:v>1</x:v>
      </x:c>
      <x:c r="G262" s="16" t="str">
        <x:v>MRG-0138</x:v>
      </x:c>
      <x:c r="H262" s="16" t="str">
        <x:v>SRC-029</x:v>
      </x:c>
      <x:c r="I262" s="17" t="str"/>
    </x:row>
    <x:row r="263" ht="37" customHeight="1">
      <x:c r="A263" s="16" t="str">
        <x:v>OBS-0257</x:v>
      </x:c>
      <x:c r="B263" s="17" t="str">
        <x:v>是</x:v>
      </x:c>
      <x:c r="C263" s="17" t="str">
        <x:v>Edge column C6.5 has minor corrosion at baseplate.</x:v>
      </x:c>
      <x:c r="D263" s="17" t="str">
        <x:v>Carport column baseplate</x:v>
      </x:c>
      <x:c r="E263" s="19" t="n">
        <x:v>1</x:v>
      </x:c>
      <x:c r="F263" s="19" t="n">
        <x:v>1</x:v>
      </x:c>
      <x:c r="G263" s="16" t="str">
        <x:v>MRG-0138</x:v>
      </x:c>
      <x:c r="H263" s="16" t="str">
        <x:v>SRC-029</x:v>
      </x:c>
      <x:c r="I263" s="17" t="str"/>
    </x:row>
    <x:row r="264" ht="37" customHeight="1">
      <x:c r="A264" s="16" t="str">
        <x:v>OBS-0258</x:v>
      </x:c>
      <x:c r="B264" s="17" t="str">
        <x:v>是</x:v>
      </x:c>
      <x:c r="C264" s="17" t="str">
        <x:v>Facing the east end of the building.</x:v>
      </x:c>
      <x:c r="D264" s="17" t="str">
        <x:v>Childhood Centre - timber rafters</x:v>
      </x:c>
      <x:c r="E264" s="19" t="n">
        <x:v>1</x:v>
      </x:c>
      <x:c r="F264" s="19" t="n">
        <x:v>1</x:v>
      </x:c>
      <x:c r="G264" s="16" t="str"/>
      <x:c r="H264" s="16" t="str">
        <x:v>SRC-063</x:v>
      </x:c>
      <x:c r="I264" s="17" t="str"/>
    </x:row>
    <x:row r="265" ht="37" customHeight="1">
      <x:c r="A265" s="16" t="str">
        <x:v>OBS-0259</x:v>
      </x:c>
      <x:c r="B265" s="17" t="str">
        <x:v>是</x:v>
      </x:c>
      <x:c r="C265" s="17" t="str">
        <x:v>Fencing along carport. Post base has hole at the base.</x:v>
      </x:c>
      <x:c r="D265" s="17" t="str">
        <x:v>Fencing posts</x:v>
      </x:c>
      <x:c r="E265" s="19" t="n">
        <x:v>1</x:v>
      </x:c>
      <x:c r="F265" s="19" t="n">
        <x:v>1</x:v>
      </x:c>
      <x:c r="G265" s="16" t="str"/>
      <x:c r="H265" s="16" t="str">
        <x:v>SRC-029</x:v>
      </x:c>
      <x:c r="I265" s="17" t="str"/>
    </x:row>
    <x:row r="266" ht="41" customHeight="1">
      <x:c r="A266" s="16" t="str">
        <x:v>OBS-0260</x:v>
      </x:c>
      <x:c r="B266" s="17" t="str">
        <x:v>是</x:v>
      </x:c>
      <x:c r="C266" s="17" t="str">
        <x:v>Fencing along carport. Post has a hole in the lower portion of post. Baseplate has severe corrosion delamination.</x:v>
      </x:c>
      <x:c r="D266" s="17" t="str">
        <x:v>Fencing posts</x:v>
      </x:c>
      <x:c r="E266" s="19" t="n">
        <x:v>1</x:v>
      </x:c>
      <x:c r="F266" s="19" t="n">
        <x:v>1</x:v>
      </x:c>
      <x:c r="G266" s="16" t="str"/>
      <x:c r="H266" s="16" t="str">
        <x:v>SRC-029</x:v>
      </x:c>
      <x:c r="I266" s="17" t="str"/>
    </x:row>
    <x:row r="267" ht="37" customHeight="1">
      <x:c r="A267" s="16" t="str">
        <x:v>OBS-0261</x:v>
      </x:c>
      <x:c r="B267" s="17" t="str">
        <x:v>是</x:v>
      </x:c>
      <x:c r="C267" s="17" t="str">
        <x:v>Fencing along carport. Post has been rusted and a hole at the base.</x:v>
      </x:c>
      <x:c r="D267" s="17" t="str">
        <x:v>Fencing posts</x:v>
      </x:c>
      <x:c r="E267" s="19" t="n">
        <x:v>1</x:v>
      </x:c>
      <x:c r="F267" s="19" t="n">
        <x:v>1</x:v>
      </x:c>
      <x:c r="G267" s="16" t="str"/>
      <x:c r="H267" s="16" t="str">
        <x:v>SRC-029</x:v>
      </x:c>
      <x:c r="I267" s="17" t="str"/>
    </x:row>
    <x:row r="268" ht="37" customHeight="1">
      <x:c r="A268" s="16" t="str">
        <x:v>OBS-0262</x:v>
      </x:c>
      <x:c r="B268" s="17" t="str">
        <x:v>是</x:v>
      </x:c>
      <x:c r="C268" s="17" t="str">
        <x:v>Fencing along carport. Significant corrosion at lower portion of post.</x:v>
      </x:c>
      <x:c r="D268" s="17" t="str">
        <x:v>Fencing posts</x:v>
      </x:c>
      <x:c r="E268" s="19" t="n">
        <x:v>1</x:v>
      </x:c>
      <x:c r="F268" s="19" t="n">
        <x:v>1</x:v>
      </x:c>
      <x:c r="G268" s="16" t="str"/>
      <x:c r="H268" s="16" t="str">
        <x:v>SRC-029</x:v>
      </x:c>
      <x:c r="I268" s="17" t="str"/>
    </x:row>
    <x:row r="269" ht="55" customHeight="1">
      <x:c r="A269" s="16" t="str">
        <x:v>OBS-0263</x:v>
      </x:c>
      <x:c r="B269" s="17" t="str">
        <x:v>是</x:v>
      </x:c>
      <x:c r="C269" s="17" t="str">
        <x:v>Fencing posts on left hand side of property facing the front entrance. Bitumen paint deterioration and delamination of the lower section. Minor corrosion along the length of the post, varies with each post.</x:v>
      </x:c>
      <x:c r="D269" s="17" t="str">
        <x:v>Fencing posts</x:v>
      </x:c>
      <x:c r="E269" s="19" t="n">
        <x:v>1</x:v>
      </x:c>
      <x:c r="F269" s="19" t="n">
        <x:v>1</x:v>
      </x:c>
      <x:c r="G269" s="16" t="str"/>
      <x:c r="H269" s="16" t="str">
        <x:v>SRC-062</x:v>
      </x:c>
      <x:c r="I269" s="17" t="str"/>
    </x:row>
    <x:row r="270" ht="41" customHeight="1">
      <x:c r="A270" s="16" t="str">
        <x:v>OBS-0264</x:v>
      </x:c>
      <x:c r="B270" s="17" t="str">
        <x:v>是</x:v>
      </x:c>
      <x:c r="C270" s="17" t="str">
        <x:v>Fencing posts on left hand side of property facing the front entrance. Bitumen paint deterioration and minor corrosion on post cap.</x:v>
      </x:c>
      <x:c r="D270" s="17" t="str">
        <x:v>Fencing post</x:v>
      </x:c>
      <x:c r="E270" s="19" t="n">
        <x:v>1</x:v>
      </x:c>
      <x:c r="F270" s="19" t="n">
        <x:v>1</x:v>
      </x:c>
      <x:c r="G270" s="16" t="str">
        <x:v>MRG-0061, MRG-0159</x:v>
      </x:c>
      <x:c r="H270" s="16" t="str">
        <x:v>SRC-025</x:v>
      </x:c>
      <x:c r="I270" s="17" t="str"/>
    </x:row>
    <x:row r="271" ht="41" customHeight="1">
      <x:c r="A271" s="16" t="str">
        <x:v>OBS-0265</x:v>
      </x:c>
      <x:c r="B271" s="17" t="str">
        <x:v>是</x:v>
      </x:c>
      <x:c r="C271" s="17" t="str">
        <x:v>Fencing posts on left hand side of property facing the front entrance. Corrosion.</x:v>
      </x:c>
      <x:c r="D271" s="17" t="str">
        <x:v>Fencing post</x:v>
      </x:c>
      <x:c r="E271" s="19" t="n">
        <x:v>1</x:v>
      </x:c>
      <x:c r="F271" s="19" t="n">
        <x:v>1</x:v>
      </x:c>
      <x:c r="G271" s="16" t="str">
        <x:v>MRG-0050, MRG-0129, MRG-0171</x:v>
      </x:c>
      <x:c r="H271" s="16" t="str">
        <x:v>SRC-025</x:v>
      </x:c>
      <x:c r="I271" s="17" t="str"/>
    </x:row>
    <x:row r="272" ht="41" customHeight="1">
      <x:c r="A272" s="16" t="str">
        <x:v>OBS-0266</x:v>
      </x:c>
      <x:c r="B272" s="17" t="str">
        <x:v>是</x:v>
      </x:c>
      <x:c r="C272" s="17" t="str">
        <x:v>Fencing posts on left hand side of property facing the front entrance. Minor corrosion around cap plate.</x:v>
      </x:c>
      <x:c r="D272" s="17" t="str">
        <x:v>Fencing posts</x:v>
      </x:c>
      <x:c r="E272" s="19" t="n">
        <x:v>1</x:v>
      </x:c>
      <x:c r="F272" s="19" t="n">
        <x:v>1</x:v>
      </x:c>
      <x:c r="G272" s="16" t="str">
        <x:v>MRG-0129</x:v>
      </x:c>
      <x:c r="H272" s="16" t="str">
        <x:v>SRC-055</x:v>
      </x:c>
      <x:c r="I272" s="17" t="str"/>
    </x:row>
    <x:row r="273" ht="37" customHeight="1">
      <x:c r="A273" s="16" t="str">
        <x:v>OBS-0267</x:v>
      </x:c>
      <x:c r="B273" s="17" t="str">
        <x:v>是</x:v>
      </x:c>
      <x:c r="C273" s="17" t="str">
        <x:v>Flaking of steel ring.</x:v>
      </x:c>
      <x:c r="D273" s="17" t="str">
        <x:v>Sculpture E</x:v>
      </x:c>
      <x:c r="E273" s="19" t="n">
        <x:v>1</x:v>
      </x:c>
      <x:c r="F273" s="19" t="n">
        <x:v>1</x:v>
      </x:c>
      <x:c r="G273" s="16" t="str"/>
      <x:c r="H273" s="16" t="str">
        <x:v>SRC-094</x:v>
      </x:c>
      <x:c r="I273" s="17" t="str"/>
    </x:row>
    <x:row r="274" ht="41" customHeight="1">
      <x:c r="A274" s="16" t="str">
        <x:v>OBS-0268</x:v>
      </x:c>
      <x:c r="B274" s="17" t="str">
        <x:v>是</x:v>
      </x:c>
      <x:c r="C274" s="17" t="str">
        <x:v>Front and right hand side of house facing the entrance. Minor corrosion of verandah beam.</x:v>
      </x:c>
      <x:c r="D274" s="17" t="str">
        <x:v>Purlins and rafters</x:v>
      </x:c>
      <x:c r="E274" s="19" t="n">
        <x:v>1</x:v>
      </x:c>
      <x:c r="F274" s="19" t="n">
        <x:v>1</x:v>
      </x:c>
      <x:c r="G274" s="16" t="str">
        <x:v>MRG-0082, MRG-0115, MRG-0116</x:v>
      </x:c>
      <x:c r="H274" s="16" t="str">
        <x:v>SRC-055</x:v>
      </x:c>
      <x:c r="I274" s="17" t="str"/>
    </x:row>
    <x:row r="275" ht="37" customHeight="1">
      <x:c r="A275" s="16" t="str">
        <x:v>OBS-0269</x:v>
      </x:c>
      <x:c r="B275" s="17" t="str">
        <x:v>是</x:v>
      </x:c>
      <x:c r="C275" s="17" t="str">
        <x:v>Front cladding in good condition.</x:v>
      </x:c>
      <x:c r="D275" s="17" t="str">
        <x:v>Cladding and framing</x:v>
      </x:c>
      <x:c r="E275" s="19" t="n">
        <x:v>1</x:v>
      </x:c>
      <x:c r="F275" s="19" t="n">
        <x:v>1</x:v>
      </x:c>
      <x:c r="G275" s="16" t="str">
        <x:v>MRG-0057, MRG-0134, MRG-0160, MRG-0189</x:v>
      </x:c>
      <x:c r="H275" s="16" t="str">
        <x:v>SRC-002</x:v>
      </x:c>
      <x:c r="I275" s="17" t="str"/>
    </x:row>
    <x:row r="276" ht="37" customHeight="1">
      <x:c r="A276" s="16" t="str">
        <x:v>OBS-0270</x:v>
      </x:c>
      <x:c r="B276" s="17" t="str">
        <x:v>是</x:v>
      </x:c>
      <x:c r="C276" s="17" t="str">
        <x:v>Front entrance of pool shed. Minor corrosion of flashing.</x:v>
      </x:c>
      <x:c r="D276" s="17" t="str">
        <x:v>Pool support</x:v>
      </x:c>
      <x:c r="E276" s="19" t="n">
        <x:v>1</x:v>
      </x:c>
      <x:c r="F276" s="19" t="n">
        <x:v>1</x:v>
      </x:c>
      <x:c r="G276" s="16" t="str"/>
      <x:c r="H276" s="16" t="str">
        <x:v>SRC-013</x:v>
      </x:c>
      <x:c r="I276" s="17" t="str"/>
    </x:row>
    <x:row r="277" ht="37" customHeight="1">
      <x:c r="A277" s="16" t="str">
        <x:v>OBS-0271</x:v>
      </x:c>
      <x:c r="B277" s="17" t="str">
        <x:v>是</x:v>
      </x:c>
      <x:c r="C277" s="17" t="str">
        <x:v>Front entrance. Damp proof in good condition.</x:v>
      </x:c>
      <x:c r="D277" s="17" t="str">
        <x:v>Damp proof course</x:v>
      </x:c>
      <x:c r="E277" s="19" t="n">
        <x:v>1</x:v>
      </x:c>
      <x:c r="F277" s="19" t="n">
        <x:v>1</x:v>
      </x:c>
      <x:c r="G277" s="16" t="str"/>
      <x:c r="H277" s="16" t="str">
        <x:v>SRC-012</x:v>
      </x:c>
      <x:c r="I277" s="17" t="str"/>
    </x:row>
    <x:row r="278" ht="37" customHeight="1">
      <x:c r="A278" s="16" t="str">
        <x:v>OBS-0272</x:v>
      </x:c>
      <x:c r="B278" s="17" t="str">
        <x:v>是</x:v>
      </x:c>
      <x:c r="C278" s="17" t="str">
        <x:v>Front fence.</x:v>
      </x:c>
      <x:c r="D278" s="17" t="str">
        <x:v>Fencing posts</x:v>
      </x:c>
      <x:c r="E278" s="19" t="n">
        <x:v>1</x:v>
      </x:c>
      <x:c r="F278" s="19" t="n">
        <x:v>1</x:v>
      </x:c>
      <x:c r="G278" s="16" t="str"/>
      <x:c r="H278" s="16" t="str">
        <x:v>SRC-006</x:v>
      </x:c>
      <x:c r="I278" s="17" t="str"/>
    </x:row>
    <x:row r="279" ht="37" customHeight="1">
      <x:c r="A279" s="16" t="str">
        <x:v>OBS-0273</x:v>
      </x:c>
      <x:c r="B279" s="17" t="str">
        <x:v>是</x:v>
      </x:c>
      <x:c r="C279" s="17" t="str">
        <x:v>Front fence. Flaking corrosion on fencing post.</x:v>
      </x:c>
      <x:c r="D279" s="17" t="str">
        <x:v>Fencing posts</x:v>
      </x:c>
      <x:c r="E279" s="19" t="n">
        <x:v>1</x:v>
      </x:c>
      <x:c r="F279" s="19" t="n">
        <x:v>1</x:v>
      </x:c>
      <x:c r="G279" s="16" t="str"/>
      <x:c r="H279" s="16" t="str">
        <x:v>SRC-006</x:v>
      </x:c>
      <x:c r="I279" s="17" t="str"/>
    </x:row>
    <x:row r="280" ht="37" customHeight="1">
      <x:c r="A280" s="16" t="str">
        <x:v>OBS-0274</x:v>
      </x:c>
      <x:c r="B280" s="17" t="str">
        <x:v>是</x:v>
      </x:c>
      <x:c r="C280" s="17" t="str">
        <x:v>Front of property.</x:v>
      </x:c>
      <x:c r="D280" s="17" t="str">
        <x:v>Roof and awning structures</x:v>
      </x:c>
      <x:c r="E280" s="19" t="n">
        <x:v>1</x:v>
      </x:c>
      <x:c r="F280" s="19" t="n">
        <x:v>1</x:v>
      </x:c>
      <x:c r="G280" s="16" t="str"/>
      <x:c r="H280" s="16" t="str">
        <x:v>SRC-008</x:v>
      </x:c>
      <x:c r="I280" s="17" t="str"/>
    </x:row>
    <x:row r="281" ht="41" customHeight="1">
      <x:c r="A281" s="16" t="str">
        <x:v>OBS-0275</x:v>
      </x:c>
      <x:c r="B281" s="17" t="str">
        <x:v>是</x:v>
      </x:c>
      <x:c r="C281" s="17" t="str">
        <x:v>Front of property. Cladding and framing in good condition. Discoloration of paint in some areas.</x:v>
      </x:c>
      <x:c r="D281" s="17" t="str">
        <x:v>Cladding and framing</x:v>
      </x:c>
      <x:c r="E281" s="19" t="n">
        <x:v>1</x:v>
      </x:c>
      <x:c r="F281" s="19" t="n">
        <x:v>1</x:v>
      </x:c>
      <x:c r="G281" s="16" t="str">
        <x:v>MRG-0001</x:v>
      </x:c>
      <x:c r="H281" s="16" t="str">
        <x:v>SRC-050</x:v>
      </x:c>
      <x:c r="I281" s="17" t="str"/>
    </x:row>
    <x:row r="282" ht="41" customHeight="1">
      <x:c r="A282" s="16" t="str">
        <x:v>OBS-0276</x:v>
      </x:c>
      <x:c r="B282" s="17" t="str">
        <x:v>是</x:v>
      </x:c>
      <x:c r="C282" s="17" t="str">
        <x:v>Front of property. Cladding and framing in good condition. Discolouration of paint in some areas.</x:v>
      </x:c>
      <x:c r="D282" s="17" t="str">
        <x:v>Cladding and framing</x:v>
      </x:c>
      <x:c r="E282" s="19" t="n">
        <x:v>1</x:v>
      </x:c>
      <x:c r="F282" s="19" t="n">
        <x:v>1</x:v>
      </x:c>
      <x:c r="G282" s="16" t="str">
        <x:v>MRG-0001</x:v>
      </x:c>
      <x:c r="H282" s="16" t="str">
        <x:v>SRC-028</x:v>
      </x:c>
      <x:c r="I282" s="17" t="str"/>
    </x:row>
    <x:row r="283" ht="41" customHeight="1">
      <x:c r="A283" s="16" t="str">
        <x:v>OBS-0277</x:v>
      </x:c>
      <x:c r="B283" s="17" t="str">
        <x:v>是</x:v>
      </x:c>
      <x:c r="C283" s="17" t="str">
        <x:v>Front of property. Cladding and framing in good condition. Salt staining at the corner.</x:v>
      </x:c>
      <x:c r="D283" s="17" t="str">
        <x:v>Cladding and framing</x:v>
      </x:c>
      <x:c r="E283" s="19" t="n">
        <x:v>1</x:v>
      </x:c>
      <x:c r="F283" s="19" t="n">
        <x:v>1</x:v>
      </x:c>
      <x:c r="G283" s="16" t="str"/>
      <x:c r="H283" s="16" t="str">
        <x:v>SRC-005</x:v>
      </x:c>
      <x:c r="I283" s="17" t="str"/>
    </x:row>
    <x:row r="284" ht="37" customHeight="1">
      <x:c r="A284" s="16" t="str">
        <x:v>OBS-0278</x:v>
      </x:c>
      <x:c r="B284" s="17" t="str">
        <x:v>是</x:v>
      </x:c>
      <x:c r="C284" s="17" t="str">
        <x:v>Front of property. Framing and cladding in good condition.</x:v>
      </x:c>
      <x:c r="D284" s="17" t="str">
        <x:v>Cladding and framing</x:v>
      </x:c>
      <x:c r="E284" s="19" t="n">
        <x:v>1</x:v>
      </x:c>
      <x:c r="F284" s="19" t="n">
        <x:v>1</x:v>
      </x:c>
      <x:c r="G284" s="16" t="str">
        <x:v>MRG-0120, MRG-0271</x:v>
      </x:c>
      <x:c r="H284" s="16" t="str">
        <x:v>SRC-053</x:v>
      </x:c>
      <x:c r="I284" s="17" t="str"/>
    </x:row>
    <x:row r="285" ht="37" customHeight="1">
      <x:c r="A285" s="16" t="str">
        <x:v>OBS-0279</x:v>
      </x:c>
      <x:c r="B285" s="17" t="str">
        <x:v>是</x:v>
      </x:c>
      <x:c r="C285" s="17" t="str">
        <x:v>Front of property. Minor corrosion of cladding surrounding outlet pipes.</x:v>
      </x:c>
      <x:c r="D285" s="17" t="str">
        <x:v>Cladding and framing</x:v>
      </x:c>
      <x:c r="E285" s="19" t="n">
        <x:v>1</x:v>
      </x:c>
      <x:c r="F285" s="19" t="n">
        <x:v>1</x:v>
      </x:c>
      <x:c r="G285" s="16" t="str"/>
      <x:c r="H285" s="16" t="str">
        <x:v>SRC-048</x:v>
      </x:c>
      <x:c r="I285" s="17" t="str"/>
    </x:row>
    <x:row r="286" ht="37" customHeight="1">
      <x:c r="A286" s="16" t="str">
        <x:v>OBS-0280</x:v>
      </x:c>
      <x:c r="B286" s="17" t="str">
        <x:v>是</x:v>
      </x:c>
      <x:c r="C286" s="17" t="str">
        <x:v>Front of property. Minor corrosion of lintel.</x:v>
      </x:c>
      <x:c r="D286" s="17" t="str">
        <x:v>Lintel</x:v>
      </x:c>
      <x:c r="E286" s="19" t="n">
        <x:v>1</x:v>
      </x:c>
      <x:c r="F286" s="19" t="n">
        <x:v>1</x:v>
      </x:c>
      <x:c r="G286" s="16" t="str">
        <x:v>MRG-0118</x:v>
      </x:c>
      <x:c r="H286" s="16" t="str">
        <x:v>SRC-057</x:v>
      </x:c>
      <x:c r="I286" s="17" t="str"/>
    </x:row>
    <x:row r="287" ht="37" customHeight="1">
      <x:c r="A287" s="16" t="str">
        <x:v>OBS-0281</x:v>
      </x:c>
      <x:c r="B287" s="17" t="str">
        <x:v>是</x:v>
      </x:c>
      <x:c r="C287" s="17" t="str">
        <x:v>Front of property. Minor corrosion of steel plate.</x:v>
      </x:c>
      <x:c r="D287" s="17" t="str">
        <x:v>Cladding and framing</x:v>
      </x:c>
      <x:c r="E287" s="19" t="n">
        <x:v>1</x:v>
      </x:c>
      <x:c r="F287" s="19" t="n">
        <x:v>1</x:v>
      </x:c>
      <x:c r="G287" s="16" t="str">
        <x:v>MRG-0118</x:v>
      </x:c>
      <x:c r="H287" s="16" t="str">
        <x:v>SRC-013</x:v>
      </x:c>
      <x:c r="I287" s="17" t="str"/>
    </x:row>
    <x:row r="288" ht="37" customHeight="1">
      <x:c r="A288" s="16" t="str">
        <x:v>OBS-0282</x:v>
      </x:c>
      <x:c r="B288" s="17" t="str">
        <x:v>是</x:v>
      </x:c>
      <x:c r="C288" s="17" t="str">
        <x:v>Front of property. Paint deterioration.</x:v>
      </x:c>
      <x:c r="D288" s="17" t="str">
        <x:v>Cladding and framing</x:v>
      </x:c>
      <x:c r="E288" s="19" t="n">
        <x:v>1</x:v>
      </x:c>
      <x:c r="F288" s="19" t="n">
        <x:v>1</x:v>
      </x:c>
      <x:c r="G288" s="16" t="str">
        <x:v>MRG-0276</x:v>
      </x:c>
      <x:c r="H288" s="16" t="str">
        <x:v>SRC-060</x:v>
      </x:c>
      <x:c r="I288" s="17" t="str"/>
    </x:row>
    <x:row r="289" ht="37" customHeight="1">
      <x:c r="A289" s="16" t="str">
        <x:v>OBS-0283</x:v>
      </x:c>
      <x:c r="B289" s="17" t="str">
        <x:v>是</x:v>
      </x:c>
      <x:c r="C289" s="17" t="str">
        <x:v>Front right hand side corner. Soffit flashing has minor corrosion.</x:v>
      </x:c>
      <x:c r="D289" s="17" t="str">
        <x:v>Roof</x:v>
      </x:c>
      <x:c r="E289" s="19" t="n">
        <x:v>1</x:v>
      </x:c>
      <x:c r="F289" s="19" t="n">
        <x:v>1</x:v>
      </x:c>
      <x:c r="G289" s="16" t="str"/>
      <x:c r="H289" s="16" t="str">
        <x:v>SRC-054</x:v>
      </x:c>
      <x:c r="I289" s="17" t="str"/>
    </x:row>
    <x:row r="290" ht="37" customHeight="1">
      <x:c r="A290" s="16" t="str">
        <x:v>OBS-0284</x:v>
      </x:c>
      <x:c r="B290" s="17" t="str">
        <x:v>是</x:v>
      </x:c>
      <x:c r="C290" s="17" t="str">
        <x:v>Front roof overhang has salt minor corrosion on purlins and rafters.</x:v>
      </x:c>
      <x:c r="D290" s="17" t="str">
        <x:v>Rafters and purlins</x:v>
      </x:c>
      <x:c r="E290" s="19" t="n">
        <x:v>1</x:v>
      </x:c>
      <x:c r="F290" s="19" t="n">
        <x:v>1</x:v>
      </x:c>
      <x:c r="G290" s="16" t="str">
        <x:v>MRG-0074, MRG-0135</x:v>
      </x:c>
      <x:c r="H290" s="16" t="str">
        <x:v>SRC-061</x:v>
      </x:c>
      <x:c r="I290" s="17" t="str"/>
    </x:row>
    <x:row r="291" ht="41" customHeight="1">
      <x:c r="A291" s="16" t="str">
        <x:v>OBS-0285</x:v>
      </x:c>
      <x:c r="B291" s="17" t="str">
        <x:v>是</x:v>
      </x:c>
      <x:c r="C291" s="17" t="str">
        <x:v>Front roof overhang has salt staining and minor corrosion on purlins and rafters.</x:v>
      </x:c>
      <x:c r="D291" s="17" t="str">
        <x:v>Rafters and purlins</x:v>
      </x:c>
      <x:c r="E291" s="19" t="n">
        <x:v>1</x:v>
      </x:c>
      <x:c r="F291" s="19" t="n">
        <x:v>1</x:v>
      </x:c>
      <x:c r="G291" s="16" t="str">
        <x:v>MRG-0074</x:v>
      </x:c>
      <x:c r="H291" s="16" t="str">
        <x:v>SRC-058</x:v>
      </x:c>
      <x:c r="I291" s="17" t="str"/>
    </x:row>
    <x:row r="292" ht="37" customHeight="1">
      <x:c r="A292" s="16" t="str">
        <x:v>OBS-0286</x:v>
      </x:c>
      <x:c r="B292" s="17" t="str">
        <x:v>是</x:v>
      </x:c>
      <x:c r="C292" s="17" t="str">
        <x:v>Front two legs. Surface corrosion of baseplate.</x:v>
      </x:c>
      <x:c r="D292" s="17" t="str">
        <x:v>Informational panel 2</x:v>
      </x:c>
      <x:c r="E292" s="19" t="n">
        <x:v>1</x:v>
      </x:c>
      <x:c r="F292" s="19" t="n">
        <x:v>1</x:v>
      </x:c>
      <x:c r="G292" s="16" t="str"/>
      <x:c r="H292" s="16" t="str">
        <x:v>SRC-071</x:v>
      </x:c>
      <x:c r="I292" s="17" t="str"/>
    </x:row>
    <x:row r="293" ht="37" customHeight="1">
      <x:c r="A293" s="16" t="str">
        <x:v>OBS-0287</x:v>
      </x:c>
      <x:c r="B293" s="17" t="str">
        <x:v>是</x:v>
      </x:c>
      <x:c r="C293" s="17" t="str">
        <x:v>Front verandah Column 1. Minor corrosion at the top column connection.</x:v>
      </x:c>
      <x:c r="D293" s="17" t="str">
        <x:v>Columns and beams</x:v>
      </x:c>
      <x:c r="E293" s="19" t="n">
        <x:v>1</x:v>
      </x:c>
      <x:c r="F293" s="19" t="n">
        <x:v>1</x:v>
      </x:c>
      <x:c r="G293" s="16" t="str">
        <x:v>MRG-0010, MRG-0011, MRG-0167</x:v>
      </x:c>
      <x:c r="H293" s="16" t="str">
        <x:v>SRC-009</x:v>
      </x:c>
      <x:c r="I293" s="17" t="str"/>
    </x:row>
    <x:row r="294" ht="37" customHeight="1">
      <x:c r="A294" s="16" t="str">
        <x:v>OBS-0288</x:v>
      </x:c>
      <x:c r="B294" s="17" t="str">
        <x:v>是</x:v>
      </x:c>
      <x:c r="C294" s="17" t="str">
        <x:v>Front verandah Column 2. Minor corrosion at the top column connection.</x:v>
      </x:c>
      <x:c r="D294" s="17" t="str">
        <x:v>Columns and beams</x:v>
      </x:c>
      <x:c r="E294" s="19" t="n">
        <x:v>1</x:v>
      </x:c>
      <x:c r="F294" s="19" t="n">
        <x:v>1</x:v>
      </x:c>
      <x:c r="G294" s="16" t="str">
        <x:v>MRG-0010, MRG-0012, MRG-0168</x:v>
      </x:c>
      <x:c r="H294" s="16" t="str">
        <x:v>SRC-009</x:v>
      </x:c>
      <x:c r="I294" s="17" t="str"/>
    </x:row>
    <x:row r="295" ht="37" customHeight="1">
      <x:c r="A295" s="16" t="str">
        <x:v>OBS-0289</x:v>
      </x:c>
      <x:c r="B295" s="17" t="str">
        <x:v>是</x:v>
      </x:c>
      <x:c r="C295" s="17" t="str">
        <x:v>Front verandah Column 3. Minor corrosion at the top column connection.</x:v>
      </x:c>
      <x:c r="D295" s="17" t="str">
        <x:v>Columns and beams</x:v>
      </x:c>
      <x:c r="E295" s="19" t="n">
        <x:v>1</x:v>
      </x:c>
      <x:c r="F295" s="19" t="n">
        <x:v>1</x:v>
      </x:c>
      <x:c r="G295" s="16" t="str">
        <x:v>MRG-0011, MRG-0012, MRG-0169</x:v>
      </x:c>
      <x:c r="H295" s="16" t="str">
        <x:v>SRC-009</x:v>
      </x:c>
      <x:c r="I295" s="17" t="str"/>
    </x:row>
    <x:row r="296" ht="37" customHeight="1">
      <x:c r="A296" s="16" t="str">
        <x:v>OBS-0290</x:v>
      </x:c>
      <x:c r="B296" s="17" t="str">
        <x:v>是</x:v>
      </x:c>
      <x:c r="C296" s="17" t="str">
        <x:v>Front verandah column.</x:v>
      </x:c>
      <x:c r="D296" s="17" t="str">
        <x:v>Columns</x:v>
      </x:c>
      <x:c r="E296" s="19" t="n">
        <x:v>1</x:v>
      </x:c>
      <x:c r="F296" s="19" t="n">
        <x:v>1</x:v>
      </x:c>
      <x:c r="G296" s="16" t="str"/>
      <x:c r="H296" s="16" t="str">
        <x:v>SRC-011</x:v>
      </x:c>
      <x:c r="I296" s="17" t="str"/>
    </x:row>
    <x:row r="297" ht="37" customHeight="1">
      <x:c r="A297" s="16" t="str">
        <x:v>OBS-0291</x:v>
      </x:c>
      <x:c r="B297" s="17" t="str">
        <x:v>是</x:v>
      </x:c>
      <x:c r="C297" s="17" t="str">
        <x:v>Front verandah column. Staining at lower section.</x:v>
      </x:c>
      <x:c r="D297" s="17" t="str">
        <x:v>Columns</x:v>
      </x:c>
      <x:c r="E297" s="19" t="n">
        <x:v>1</x:v>
      </x:c>
      <x:c r="F297" s="19" t="n">
        <x:v>1</x:v>
      </x:c>
      <x:c r="G297" s="16" t="str"/>
      <x:c r="H297" s="16" t="str">
        <x:v>SRC-011</x:v>
      </x:c>
      <x:c r="I297" s="17" t="str"/>
    </x:row>
    <x:row r="298" ht="37" customHeight="1">
      <x:c r="A298" s="16" t="str">
        <x:v>OBS-0292</x:v>
      </x:c>
      <x:c r="B298" s="17" t="str">
        <x:v>是</x:v>
      </x:c>
      <x:c r="C298" s="17" t="str">
        <x:v>Front verandah columns and beams overview. Deterioration of paint.</x:v>
      </x:c>
      <x:c r="D298" s="17" t="str">
        <x:v>Verandah columns and beams</x:v>
      </x:c>
      <x:c r="E298" s="19" t="n">
        <x:v>1</x:v>
      </x:c>
      <x:c r="F298" s="19" t="n">
        <x:v>1</x:v>
      </x:c>
      <x:c r="G298" s="16" t="str"/>
      <x:c r="H298" s="16" t="str">
        <x:v>SRC-014</x:v>
      </x:c>
      <x:c r="I298" s="17" t="str"/>
    </x:row>
    <x:row r="299" ht="41" customHeight="1">
      <x:c r="A299" s="16" t="str">
        <x:v>OBS-0293</x:v>
      </x:c>
      <x:c r="B299" s="17" t="str">
        <x:v>是</x:v>
      </x:c>
      <x:c r="C299" s="17" t="str">
        <x:v>Front verandah columns of fitness centre. Corrosion delamination and paint deterioration towards lower section.</x:v>
      </x:c>
      <x:c r="D299" s="17" t="str">
        <x:v>Front verandah columns</x:v>
      </x:c>
      <x:c r="E299" s="19" t="n">
        <x:v>1</x:v>
      </x:c>
      <x:c r="F299" s="19" t="n">
        <x:v>1</x:v>
      </x:c>
      <x:c r="G299" s="16" t="str"/>
      <x:c r="H299" s="16" t="str">
        <x:v>SRC-092</x:v>
      </x:c>
      <x:c r="I299" s="17" t="str"/>
    </x:row>
    <x:row r="300" ht="37" customHeight="1">
      <x:c r="A300" s="16" t="str">
        <x:v>OBS-0294</x:v>
      </x:c>
      <x:c r="B300" s="17" t="str">
        <x:v>是</x:v>
      </x:c>
      <x:c r="C300" s="17" t="str">
        <x:v>Front verandah columns.</x:v>
      </x:c>
      <x:c r="D300" s="17" t="str">
        <x:v>Columns</x:v>
      </x:c>
      <x:c r="E300" s="19" t="n">
        <x:v>1</x:v>
      </x:c>
      <x:c r="F300" s="19" t="n">
        <x:v>1</x:v>
      </x:c>
      <x:c r="G300" s="16" t="str"/>
      <x:c r="H300" s="16" t="str">
        <x:v>SRC-054</x:v>
      </x:c>
      <x:c r="I300" s="17" t="str"/>
    </x:row>
    <x:row r="301" ht="37" customHeight="1">
      <x:c r="A301" s="16" t="str">
        <x:v>OBS-0295</x:v>
      </x:c>
      <x:c r="B301" s="17" t="str">
        <x:v>是</x:v>
      </x:c>
      <x:c r="C301" s="17" t="str">
        <x:v>Front verandah has minor corrosion on purlins and rafters.</x:v>
      </x:c>
      <x:c r="D301" s="17" t="str">
        <x:v>Rafters and purlins</x:v>
      </x:c>
      <x:c r="E301" s="19" t="n">
        <x:v>1</x:v>
      </x:c>
      <x:c r="F301" s="19" t="n">
        <x:v>1</x:v>
      </x:c>
      <x:c r="G301" s="16" t="str">
        <x:v>MRG-0135</x:v>
      </x:c>
      <x:c r="H301" s="16" t="str">
        <x:v>SRC-061</x:v>
      </x:c>
      <x:c r="I301" s="17" t="str"/>
    </x:row>
    <x:row r="302" ht="37" customHeight="1">
      <x:c r="A302" s="16" t="str">
        <x:v>OBS-0296</x:v>
      </x:c>
      <x:c r="B302" s="17" t="str">
        <x:v>是</x:v>
      </x:c>
      <x:c r="C302" s="17" t="str">
        <x:v>Front verandah has salt staining.</x:v>
      </x:c>
      <x:c r="D302" s="17" t="str">
        <x:v>Rafters and purlins</x:v>
      </x:c>
      <x:c r="E302" s="19" t="n">
        <x:v>1</x:v>
      </x:c>
      <x:c r="F302" s="19" t="n">
        <x:v>1</x:v>
      </x:c>
      <x:c r="G302" s="16" t="str"/>
      <x:c r="H302" s="16" t="str">
        <x:v>SRC-058</x:v>
      </x:c>
      <x:c r="I302" s="17" t="str"/>
    </x:row>
    <x:row r="303" ht="37" customHeight="1">
      <x:c r="A303" s="16" t="str">
        <x:v>OBS-0297</x:v>
      </x:c>
      <x:c r="B303" s="17" t="str">
        <x:v>是</x:v>
      </x:c>
      <x:c r="C303" s="17" t="str">
        <x:v>Front verandah soffit cladding. Minor corrosion on flashing.</x:v>
      </x:c>
      <x:c r="D303" s="17" t="str">
        <x:v>Roof</x:v>
      </x:c>
      <x:c r="E303" s="19" t="n">
        <x:v>1</x:v>
      </x:c>
      <x:c r="F303" s="19" t="n">
        <x:v>1</x:v>
      </x:c>
      <x:c r="G303" s="16" t="str">
        <x:v>MRG-0108</x:v>
      </x:c>
      <x:c r="H303" s="16" t="str">
        <x:v>SRC-009</x:v>
      </x:c>
      <x:c r="I303" s="17" t="str"/>
    </x:row>
    <x:row r="304" ht="37" customHeight="1">
      <x:c r="A304" s="16" t="str">
        <x:v>OBS-0298</x:v>
      </x:c>
      <x:c r="B304" s="17" t="str">
        <x:v>是</x:v>
      </x:c>
      <x:c r="C304" s="17" t="str">
        <x:v>Front verandah soffit cladding. Minor corrosion.</x:v>
      </x:c>
      <x:c r="D304" s="17" t="str">
        <x:v>Roof</x:v>
      </x:c>
      <x:c r="E304" s="19" t="n">
        <x:v>1</x:v>
      </x:c>
      <x:c r="F304" s="19" t="n">
        <x:v>1</x:v>
      </x:c>
      <x:c r="G304" s="16" t="str">
        <x:v>MRG-0108</x:v>
      </x:c>
      <x:c r="H304" s="16" t="str">
        <x:v>SRC-009</x:v>
      </x:c>
      <x:c r="I304" s="17" t="str"/>
    </x:row>
    <x:row r="305" ht="37" customHeight="1">
      <x:c r="A305" s="16" t="str">
        <x:v>OBS-0299</x:v>
      </x:c>
      <x:c r="B305" s="17" t="str">
        <x:v>是</x:v>
      </x:c>
      <x:c r="C305" s="17" t="str">
        <x:v>Front verandah. Columns in good condition.</x:v>
      </x:c>
      <x:c r="D305" s="17" t="str">
        <x:v>Columns</x:v>
      </x:c>
      <x:c r="E305" s="19" t="n">
        <x:v>1</x:v>
      </x:c>
      <x:c r="F305" s="19" t="n">
        <x:v>1</x:v>
      </x:c>
      <x:c r="G305" s="16" t="str">
        <x:v>MRG-0005, MRG-0059, MRG-0102, MRG-0104</x:v>
      </x:c>
      <x:c r="H305" s="16" t="str">
        <x:v>SRC-053</x:v>
      </x:c>
      <x:c r="I305" s="17" t="str"/>
    </x:row>
    <x:row r="306" ht="37" customHeight="1">
      <x:c r="A306" s="16" t="str">
        <x:v>OBS-0300</x:v>
      </x:c>
      <x:c r="B306" s="17" t="str">
        <x:v>是</x:v>
      </x:c>
      <x:c r="C306" s="17" t="str">
        <x:v>Front verandah. Corrosion along flanges of top hat purlin flanges.</x:v>
      </x:c>
      <x:c r="D306" s="17" t="str">
        <x:v>Purlins and rafters</x:v>
      </x:c>
      <x:c r="E306" s="19" t="n">
        <x:v>1</x:v>
      </x:c>
      <x:c r="F306" s="19" t="n">
        <x:v>1</x:v>
      </x:c>
      <x:c r="G306" s="16" t="str"/>
      <x:c r="H306" s="16" t="str">
        <x:v>SRC-048</x:v>
      </x:c>
      <x:c r="I306" s="17" t="str"/>
    </x:row>
    <x:row r="307" ht="37" customHeight="1">
      <x:c r="A307" s="16" t="str">
        <x:v>OBS-0301</x:v>
      </x:c>
      <x:c r="B307" s="17" t="str">
        <x:v>是</x:v>
      </x:c>
      <x:c r="C307" s="17" t="str">
        <x:v>Front verandah. Corrosion and paint deterioration on triple grips.</x:v>
      </x:c>
      <x:c r="D307" s="17" t="str">
        <x:v>Triple grips</x:v>
      </x:c>
      <x:c r="E307" s="19" t="n">
        <x:v>1</x:v>
      </x:c>
      <x:c r="F307" s="19" t="n">
        <x:v>1</x:v>
      </x:c>
      <x:c r="G307" s="16" t="str"/>
      <x:c r="H307" s="16" t="str">
        <x:v>SRC-014</x:v>
      </x:c>
      <x:c r="I307" s="17" t="str"/>
    </x:row>
    <x:row r="308" ht="37" customHeight="1">
      <x:c r="A308" s="16" t="str">
        <x:v>OBS-0302</x:v>
      </x:c>
      <x:c r="B308" s="17" t="str">
        <x:v>是</x:v>
      </x:c>
      <x:c r="C308" s="17" t="str">
        <x:v>Front verandah. Corrosion of Tek screws, purlins and rafters.</x:v>
      </x:c>
      <x:c r="D308" s="17" t="str">
        <x:v>Purlins and rafters</x:v>
      </x:c>
      <x:c r="E308" s="19" t="n">
        <x:v>1</x:v>
      </x:c>
      <x:c r="F308" s="19" t="n">
        <x:v>1</x:v>
      </x:c>
      <x:c r="G308" s="16" t="str"/>
      <x:c r="H308" s="16" t="str">
        <x:v>SRC-048</x:v>
      </x:c>
      <x:c r="I308" s="17" t="str"/>
    </x:row>
    <x:row r="309" ht="37" customHeight="1">
      <x:c r="A309" s="16" t="str">
        <x:v>OBS-0303</x:v>
      </x:c>
      <x:c r="B309" s="17" t="str">
        <x:v>是</x:v>
      </x:c>
      <x:c r="C309" s="17" t="str">
        <x:v>Front verandah. Front verandah. Staining on verandah beam.</x:v>
      </x:c>
      <x:c r="D309" s="17" t="str">
        <x:v>Rafters and purlins</x:v>
      </x:c>
      <x:c r="E309" s="19" t="n">
        <x:v>1</x:v>
      </x:c>
      <x:c r="F309" s="19" t="n">
        <x:v>1</x:v>
      </x:c>
      <x:c r="G309" s="16" t="str"/>
      <x:c r="H309" s="16" t="str">
        <x:v>SRC-056</x:v>
      </x:c>
      <x:c r="I309" s="17" t="str"/>
    </x:row>
    <x:row r="310" ht="37" customHeight="1">
      <x:c r="A310" s="16" t="str">
        <x:v>OBS-0304</x:v>
      </x:c>
      <x:c r="B310" s="17" t="str">
        <x:v>是</x:v>
      </x:c>
      <x:c r="C310" s="17" t="str">
        <x:v>Front verandah. Minor corrosion underside of beam.</x:v>
      </x:c>
      <x:c r="D310" s="17" t="str">
        <x:v>Verandah beams</x:v>
      </x:c>
      <x:c r="E310" s="19" t="n">
        <x:v>1</x:v>
      </x:c>
      <x:c r="F310" s="19" t="n">
        <x:v>1</x:v>
      </x:c>
      <x:c r="G310" s="16" t="str">
        <x:v>MRG-0041</x:v>
      </x:c>
      <x:c r="H310" s="16" t="str">
        <x:v>SRC-061</x:v>
      </x:c>
      <x:c r="I310" s="17" t="str"/>
    </x:row>
    <x:row r="311" ht="37" customHeight="1">
      <x:c r="A311" s="16" t="str">
        <x:v>OBS-0305</x:v>
      </x:c>
      <x:c r="B311" s="17" t="str">
        <x:v>是</x:v>
      </x:c>
      <x:c r="C311" s="17" t="str">
        <x:v>Front verandah. Paint deterioration on purlins and rafters.</x:v>
      </x:c>
      <x:c r="D311" s="17" t="str">
        <x:v>Purlins and rafters</x:v>
      </x:c>
      <x:c r="E311" s="19" t="n">
        <x:v>1</x:v>
      </x:c>
      <x:c r="F311" s="19" t="n">
        <x:v>1</x:v>
      </x:c>
      <x:c r="G311" s="16" t="str">
        <x:v>MRG-0084</x:v>
      </x:c>
      <x:c r="H311" s="16" t="str">
        <x:v>SRC-009</x:v>
      </x:c>
      <x:c r="I311" s="17" t="str"/>
    </x:row>
    <x:row r="312" ht="37" customHeight="1">
      <x:c r="A312" s="16" t="str">
        <x:v>OBS-0306</x:v>
      </x:c>
      <x:c r="B312" s="17" t="str">
        <x:v>是</x:v>
      </x:c>
      <x:c r="C312" s="17" t="str">
        <x:v>Front verandah. Paint deterioration.</x:v>
      </x:c>
      <x:c r="D312" s="17" t="str">
        <x:v>Columns and beams</x:v>
      </x:c>
      <x:c r="E312" s="19" t="n">
        <x:v>1</x:v>
      </x:c>
      <x:c r="F312" s="19" t="n">
        <x:v>1</x:v>
      </x:c>
      <x:c r="G312" s="16" t="str"/>
      <x:c r="H312" s="16" t="str">
        <x:v>SRC-009</x:v>
      </x:c>
      <x:c r="I312" s="17" t="str"/>
    </x:row>
    <x:row r="313" ht="37" customHeight="1">
      <x:c r="A313" s="16" t="str">
        <x:v>OBS-0307</x:v>
      </x:c>
      <x:c r="B313" s="17" t="str">
        <x:v>是</x:v>
      </x:c>
      <x:c r="C313" s="17" t="str">
        <x:v>Front verandah. Paint deterioration. Gap between column and brickwork.</x:v>
      </x:c>
      <x:c r="D313" s="17" t="str">
        <x:v>Columns and beams</x:v>
      </x:c>
      <x:c r="E313" s="19" t="n">
        <x:v>1</x:v>
      </x:c>
      <x:c r="F313" s="19" t="n">
        <x:v>1</x:v>
      </x:c>
      <x:c r="G313" s="16" t="str"/>
      <x:c r="H313" s="16" t="str">
        <x:v>SRC-009</x:v>
      </x:c>
      <x:c r="I313" s="17" t="str"/>
    </x:row>
    <x:row r="314" ht="41" customHeight="1">
      <x:c r="A314" s="16" t="str">
        <x:v>OBS-0308</x:v>
      </x:c>
      <x:c r="B314" s="17" t="str">
        <x:v>是</x:v>
      </x:c>
      <x:c r="C314" s="17" t="str">
        <x:v>Front verandah. Rafters have minor corrosion. Most significant corrosion towards end of rafter.</x:v>
      </x:c>
      <x:c r="D314" s="17" t="str">
        <x:v>Rafters</x:v>
      </x:c>
      <x:c r="E314" s="19" t="n">
        <x:v>1</x:v>
      </x:c>
      <x:c r="F314" s="19" t="n">
        <x:v>1</x:v>
      </x:c>
      <x:c r="G314" s="16" t="str">
        <x:v>MRG-0076</x:v>
      </x:c>
      <x:c r="H314" s="16" t="str">
        <x:v>SRC-014</x:v>
      </x:c>
      <x:c r="I314" s="17" t="str"/>
    </x:row>
    <x:row r="315" ht="37" customHeight="1">
      <x:c r="A315" s="16" t="str">
        <x:v>OBS-0309</x:v>
      </x:c>
      <x:c r="B315" s="17" t="str">
        <x:v>是</x:v>
      </x:c>
      <x:c r="C315" s="17" t="str">
        <x:v>Front verandah. Salt staining on purlins and rafters.</x:v>
      </x:c>
      <x:c r="D315" s="17" t="str">
        <x:v>Rafters and purlins</x:v>
      </x:c>
      <x:c r="E315" s="19" t="n">
        <x:v>1</x:v>
      </x:c>
      <x:c r="F315" s="19" t="n">
        <x:v>1</x:v>
      </x:c>
      <x:c r="G315" s="16" t="str">
        <x:v>MRG-0031, MRG-0110</x:v>
      </x:c>
      <x:c r="H315" s="16" t="str">
        <x:v>SRC-053</x:v>
      </x:c>
      <x:c r="I315" s="17" t="str"/>
    </x:row>
    <x:row r="316" ht="37" customHeight="1">
      <x:c r="A316" s="16" t="str">
        <x:v>OBS-0310</x:v>
      </x:c>
      <x:c r="B316" s="17" t="str">
        <x:v>是</x:v>
      </x:c>
      <x:c r="C316" s="17" t="str">
        <x:v>Front vernadah soffit. Minor corrosion of soffit cladding.</x:v>
      </x:c>
      <x:c r="D316" s="17" t="str">
        <x:v>Roof</x:v>
      </x:c>
      <x:c r="E316" s="19" t="n">
        <x:v>1</x:v>
      </x:c>
      <x:c r="F316" s="19" t="n">
        <x:v>1</x:v>
      </x:c>
      <x:c r="G316" s="16" t="str"/>
      <x:c r="H316" s="16" t="str">
        <x:v>SRC-054</x:v>
      </x:c>
      <x:c r="I316" s="17" t="str"/>
    </x:row>
    <x:row r="317" ht="37" customHeight="1">
      <x:c r="A317" s="16" t="str">
        <x:v>OBS-0311</x:v>
      </x:c>
      <x:c r="B317" s="17" t="str">
        <x:v>是</x:v>
      </x:c>
      <x:c r="C317" s="17" t="str">
        <x:v>Front window. Salt staining and minor corrosion.</x:v>
      </x:c>
      <x:c r="D317" s="17" t="str">
        <x:v>Cladding and framing</x:v>
      </x:c>
      <x:c r="E317" s="19" t="n">
        <x:v>1</x:v>
      </x:c>
      <x:c r="F317" s="19" t="n">
        <x:v>1</x:v>
      </x:c>
      <x:c r="G317" s="16" t="str">
        <x:v>MRG-0068</x:v>
      </x:c>
      <x:c r="H317" s="16" t="str">
        <x:v>SRC-059</x:v>
      </x:c>
      <x:c r="I317" s="17" t="str"/>
    </x:row>
    <x:row r="318" ht="55" customHeight="1">
      <x:c r="A318" s="16" t="str">
        <x:v>OBS-0312</x:v>
      </x:c>
      <x:c r="B318" s="17" t="str">
        <x:v>是</x:v>
      </x:c>
      <x:c r="C318" s="17" t="str">
        <x:v>Front yard fence, left hand side facing the front. Bitumen paint deterioration and delamination corrosion towards lower section. Minor surface corrosion along the length of the post.</x:v>
      </x:c>
      <x:c r="D318" s="17" t="str">
        <x:v>Fencing posts</x:v>
      </x:c>
      <x:c r="E318" s="19" t="n">
        <x:v>1</x:v>
      </x:c>
      <x:c r="F318" s="19" t="n">
        <x:v>1</x:v>
      </x:c>
      <x:c r="G318" s="16" t="str"/>
      <x:c r="H318" s="16" t="str">
        <x:v>SRC-062</x:v>
      </x:c>
      <x:c r="I318" s="17" t="str"/>
    </x:row>
    <x:row r="319" ht="37" customHeight="1">
      <x:c r="A319" s="16" t="str">
        <x:v>OBS-0313</x:v>
      </x:c>
      <x:c r="B319" s="17" t="str">
        <x:v>是</x:v>
      </x:c>
      <x:c r="C319" s="17" t="str">
        <x:v>Front yard verandah in good condition.</x:v>
      </x:c>
      <x:c r="D319" s="17" t="str">
        <x:v>Rafters and purlins</x:v>
      </x:c>
      <x:c r="E319" s="19" t="n">
        <x:v>1</x:v>
      </x:c>
      <x:c r="F319" s="19" t="n">
        <x:v>1</x:v>
      </x:c>
      <x:c r="G319" s="16" t="str">
        <x:v>MRG-0056, MRG-0153, MRG-0191, MRG-0195</x:v>
      </x:c>
      <x:c r="H319" s="16" t="str">
        <x:v>SRC-002</x:v>
      </x:c>
      <x:c r="I319" s="17" t="str"/>
    </x:row>
    <x:row r="320" ht="37" customHeight="1">
      <x:c r="A320" s="16" t="str">
        <x:v>OBS-0314</x:v>
      </x:c>
      <x:c r="B320" s="17" t="str">
        <x:v>是</x:v>
      </x:c>
      <x:c r="C320" s="17" t="str">
        <x:v>Front yard verandah purlins and rafters in good condition.</x:v>
      </x:c>
      <x:c r="D320" s="17" t="str">
        <x:v>Rafters and purlins</x:v>
      </x:c>
      <x:c r="E320" s="19" t="n">
        <x:v>1</x:v>
      </x:c>
      <x:c r="F320" s="19" t="n">
        <x:v>1</x:v>
      </x:c>
      <x:c r="G320" s="16" t="str"/>
      <x:c r="H320" s="16" t="str">
        <x:v>SRC-058</x:v>
      </x:c>
      <x:c r="I320" s="17" t="str"/>
    </x:row>
    <x:row r="321" ht="37" customHeight="1">
      <x:c r="A321" s="16" t="str">
        <x:v>OBS-0315</x:v>
      </x:c>
      <x:c r="B321" s="17" t="str">
        <x:v>是</x:v>
      </x:c>
      <x:c r="C321" s="17" t="str">
        <x:v>Front yard verandah purlins have minor corrosion and salt staining.</x:v>
      </x:c>
      <x:c r="D321" s="17" t="str">
        <x:v>Rafters and purlins</x:v>
      </x:c>
      <x:c r="E321" s="19" t="n">
        <x:v>1</x:v>
      </x:c>
      <x:c r="F321" s="19" t="n">
        <x:v>1</x:v>
      </x:c>
      <x:c r="G321" s="16" t="str"/>
      <x:c r="H321" s="16" t="str">
        <x:v>SRC-058</x:v>
      </x:c>
      <x:c r="I321" s="17" t="str"/>
    </x:row>
    <x:row r="322" ht="37" customHeight="1">
      <x:c r="A322" s="16" t="str">
        <x:v>OBS-0316</x:v>
      </x:c>
      <x:c r="B322" s="17" t="str">
        <x:v>是</x:v>
      </x:c>
      <x:c r="C322" s="17" t="str">
        <x:v>Front yard verandah.</x:v>
      </x:c>
      <x:c r="D322" s="17" t="str">
        <x:v>Verandah beams</x:v>
      </x:c>
      <x:c r="E322" s="19" t="n">
        <x:v>1</x:v>
      </x:c>
      <x:c r="F322" s="19" t="n">
        <x:v>1</x:v>
      </x:c>
      <x:c r="G322" s="16" t="str">
        <x:v>MRG-0179</x:v>
      </x:c>
      <x:c r="H322" s="16" t="str">
        <x:v>SRC-061</x:v>
      </x:c>
      <x:c r="I322" s="17" t="str"/>
    </x:row>
    <x:row r="323" ht="37" customHeight="1">
      <x:c r="A323" s="16" t="str">
        <x:v>OBS-0317</x:v>
      </x:c>
      <x:c r="B323" s="17" t="str">
        <x:v>是</x:v>
      </x:c>
      <x:c r="C323" s="17" t="str">
        <x:v>Front yard verandah. Minor corrosion underside of beam.</x:v>
      </x:c>
      <x:c r="D323" s="17" t="str">
        <x:v>Verandah beams</x:v>
      </x:c>
      <x:c r="E323" s="19" t="n">
        <x:v>1</x:v>
      </x:c>
      <x:c r="F323" s="19" t="n">
        <x:v>1</x:v>
      </x:c>
      <x:c r="G323" s="16" t="str">
        <x:v>MRG-0041</x:v>
      </x:c>
      <x:c r="H323" s="16" t="str">
        <x:v>SRC-061</x:v>
      </x:c>
      <x:c r="I323" s="17" t="str"/>
    </x:row>
    <x:row r="324" ht="37" customHeight="1">
      <x:c r="A324" s="16" t="str">
        <x:v>OBS-0318</x:v>
      </x:c>
      <x:c r="B324" s="17" t="str">
        <x:v>是</x:v>
      </x:c>
      <x:c r="C324" s="17" t="str">
        <x:v>Garage overview.</x:v>
      </x:c>
      <x:c r="D324" s="17" t="str">
        <x:v>Garage</x:v>
      </x:c>
      <x:c r="E324" s="19" t="n">
        <x:v>1</x:v>
      </x:c>
      <x:c r="F324" s="19" t="n">
        <x:v>1</x:v>
      </x:c>
      <x:c r="G324" s="16" t="str"/>
      <x:c r="H324" s="16" t="str">
        <x:v>SRC-006</x:v>
      </x:c>
      <x:c r="I324" s="17" t="str"/>
    </x:row>
    <x:row r="325" ht="37" customHeight="1">
      <x:c r="A325" s="16" t="str">
        <x:v>OBS-0319</x:v>
      </x:c>
      <x:c r="B325" s="17" t="str">
        <x:v>是</x:v>
      </x:c>
      <x:c r="C325" s="17" t="str">
        <x:v>Good condition.</x:v>
      </x:c>
      <x:c r="D325" s="17" t="str">
        <x:v>circular steel retaining structure</x:v>
      </x:c>
      <x:c r="E325" s="19" t="n">
        <x:v>1</x:v>
      </x:c>
      <x:c r="F325" s="19" t="n">
        <x:v>1</x:v>
      </x:c>
      <x:c r="G325" s="16" t="str"/>
      <x:c r="H325" s="16" t="str">
        <x:v>SRC-098</x:v>
      </x:c>
      <x:c r="I325" s="17" t="str"/>
    </x:row>
    <x:row r="326" ht="37" customHeight="1">
      <x:c r="A326" s="16" t="str">
        <x:v>OBS-0320</x:v>
      </x:c>
      <x:c r="B326" s="17" t="str">
        <x:v>是</x:v>
      </x:c>
      <x:c r="C326" s="17" t="str">
        <x:v>Green patina forming on surface.</x:v>
      </x:c>
      <x:c r="D326" s="17" t="str">
        <x:v>Sea Plant</x:v>
      </x:c>
      <x:c r="E326" s="19" t="n">
        <x:v>1</x:v>
      </x:c>
      <x:c r="F326" s="19" t="n">
        <x:v>1</x:v>
      </x:c>
      <x:c r="G326" s="16" t="str"/>
      <x:c r="H326" s="16" t="str">
        <x:v>SRC-102</x:v>
      </x:c>
      <x:c r="I326" s="17" t="str"/>
    </x:row>
    <x:row r="327" ht="37" customHeight="1">
      <x:c r="A327" s="16" t="str">
        <x:v>OBS-0321</x:v>
      </x:c>
      <x:c r="B327" s="17" t="str">
        <x:v>是</x:v>
      </x:c>
      <x:c r="C327" s="17" t="str">
        <x:v>Grout cracked at column.</x:v>
      </x:c>
      <x:c r="D327" s="17" t="str">
        <x:v>Pool seating and shade structure</x:v>
      </x:c>
      <x:c r="E327" s="19" t="n">
        <x:v>1</x:v>
      </x:c>
      <x:c r="F327" s="19" t="n">
        <x:v>1</x:v>
      </x:c>
      <x:c r="G327" s="16" t="str"/>
      <x:c r="H327" s="16" t="str">
        <x:v>SRC-092</x:v>
      </x:c>
      <x:c r="I327" s="17" t="str"/>
    </x:row>
    <x:row r="328" ht="41" customHeight="1">
      <x:c r="A328" s="16" t="str">
        <x:v>OBS-0322</x:v>
      </x:c>
      <x:c r="B328" s="17" t="str">
        <x:v>是</x:v>
      </x:c>
      <x:c r="C328" s="17" t="str">
        <x:v>Gutter above column. Column is more likely to corrode due to the flow of water from gutter.</x:v>
      </x:c>
      <x:c r="D328" s="17" t="str">
        <x:v>Columns</x:v>
      </x:c>
      <x:c r="E328" s="19" t="n">
        <x:v>1</x:v>
      </x:c>
      <x:c r="F328" s="19" t="n">
        <x:v>1</x:v>
      </x:c>
      <x:c r="G328" s="16" t="str"/>
      <x:c r="H328" s="16" t="str">
        <x:v>SRC-005</x:v>
      </x:c>
      <x:c r="I328" s="17" t="str"/>
    </x:row>
    <x:row r="329" ht="37" customHeight="1">
      <x:c r="A329" s="16" t="str">
        <x:v>OBS-0323</x:v>
      </x:c>
      <x:c r="B329" s="17" t="str">
        <x:v>是</x:v>
      </x:c>
      <x:c r="C329" s="17" t="str">
        <x:v>Gutter has corrosion delamination resulting in significant loss of section.</x:v>
      </x:c>
      <x:c r="D329" s="17" t="str">
        <x:v>Gutter</x:v>
      </x:c>
      <x:c r="E329" s="19" t="n">
        <x:v>1</x:v>
      </x:c>
      <x:c r="F329" s="19" t="n">
        <x:v>1</x:v>
      </x:c>
      <x:c r="G329" s="16" t="str"/>
      <x:c r="H329" s="16" t="str">
        <x:v>SRC-029</x:v>
      </x:c>
      <x:c r="I329" s="17" t="str"/>
    </x:row>
    <x:row r="330" ht="37" customHeight="1">
      <x:c r="A330" s="16" t="str">
        <x:v>OBS-0324</x:v>
      </x:c>
      <x:c r="B330" s="17" t="str">
        <x:v>是</x:v>
      </x:c>
      <x:c r="C330" s="17" t="str">
        <x:v>Hole and flaking corrosion toward the lower section</x:v>
      </x:c>
      <x:c r="D330" s="17" t="str">
        <x:v>Informational Panel</x:v>
      </x:c>
      <x:c r="E330" s="19" t="n">
        <x:v>1</x:v>
      </x:c>
      <x:c r="F330" s="19" t="n">
        <x:v>1</x:v>
      </x:c>
      <x:c r="G330" s="16" t="str"/>
      <x:c r="H330" s="16" t="str">
        <x:v>SRC-094</x:v>
      </x:c>
      <x:c r="I330" s="17" t="str"/>
    </x:row>
    <x:row r="331" ht="37" customHeight="1">
      <x:c r="A331" s="16" t="str">
        <x:v>OBS-0325</x:v>
      </x:c>
      <x:c r="B331" s="17" t="str">
        <x:v>是</x:v>
      </x:c>
      <x:c r="C331" s="17" t="str">
        <x:v>Hole in column.</x:v>
      </x:c>
      <x:c r="D331" s="17" t="str">
        <x:v>Shade structure 3 column</x:v>
      </x:c>
      <x:c r="E331" s="19" t="n">
        <x:v>1</x:v>
      </x:c>
      <x:c r="F331" s="19" t="n">
        <x:v>1</x:v>
      </x:c>
      <x:c r="G331" s="16" t="str"/>
      <x:c r="H331" s="16" t="str">
        <x:v>SRC-092</x:v>
      </x:c>
      <x:c r="I331" s="17" t="str"/>
    </x:row>
    <x:row r="332" ht="37" customHeight="1">
      <x:c r="A332" s="16" t="str">
        <x:v>OBS-0326</x:v>
      </x:c>
      <x:c r="B332" s="17" t="str">
        <x:v>是</x:v>
      </x:c>
      <x:c r="C332" s="17" t="str">
        <x:v>Hole in timber.</x:v>
      </x:c>
      <x:c r="D332" s="17" t="str">
        <x:v>Childhood Centre - timber rafters</x:v>
      </x:c>
      <x:c r="E332" s="19" t="n">
        <x:v>1</x:v>
      </x:c>
      <x:c r="F332" s="19" t="n">
        <x:v>1</x:v>
      </x:c>
      <x:c r="G332" s="16" t="str"/>
      <x:c r="H332" s="16" t="str">
        <x:v>SRC-063</x:v>
      </x:c>
      <x:c r="I332" s="17" t="str"/>
    </x:row>
    <x:row r="333" ht="37" customHeight="1">
      <x:c r="A333" s="16" t="str">
        <x:v>OBS-0327</x:v>
      </x:c>
      <x:c r="B333" s="17" t="str">
        <x:v>是</x:v>
      </x:c>
      <x:c r="C333" s="17" t="str">
        <x:v>Hole through steel due to corrosion. Close up photo below.</x:v>
      </x:c>
      <x:c r="D333" s="17" t="str">
        <x:v>Childhood Centre verandah</x:v>
      </x:c>
      <x:c r="E333" s="19" t="n">
        <x:v>1</x:v>
      </x:c>
      <x:c r="F333" s="19" t="n">
        <x:v>1</x:v>
      </x:c>
      <x:c r="G333" s="16" t="str"/>
      <x:c r="H333" s="16" t="str">
        <x:v>SRC-063</x:v>
      </x:c>
      <x:c r="I333" s="17" t="str"/>
    </x:row>
    <x:row r="334" ht="37" customHeight="1">
      <x:c r="A334" s="16" t="str">
        <x:v>OBS-0328</x:v>
      </x:c>
      <x:c r="B334" s="17" t="str">
        <x:v>是</x:v>
      </x:c>
      <x:c r="C334" s="17" t="str">
        <x:v>Holes in purlin cap plate.</x:v>
      </x:c>
      <x:c r="D334" s="17" t="str">
        <x:v>Purlins and rafters</x:v>
      </x:c>
      <x:c r="E334" s="19" t="n">
        <x:v>1</x:v>
      </x:c>
      <x:c r="F334" s="19" t="n">
        <x:v>1</x:v>
      </x:c>
      <x:c r="G334" s="16" t="str"/>
      <x:c r="H334" s="16" t="str">
        <x:v>SRC-062</x:v>
      </x:c>
      <x:c r="I334" s="17" t="str"/>
    </x:row>
    <x:row r="335" ht="37" customHeight="1">
      <x:c r="A335" s="16" t="str">
        <x:v>OBS-0329</x:v>
      </x:c>
      <x:c r="B335" s="17" t="str">
        <x:v>是</x:v>
      </x:c>
      <x:c r="C335" s="17" t="str">
        <x:v>Holes through steel beam.</x:v>
      </x:c>
      <x:c r="D335" s="17" t="str">
        <x:v>Multipurpose Building verandah</x:v>
      </x:c>
      <x:c r="E335" s="19" t="n">
        <x:v>1</x:v>
      </x:c>
      <x:c r="F335" s="19" t="n">
        <x:v>1</x:v>
      </x:c>
      <x:c r="G335" s="16" t="str"/>
      <x:c r="H335" s="16" t="str">
        <x:v>SRC-063</x:v>
      </x:c>
      <x:c r="I335" s="17" t="str"/>
    </x:row>
    <x:row r="336" ht="37" customHeight="1">
      <x:c r="A336" s="16" t="str">
        <x:v>OBS-0330</x:v>
      </x:c>
      <x:c r="B336" s="17" t="str">
        <x:v>是</x:v>
      </x:c>
      <x:c r="C336" s="17" t="str">
        <x:v>Holes through the lower portion of the miner and severe flaking present.</x:v>
      </x:c>
      <x:c r="D336" s="17" t="str">
        <x:v>Miner statue</x:v>
      </x:c>
      <x:c r="E336" s="19" t="n">
        <x:v>1</x:v>
      </x:c>
      <x:c r="F336" s="19" t="n">
        <x:v>1</x:v>
      </x:c>
      <x:c r="G336" s="16" t="str"/>
      <x:c r="H336" s="16" t="str">
        <x:v>SRC-071</x:v>
      </x:c>
      <x:c r="I336" s="17" t="str"/>
    </x:row>
    <x:row r="337" ht="37" customHeight="1">
      <x:c r="A337" s="16" t="str">
        <x:v>OBS-0331</x:v>
      </x:c>
      <x:c r="B337" s="17" t="str">
        <x:v>是</x:v>
      </x:c>
      <x:c r="C337" s="17" t="str">
        <x:v>Honeycombing and loss of material towards lower section of slab.</x:v>
      </x:c>
      <x:c r="D337" s="17" t="str">
        <x:v>Slab</x:v>
      </x:c>
      <x:c r="E337" s="19" t="n">
        <x:v>1</x:v>
      </x:c>
      <x:c r="F337" s="19" t="n">
        <x:v>1</x:v>
      </x:c>
      <x:c r="G337" s="16" t="str"/>
      <x:c r="H337" s="16" t="str">
        <x:v>SRC-006</x:v>
      </x:c>
      <x:c r="I337" s="17" t="str"/>
    </x:row>
    <x:row r="338" ht="37" customHeight="1">
      <x:c r="A338" s="16" t="str">
        <x:v>OBS-0332</x:v>
      </x:c>
      <x:c r="B338" s="17" t="str">
        <x:v>是</x:v>
      </x:c>
      <x:c r="C338" s="17" t="str">
        <x:v>In same condition as previous dragonfly shade structure. GENERAL</x:v>
      </x:c>
      <x:c r="D338" s="17" t="str">
        <x:v>Dragonfly shade structure</x:v>
      </x:c>
      <x:c r="E338" s="19" t="n">
        <x:v>1</x:v>
      </x:c>
      <x:c r="F338" s="19" t="n">
        <x:v>1</x:v>
      </x:c>
      <x:c r="G338" s="16" t="str"/>
      <x:c r="H338" s="16" t="str">
        <x:v>SRC-080</x:v>
      </x:c>
      <x:c r="I338" s="17" t="str"/>
    </x:row>
    <x:row r="339" ht="37" customHeight="1">
      <x:c r="A339" s="16" t="str">
        <x:v>OBS-0333</x:v>
      </x:c>
      <x:c r="B339" s="17" t="str">
        <x:v>是</x:v>
      </x:c>
      <x:c r="C339" s="17" t="str">
        <x:v>Informational panel supported by steel hollow section columns.</x:v>
      </x:c>
      <x:c r="D339" s="17" t="str">
        <x:v>Informational panel 2</x:v>
      </x:c>
      <x:c r="E339" s="19" t="n">
        <x:v>1</x:v>
      </x:c>
      <x:c r="F339" s="19" t="n">
        <x:v>1</x:v>
      </x:c>
      <x:c r="G339" s="16" t="str"/>
      <x:c r="H339" s="16" t="str">
        <x:v>SRC-071</x:v>
      </x:c>
      <x:c r="I339" s="17" t="str"/>
    </x:row>
    <x:row r="340" ht="55" customHeight="1">
      <x:c r="A340" s="16" t="str">
        <x:v>OBS-0334</x:v>
      </x:c>
      <x:c r="B340" s="17" t="str">
        <x:v>是</x:v>
      </x:c>
      <x:c r="C340" s="17" t="str">
        <x:v>Large pit adjacent to fence. The fence allows sufficient clearance for individuals to slide underneath and access the pit, presenting a significant risk of injury in the event of a fall</x:v>
      </x:c>
      <x:c r="D340" s="17" t="str">
        <x:v>Fence</x:v>
      </x:c>
      <x:c r="E340" s="19" t="n">
        <x:v>1</x:v>
      </x:c>
      <x:c r="F340" s="19" t="n">
        <x:v>1</x:v>
      </x:c>
      <x:c r="G340" s="16" t="str"/>
      <x:c r="H340" s="16" t="str">
        <x:v>SRC-092</x:v>
      </x:c>
      <x:c r="I340" s="17" t="str"/>
    </x:row>
    <x:row r="341" ht="37" customHeight="1">
      <x:c r="A341" s="16" t="str">
        <x:v>OBS-0335</x:v>
      </x:c>
      <x:c r="B341" s="17" t="str">
        <x:v>是</x:v>
      </x:c>
      <x:c r="C341" s="17" t="str">
        <x:v>Left hand side back corner facing front of the house. Corrosion of Tek screws.</x:v>
      </x:c>
      <x:c r="D341" s="17" t="str">
        <x:v>Tek screws</x:v>
      </x:c>
      <x:c r="E341" s="19" t="n">
        <x:v>1</x:v>
      </x:c>
      <x:c r="F341" s="19" t="n">
        <x:v>1</x:v>
      </x:c>
      <x:c r="G341" s="16" t="str">
        <x:v>MRG-0063</x:v>
      </x:c>
      <x:c r="H341" s="16" t="str">
        <x:v>SRC-014</x:v>
      </x:c>
      <x:c r="I341" s="17" t="str"/>
    </x:row>
    <x:row r="342" ht="37" customHeight="1">
      <x:c r="A342" s="16" t="str">
        <x:v>OBS-0336</x:v>
      </x:c>
      <x:c r="B342" s="17" t="str">
        <x:v>是</x:v>
      </x:c>
      <x:c r="C342" s="17" t="str">
        <x:v>Left hand side back corner of the property. Paint deterioration on cladding.</x:v>
      </x:c>
      <x:c r="D342" s="17" t="str">
        <x:v>Cladding</x:v>
      </x:c>
      <x:c r="E342" s="19" t="n">
        <x:v>1</x:v>
      </x:c>
      <x:c r="F342" s="19" t="n">
        <x:v>1</x:v>
      </x:c>
      <x:c r="G342" s="16" t="str"/>
      <x:c r="H342" s="16" t="str">
        <x:v>SRC-009</x:v>
      </x:c>
      <x:c r="I342" s="17" t="str"/>
    </x:row>
    <x:row r="343" ht="37" customHeight="1">
      <x:c r="A343" s="16" t="str">
        <x:v>OBS-0337</x:v>
      </x:c>
      <x:c r="B343" s="17" t="str">
        <x:v>是</x:v>
      </x:c>
      <x:c r="C343" s="17" t="str">
        <x:v>Left hand side cladding in good condition.</x:v>
      </x:c>
      <x:c r="D343" s="17" t="str">
        <x:v>Cladding and framing</x:v>
      </x:c>
      <x:c r="E343" s="19" t="n">
        <x:v>1</x:v>
      </x:c>
      <x:c r="F343" s="19" t="n">
        <x:v>1</x:v>
      </x:c>
      <x:c r="G343" s="16" t="str"/>
      <x:c r="H343" s="16" t="str">
        <x:v>SRC-013</x:v>
      </x:c>
      <x:c r="I343" s="17" t="str"/>
    </x:row>
    <x:row r="344" ht="37" customHeight="1">
      <x:c r="A344" s="16" t="str">
        <x:v>OBS-0338</x:v>
      </x:c>
      <x:c r="B344" s="17" t="str">
        <x:v>是</x:v>
      </x:c>
      <x:c r="C344" s="17" t="str">
        <x:v>Left hand side corner facing front of the house. Severe corrosion of Tek screws.</x:v>
      </x:c>
      <x:c r="D344" s="17" t="str">
        <x:v>Tek screws</x:v>
      </x:c>
      <x:c r="E344" s="19" t="n">
        <x:v>1</x:v>
      </x:c>
      <x:c r="F344" s="19" t="n">
        <x:v>1</x:v>
      </x:c>
      <x:c r="G344" s="16" t="str">
        <x:v>MRG-0063, MRG-0122</x:v>
      </x:c>
      <x:c r="H344" s="16" t="str">
        <x:v>SRC-014</x:v>
      </x:c>
      <x:c r="I344" s="17" t="str"/>
    </x:row>
    <x:row r="345" ht="41" customHeight="1">
      <x:c r="A345" s="16" t="str">
        <x:v>OBS-0339</x:v>
      </x:c>
      <x:c r="B345" s="17" t="str">
        <x:v>是</x:v>
      </x:c>
      <x:c r="C345" s="17" t="str">
        <x:v>Left hand side corner facing front of the house. Severe corrosion on Tek screws and top hat purlins.</x:v>
      </x:c>
      <x:c r="D345" s="17" t="str">
        <x:v>Top hats</x:v>
      </x:c>
      <x:c r="E345" s="19" t="n">
        <x:v>1</x:v>
      </x:c>
      <x:c r="F345" s="19" t="n">
        <x:v>1</x:v>
      </x:c>
      <x:c r="G345" s="16" t="str">
        <x:v>MRG-0122</x:v>
      </x:c>
      <x:c r="H345" s="16" t="str">
        <x:v>SRC-014</x:v>
      </x:c>
      <x:c r="I345" s="17" t="str"/>
    </x:row>
    <x:row r="346" ht="41" customHeight="1">
      <x:c r="A346" s="16" t="str">
        <x:v>OBS-0340</x:v>
      </x:c>
      <x:c r="B346" s="17" t="str">
        <x:v>是</x:v>
      </x:c>
      <x:c r="C346" s="17" t="str">
        <x:v>Left hand side corner of property facing entrance. Diagonal crack through brickwork and mortar. Exposed masonry wall ties that have corroded.</x:v>
      </x:c>
      <x:c r="D346" s="17" t="str">
        <x:v>Brickwork and framing</x:v>
      </x:c>
      <x:c r="E346" s="19" t="n">
        <x:v>1</x:v>
      </x:c>
      <x:c r="F346" s="19" t="n">
        <x:v>1</x:v>
      </x:c>
      <x:c r="G346" s="16" t="str"/>
      <x:c r="H346" s="16" t="str">
        <x:v>SRC-057</x:v>
      </x:c>
      <x:c r="I346" s="17" t="str"/>
    </x:row>
    <x:row r="347" ht="41" customHeight="1">
      <x:c r="A347" s="16" t="str">
        <x:v>OBS-0341</x:v>
      </x:c>
      <x:c r="B347" s="17" t="str">
        <x:v>是</x:v>
      </x:c>
      <x:c r="C347" s="17" t="str">
        <x:v>Left hand side facing front of the house. The supporting foundation has been displaced due to erosion.</x:v>
      </x:c>
      <x:c r="D347" s="17" t="str">
        <x:v>Concrete footpath</x:v>
      </x:c>
      <x:c r="E347" s="19" t="n">
        <x:v>1</x:v>
      </x:c>
      <x:c r="F347" s="19" t="n">
        <x:v>1</x:v>
      </x:c>
      <x:c r="G347" s="16" t="str"/>
      <x:c r="H347" s="16" t="str">
        <x:v>SRC-006</x:v>
      </x:c>
      <x:c r="I347" s="17" t="str"/>
    </x:row>
    <x:row r="348" ht="37" customHeight="1">
      <x:c r="A348" s="16" t="str">
        <x:v>OBS-0342</x:v>
      </x:c>
      <x:c r="B348" s="17" t="str">
        <x:v>是</x:v>
      </x:c>
      <x:c r="C348" s="17" t="str">
        <x:v>Left hand side fence post has minor corrosion.</x:v>
      </x:c>
      <x:c r="D348" s="17" t="str">
        <x:v>Fencing posts</x:v>
      </x:c>
      <x:c r="E348" s="19" t="n">
        <x:v>1</x:v>
      </x:c>
      <x:c r="F348" s="19" t="n">
        <x:v>1</x:v>
      </x:c>
      <x:c r="G348" s="16" t="str"/>
      <x:c r="H348" s="16" t="str">
        <x:v>SRC-048</x:v>
      </x:c>
      <x:c r="I348" s="17" t="str"/>
    </x:row>
    <x:row r="349" ht="37" customHeight="1">
      <x:c r="A349" s="16" t="str">
        <x:v>OBS-0343</x:v>
      </x:c>
      <x:c r="B349" s="17" t="str">
        <x:v>是</x:v>
      </x:c>
      <x:c r="C349" s="17" t="str">
        <x:v>Left hand side gate facing the front entrance. Minor corrosion of column.</x:v>
      </x:c>
      <x:c r="D349" s="17" t="str">
        <x:v>Fencing posts</x:v>
      </x:c>
      <x:c r="E349" s="19" t="n">
        <x:v>1</x:v>
      </x:c>
      <x:c r="F349" s="19" t="n">
        <x:v>1</x:v>
      </x:c>
      <x:c r="G349" s="16" t="str">
        <x:v>MRG-0155</x:v>
      </x:c>
      <x:c r="H349" s="16" t="str">
        <x:v>SRC-059</x:v>
      </x:c>
      <x:c r="I349" s="17" t="str"/>
    </x:row>
    <x:row r="350" ht="55" customHeight="1">
      <x:c r="A350" s="16" t="str">
        <x:v>OBS-0344</x:v>
      </x:c>
      <x:c r="B350" s="17" t="str">
        <x:v>是</x:v>
      </x:c>
      <x:c r="C350" s="17" t="str">
        <x:v>Left hand side of back verandah. Rafters have minor corrosion. Most significant corrosion towards end of rafter. Close up of rafter circled in red is shown below.</x:v>
      </x:c>
      <x:c r="D350" s="17" t="str">
        <x:v>Rafters</x:v>
      </x:c>
      <x:c r="E350" s="19" t="n">
        <x:v>1</x:v>
      </x:c>
      <x:c r="F350" s="19" t="n">
        <x:v>1</x:v>
      </x:c>
      <x:c r="G350" s="16" t="str"/>
      <x:c r="H350" s="16" t="str">
        <x:v>SRC-014</x:v>
      </x:c>
      <x:c r="I350" s="17" t="str"/>
    </x:row>
    <x:row r="351" ht="41" customHeight="1">
      <x:c r="A351" s="16" t="str">
        <x:v>OBS-0345</x:v>
      </x:c>
      <x:c r="B351" s="17" t="str">
        <x:v>是</x:v>
      </x:c>
      <x:c r="C351" s="17" t="str">
        <x:v>Left hand side of front verandah. Rafters have minor corrosion. Most significant corrosion towards end of rafter.</x:v>
      </x:c>
      <x:c r="D351" s="17" t="str">
        <x:v>Rafters</x:v>
      </x:c>
      <x:c r="E351" s="19" t="n">
        <x:v>1</x:v>
      </x:c>
      <x:c r="F351" s="19" t="n">
        <x:v>1</x:v>
      </x:c>
      <x:c r="G351" s="16" t="str">
        <x:v>MRG-0076</x:v>
      </x:c>
      <x:c r="H351" s="16" t="str">
        <x:v>SRC-014</x:v>
      </x:c>
      <x:c r="I351" s="17" t="str"/>
    </x:row>
    <x:row r="352" ht="41" customHeight="1">
      <x:c r="A352" s="16" t="str">
        <x:v>OBS-0346</x:v>
      </x:c>
      <x:c r="B352" s="17" t="str">
        <x:v>是</x:v>
      </x:c>
      <x:c r="C352" s="17" t="str">
        <x:v>Left hand side of house facing entrance. Salt staining where awning and cladding interface.</x:v>
      </x:c>
      <x:c r="D352" s="17" t="str">
        <x:v>Cladding and framing</x:v>
      </x:c>
      <x:c r="E352" s="19" t="n">
        <x:v>1</x:v>
      </x:c>
      <x:c r="F352" s="19" t="n">
        <x:v>1</x:v>
      </x:c>
      <x:c r="G352" s="16" t="str"/>
      <x:c r="H352" s="16" t="str">
        <x:v>SRC-060</x:v>
      </x:c>
      <x:c r="I352" s="17" t="str"/>
    </x:row>
    <x:row r="353" ht="41" customHeight="1">
      <x:c r="A353" s="16" t="str">
        <x:v>OBS-0347</x:v>
      </x:c>
      <x:c r="B353" s="17" t="str">
        <x:v>是</x:v>
      </x:c>
      <x:c r="C353" s="17" t="str">
        <x:v>Left hand side of house facing front entrance. Roof sheeting has minor corrosion.</x:v>
      </x:c>
      <x:c r="D353" s="17" t="str">
        <x:v>Roof</x:v>
      </x:c>
      <x:c r="E353" s="19" t="n">
        <x:v>1</x:v>
      </x:c>
      <x:c r="F353" s="19" t="n">
        <x:v>1</x:v>
      </x:c>
      <x:c r="G353" s="16" t="str"/>
      <x:c r="H353" s="16" t="str">
        <x:v>SRC-054</x:v>
      </x:c>
      <x:c r="I353" s="17" t="str"/>
    </x:row>
    <x:row r="354" ht="41" customHeight="1">
      <x:c r="A354" s="16" t="str">
        <x:v>OBS-0348</x:v>
      </x:c>
      <x:c r="B354" s="17" t="str">
        <x:v>是</x:v>
      </x:c>
      <x:c r="C354" s="17" t="str">
        <x:v>Left hand side of house facing front. Corrosion at the bottom of the fence where water is pooling.</x:v>
      </x:c>
      <x:c r="D354" s="17" t="str">
        <x:v>Fencing</x:v>
      </x:c>
      <x:c r="E354" s="19" t="n">
        <x:v>1</x:v>
      </x:c>
      <x:c r="F354" s="19" t="n">
        <x:v>1</x:v>
      </x:c>
      <x:c r="G354" s="16" t="str"/>
      <x:c r="H354" s="16" t="str">
        <x:v>SRC-014</x:v>
      </x:c>
      <x:c r="I354" s="17" t="str"/>
    </x:row>
    <x:row r="355" ht="37" customHeight="1">
      <x:c r="A355" s="16" t="str">
        <x:v>OBS-0349</x:v>
      </x:c>
      <x:c r="B355" s="17" t="str">
        <x:v>是</x:v>
      </x:c>
      <x:c r="C355" s="17" t="str">
        <x:v>Left hand side of house facing front. Damp proof in good condition.</x:v>
      </x:c>
      <x:c r="D355" s="17" t="str">
        <x:v>Damp proof course</x:v>
      </x:c>
      <x:c r="E355" s="19" t="n">
        <x:v>1</x:v>
      </x:c>
      <x:c r="F355" s="19" t="n">
        <x:v>1</x:v>
      </x:c>
      <x:c r="G355" s="16" t="str"/>
      <x:c r="H355" s="16" t="str">
        <x:v>SRC-012</x:v>
      </x:c>
      <x:c r="I355" s="17" t="str"/>
    </x:row>
    <x:row r="356" ht="41" customHeight="1">
      <x:c r="A356" s="16" t="str">
        <x:v>OBS-0350</x:v>
      </x:c>
      <x:c r="B356" s="17" t="str">
        <x:v>是</x:v>
      </x:c>
      <x:c r="C356" s="17" t="str">
        <x:v>Left hand side of house facing the entrance. Minor corrosion of purlins and rafters.</x:v>
      </x:c>
      <x:c r="D356" s="17" t="str">
        <x:v>Carport verandah</x:v>
      </x:c>
      <x:c r="E356" s="19" t="n">
        <x:v>1</x:v>
      </x:c>
      <x:c r="F356" s="19" t="n">
        <x:v>1</x:v>
      </x:c>
      <x:c r="G356" s="16" t="str">
        <x:v>MRG-0032, MRG-0130, MRG-0172, MRG-0272</x:v>
      </x:c>
      <x:c r="H356" s="16" t="str">
        <x:v>SRC-025</x:v>
      </x:c>
      <x:c r="I356" s="17" t="str"/>
    </x:row>
    <x:row r="357" ht="37" customHeight="1">
      <x:c r="A357" s="16" t="str">
        <x:v>OBS-0351</x:v>
      </x:c>
      <x:c r="B357" s="17" t="str">
        <x:v>是</x:v>
      </x:c>
      <x:c r="C357" s="17" t="str">
        <x:v>Left hand side of house facing the entrance. Minor corrosion of verandah beam.</x:v>
      </x:c>
      <x:c r="D357" s="17" t="str">
        <x:v>Carport verandah</x:v>
      </x:c>
      <x:c r="E357" s="19" t="n">
        <x:v>1</x:v>
      </x:c>
      <x:c r="F357" s="19" t="n">
        <x:v>1</x:v>
      </x:c>
      <x:c r="G357" s="16" t="str">
        <x:v>MRG-0082, MRG-0098, MRG-0099, MRG-0130</x:v>
      </x:c>
      <x:c r="H357" s="16" t="str">
        <x:v>SRC-025</x:v>
      </x:c>
      <x:c r="I357" s="17" t="str"/>
    </x:row>
    <x:row r="358" ht="41" customHeight="1">
      <x:c r="A358" s="16" t="str">
        <x:v>OBS-0352</x:v>
      </x:c>
      <x:c r="B358" s="17" t="str">
        <x:v>是</x:v>
      </x:c>
      <x:c r="C358" s="17" t="str">
        <x:v>Left hand side of house facing the entrance. Minor corrosion of verandah beam. Minor corrosion of soffit sheeting adjacent to beam.</x:v>
      </x:c>
      <x:c r="D358" s="17" t="str">
        <x:v>Carport verandah</x:v>
      </x:c>
      <x:c r="E358" s="19" t="n">
        <x:v>1</x:v>
      </x:c>
      <x:c r="F358" s="19" t="n">
        <x:v>1</x:v>
      </x:c>
      <x:c r="G358" s="16" t="str"/>
      <x:c r="H358" s="16" t="str">
        <x:v>SRC-023</x:v>
      </x:c>
      <x:c r="I358" s="17" t="str"/>
    </x:row>
    <x:row r="359" ht="41" customHeight="1">
      <x:c r="A359" s="16" t="str">
        <x:v>OBS-0353</x:v>
      </x:c>
      <x:c r="B359" s="17" t="str">
        <x:v>是</x:v>
      </x:c>
      <x:c r="C359" s="17" t="str">
        <x:v>Left hand side of house facing the entrance. Salt staining and paint deterioration on purlins and rafters.</x:v>
      </x:c>
      <x:c r="D359" s="17" t="str">
        <x:v>Rafters and purlins</x:v>
      </x:c>
      <x:c r="E359" s="19" t="n">
        <x:v>1</x:v>
      </x:c>
      <x:c r="F359" s="19" t="n">
        <x:v>1</x:v>
      </x:c>
      <x:c r="G359" s="16" t="str">
        <x:v>MRG-0140</x:v>
      </x:c>
      <x:c r="H359" s="16" t="str">
        <x:v>SRC-054</x:v>
      </x:c>
      <x:c r="I359" s="17" t="str"/>
    </x:row>
    <x:row r="360" ht="41" customHeight="1">
      <x:c r="A360" s="16" t="str">
        <x:v>OBS-0354</x:v>
      </x:c>
      <x:c r="B360" s="17" t="str">
        <x:v>是</x:v>
      </x:c>
      <x:c r="C360" s="17" t="str">
        <x:v>Left hand side of house facing the entrance. Salt staining on purlins and rafters.</x:v>
      </x:c>
      <x:c r="D360" s="17" t="str">
        <x:v>Rafters and purlins</x:v>
      </x:c>
      <x:c r="E360" s="19" t="n">
        <x:v>1</x:v>
      </x:c>
      <x:c r="F360" s="19" t="n">
        <x:v>1</x:v>
      </x:c>
      <x:c r="G360" s="16" t="str">
        <x:v>MRG-0034, MRG-0140, MRG-0172, MRG-0277</x:v>
      </x:c>
      <x:c r="H360" s="16" t="str">
        <x:v>SRC-053</x:v>
      </x:c>
      <x:c r="I360" s="17" t="str"/>
    </x:row>
    <x:row r="361" ht="37" customHeight="1">
      <x:c r="A361" s="16" t="str">
        <x:v>OBS-0355</x:v>
      </x:c>
      <x:c r="B361" s="17" t="str">
        <x:v>是</x:v>
      </x:c>
      <x:c r="C361" s="17" t="str">
        <x:v>Left hand side of property facing front entrance. Corrosion around outlet pipe.</x:v>
      </x:c>
      <x:c r="D361" s="17" t="str">
        <x:v>Cladding and framing</x:v>
      </x:c>
      <x:c r="E361" s="19" t="n">
        <x:v>1</x:v>
      </x:c>
      <x:c r="F361" s="19" t="n">
        <x:v>1</x:v>
      </x:c>
      <x:c r="G361" s="16" t="str">
        <x:v>MRG-0270</x:v>
      </x:c>
      <x:c r="H361" s="16" t="str">
        <x:v>SRC-056</x:v>
      </x:c>
      <x:c r="I361" s="17" t="str"/>
    </x:row>
    <x:row r="362" ht="41" customHeight="1">
      <x:c r="A362" s="16" t="str">
        <x:v>OBS-0356</x:v>
      </x:c>
      <x:c r="B362" s="17" t="str">
        <x:v>是</x:v>
      </x:c>
      <x:c r="C362" s="17" t="str">
        <x:v>Left hand side of property facing front entrance. Framing and cladding in good condition.</x:v>
      </x:c>
      <x:c r="D362" s="17" t="str">
        <x:v>Cladding and framing</x:v>
      </x:c>
      <x:c r="E362" s="19" t="n">
        <x:v>1</x:v>
      </x:c>
      <x:c r="F362" s="19" t="n">
        <x:v>1</x:v>
      </x:c>
      <x:c r="G362" s="16" t="str">
        <x:v>MRG-0271</x:v>
      </x:c>
      <x:c r="H362" s="16" t="str">
        <x:v>SRC-053</x:v>
      </x:c>
      <x:c r="I362" s="17" t="str"/>
    </x:row>
    <x:row r="363" ht="37" customHeight="1">
      <x:c r="A363" s="16" t="str">
        <x:v>OBS-0357</x:v>
      </x:c>
      <x:c r="B363" s="17" t="str">
        <x:v>是</x:v>
      </x:c>
      <x:c r="C363" s="17" t="str">
        <x:v>Left hand side of property facing front entrance. Photo taken in backyard.</x:v>
      </x:c>
      <x:c r="D363" s="17" t="str">
        <x:v>Fencing posts</x:v>
      </x:c>
      <x:c r="E363" s="19" t="n">
        <x:v>1</x:v>
      </x:c>
      <x:c r="F363" s="19" t="n">
        <x:v>1</x:v>
      </x:c>
      <x:c r="G363" s="16" t="str"/>
      <x:c r="H363" s="16" t="str">
        <x:v>SRC-010</x:v>
      </x:c>
      <x:c r="I363" s="17" t="str"/>
    </x:row>
    <x:row r="364" ht="41" customHeight="1">
      <x:c r="A364" s="16" t="str">
        <x:v>OBS-0358</x:v>
      </x:c>
      <x:c r="B364" s="17" t="str">
        <x:v>是</x:v>
      </x:c>
      <x:c r="C364" s="17" t="str">
        <x:v>Left hand side of property facing the front entrance. Minor corrosion of steel post.</x:v>
      </x:c>
      <x:c r="D364" s="17" t="str">
        <x:v>Fencing posts</x:v>
      </x:c>
      <x:c r="E364" s="19" t="n">
        <x:v>1</x:v>
      </x:c>
      <x:c r="F364" s="19" t="n">
        <x:v>1</x:v>
      </x:c>
      <x:c r="G364" s="16" t="str">
        <x:v>MRG-0033, MRG-0273</x:v>
      </x:c>
      <x:c r="H364" s="16" t="str">
        <x:v>SRC-054</x:v>
      </x:c>
      <x:c r="I364" s="17" t="str"/>
    </x:row>
    <x:row r="365" ht="41" customHeight="1">
      <x:c r="A365" s="16" t="str">
        <x:v>OBS-0359</x:v>
      </x:c>
      <x:c r="B365" s="17" t="str">
        <x:v>是</x:v>
      </x:c>
      <x:c r="C365" s="17" t="str">
        <x:v>Left hand side staircase facing front entrance. Spalling and exposed reinforcement.</x:v>
      </x:c>
      <x:c r="D365" s="17" t="str">
        <x:v>Concrete slab</x:v>
      </x:c>
      <x:c r="E365" s="19" t="n">
        <x:v>1</x:v>
      </x:c>
      <x:c r="F365" s="19" t="n">
        <x:v>1</x:v>
      </x:c>
      <x:c r="G365" s="16" t="str">
        <x:v>MRG-0173, MRG-0278</x:v>
      </x:c>
      <x:c r="H365" s="16" t="str">
        <x:v>SRC-096</x:v>
      </x:c>
      <x:c r="I365" s="17" t="str"/>
    </x:row>
    <x:row r="366" ht="37" customHeight="1">
      <x:c r="A366" s="16" t="str">
        <x:v>OBS-0360</x:v>
      </x:c>
      <x:c r="B366" s="17" t="str">
        <x:v>是</x:v>
      </x:c>
      <x:c r="C366" s="17" t="str">
        <x:v>Left hand side staircase. Minor cracking at joint.</x:v>
      </x:c>
      <x:c r="D366" s="17" t="str">
        <x:v>Concrete staircase</x:v>
      </x:c>
      <x:c r="E366" s="19" t="n">
        <x:v>1</x:v>
      </x:c>
      <x:c r="F366" s="19" t="n">
        <x:v>1</x:v>
      </x:c>
      <x:c r="G366" s="16" t="str">
        <x:v>MRG-0058, MRG-0274</x:v>
      </x:c>
      <x:c r="H366" s="16" t="str">
        <x:v>SRC-096</x:v>
      </x:c>
      <x:c r="I366" s="17" t="str"/>
    </x:row>
    <x:row r="367" ht="37" customHeight="1">
      <x:c r="A367" s="16" t="str">
        <x:v>OBS-0361</x:v>
      </x:c>
      <x:c r="B367" s="17" t="str">
        <x:v>是</x:v>
      </x:c>
      <x:c r="C367" s="17" t="str">
        <x:v>Left hand side verandah facing front entrance. Paint deterioration.</x:v>
      </x:c>
      <x:c r="D367" s="17" t="str">
        <x:v>Verandah beam</x:v>
      </x:c>
      <x:c r="E367" s="19" t="n">
        <x:v>1</x:v>
      </x:c>
      <x:c r="F367" s="19" t="n">
        <x:v>1</x:v>
      </x:c>
      <x:c r="G367" s="16" t="str">
        <x:v>MRG-0276</x:v>
      </x:c>
      <x:c r="H367" s="16" t="str">
        <x:v>SRC-058</x:v>
      </x:c>
      <x:c r="I367" s="17" t="str"/>
    </x:row>
    <x:row r="368" ht="37" customHeight="1">
      <x:c r="A368" s="16" t="str">
        <x:v>OBS-0362</x:v>
      </x:c>
      <x:c r="B368" s="17" t="str">
        <x:v>是</x:v>
      </x:c>
      <x:c r="C368" s="17" t="str">
        <x:v>Left hand side wall cladding facing front entrance in good condition.</x:v>
      </x:c>
      <x:c r="D368" s="17" t="str">
        <x:v>Cladding and framing</x:v>
      </x:c>
      <x:c r="E368" s="19" t="n">
        <x:v>1</x:v>
      </x:c>
      <x:c r="F368" s="19" t="n">
        <x:v>1</x:v>
      </x:c>
      <x:c r="G368" s="16" t="str">
        <x:v>MRG-0128, MRG-0156</x:v>
      </x:c>
      <x:c r="H368" s="16" t="str">
        <x:v>SRC-058</x:v>
      </x:c>
      <x:c r="I368" s="17" t="str"/>
    </x:row>
    <x:row r="369" ht="41" customHeight="1">
      <x:c r="A369" s="16" t="str">
        <x:v>OBS-0363</x:v>
      </x:c>
      <x:c r="B369" s="17" t="str">
        <x:v>是</x:v>
      </x:c>
      <x:c r="C369" s="17" t="str">
        <x:v>Left-hand side back corner facing entrance. Corrosion on Tek screws and top hat purlins.</x:v>
      </x:c>
      <x:c r="D369" s="17" t="str">
        <x:v>Top hats</x:v>
      </x:c>
      <x:c r="E369" s="19" t="n">
        <x:v>1</x:v>
      </x:c>
      <x:c r="F369" s="19" t="n">
        <x:v>1</x:v>
      </x:c>
      <x:c r="G369" s="16" t="str"/>
      <x:c r="H369" s="16" t="str">
        <x:v>SRC-014</x:v>
      </x:c>
      <x:c r="I369" s="17" t="str"/>
    </x:row>
    <x:row r="370" ht="37" customHeight="1">
      <x:c r="A370" s="16" t="str">
        <x:v>OBS-0364</x:v>
      </x:c>
      <x:c r="B370" s="17" t="str">
        <x:v>是</x:v>
      </x:c>
      <x:c r="C370" s="17" t="str">
        <x:v>Left-hand side columns facing the front entrance.</x:v>
      </x:c>
      <x:c r="D370" s="17" t="str">
        <x:v>Columns</x:v>
      </x:c>
      <x:c r="E370" s="19" t="n">
        <x:v>1</x:v>
      </x:c>
      <x:c r="F370" s="19" t="n">
        <x:v>1</x:v>
      </x:c>
      <x:c r="G370" s="16" t="str"/>
      <x:c r="H370" s="16" t="str">
        <x:v>SRC-010</x:v>
      </x:c>
      <x:c r="I370" s="17" t="str"/>
    </x:row>
    <x:row r="371" ht="37" customHeight="1">
      <x:c r="A371" s="16" t="str">
        <x:v>OBS-0365</x:v>
      </x:c>
      <x:c r="B371" s="17" t="str">
        <x:v>是</x:v>
      </x:c>
      <x:c r="C371" s="17" t="str">
        <x:v>Left-hand side facing front of house.</x:v>
      </x:c>
      <x:c r="D371" s="17" t="str">
        <x:v>Rafters</x:v>
      </x:c>
      <x:c r="E371" s="19" t="n">
        <x:v>1</x:v>
      </x:c>
      <x:c r="F371" s="19" t="n">
        <x:v>1</x:v>
      </x:c>
      <x:c r="G371" s="16" t="str">
        <x:v>MRG-0088</x:v>
      </x:c>
      <x:c r="H371" s="16" t="str">
        <x:v>SRC-015</x:v>
      </x:c>
      <x:c r="I371" s="17" t="str"/>
    </x:row>
    <x:row r="372" ht="55" customHeight="1">
      <x:c r="A372" s="16" t="str">
        <x:v>OBS-0366</x:v>
      </x:c>
      <x:c r="B372" s="17" t="str">
        <x:v>是</x:v>
      </x:c>
      <x:c r="C372" s="17" t="str">
        <x:v>Left-hand side facing front of house. Rafter ends showing signs of moderate corrosion. Corrosion of rafters is most pronounced on the left-hand side of the property when compared to other sections.</x:v>
      </x:c>
      <x:c r="D372" s="17" t="str">
        <x:v>Rafters</x:v>
      </x:c>
      <x:c r="E372" s="19" t="n">
        <x:v>1</x:v>
      </x:c>
      <x:c r="F372" s="19" t="n">
        <x:v>1</x:v>
      </x:c>
      <x:c r="G372" s="16" t="str"/>
      <x:c r="H372" s="16" t="str">
        <x:v>SRC-015</x:v>
      </x:c>
      <x:c r="I372" s="17" t="str"/>
    </x:row>
    <x:row r="373" ht="41" customHeight="1">
      <x:c r="A373" s="16" t="str">
        <x:v>OBS-0367</x:v>
      </x:c>
      <x:c r="B373" s="17" t="str">
        <x:v>是</x:v>
      </x:c>
      <x:c r="C373" s="17" t="str">
        <x:v>Left-hand side facing front of house. Tek screws and flange of top-hat corroded away.</x:v>
      </x:c>
      <x:c r="D373" s="17" t="str">
        <x:v>Top hats and Tek screws</x:v>
      </x:c>
      <x:c r="E373" s="19" t="n">
        <x:v>1</x:v>
      </x:c>
      <x:c r="F373" s="19" t="n">
        <x:v>1</x:v>
      </x:c>
      <x:c r="G373" s="16" t="str">
        <x:v>MRG-0190, MRG-0279</x:v>
      </x:c>
      <x:c r="H373" s="16" t="str">
        <x:v>SRC-015</x:v>
      </x:c>
      <x:c r="I373" s="17" t="str"/>
    </x:row>
    <x:row r="374" ht="41" customHeight="1">
      <x:c r="A374" s="16" t="str">
        <x:v>OBS-0368</x:v>
      </x:c>
      <x:c r="B374" s="17" t="str">
        <x:v>是</x:v>
      </x:c>
      <x:c r="C374" s="17" t="str">
        <x:v>Left-hand side of house facing front entrance. Soffit flashing plate failed and soffit sheeting corroded.</x:v>
      </x:c>
      <x:c r="D374" s="17" t="str">
        <x:v>Roof</x:v>
      </x:c>
      <x:c r="E374" s="19" t="n">
        <x:v>1</x:v>
      </x:c>
      <x:c r="F374" s="19" t="n">
        <x:v>1</x:v>
      </x:c>
      <x:c r="G374" s="16" t="str"/>
      <x:c r="H374" s="16" t="str">
        <x:v>SRC-010</x:v>
      </x:c>
      <x:c r="I374" s="17" t="str"/>
    </x:row>
    <x:row r="375" ht="37" customHeight="1">
      <x:c r="A375" s="16" t="str">
        <x:v>OBS-0369</x:v>
      </x:c>
      <x:c r="B375" s="17" t="str">
        <x:v>是</x:v>
      </x:c>
      <x:c r="C375" s="17" t="str">
        <x:v>Localised minor corrosion.</x:v>
      </x:c>
      <x:c r="D375" s="17" t="str">
        <x:v>Rectangular steel retaining structures</x:v>
      </x:c>
      <x:c r="E375" s="19" t="n">
        <x:v>1</x:v>
      </x:c>
      <x:c r="F375" s="19" t="n">
        <x:v>1</x:v>
      </x:c>
      <x:c r="G375" s="16" t="str"/>
      <x:c r="H375" s="16" t="str">
        <x:v>SRC-099</x:v>
      </x:c>
      <x:c r="I375" s="17" t="str"/>
    </x:row>
    <x:row r="376" ht="41" customHeight="1">
      <x:c r="A376" s="16" t="str">
        <x:v>OBS-0370</x:v>
      </x:c>
      <x:c r="B376" s="17" t="str">
        <x:v>是</x:v>
      </x:c>
      <x:c r="C376" s="17" t="str">
        <x:v>Major corrosion of one verandah column circled in image. All other columns are in good condition. Major corrosion of one verandah column</x:v>
      </x:c>
      <x:c r="D376" s="17" t="str">
        <x:v>Columns</x:v>
      </x:c>
      <x:c r="E376" s="19" t="n">
        <x:v>1</x:v>
      </x:c>
      <x:c r="F376" s="19" t="n">
        <x:v>1</x:v>
      </x:c>
      <x:c r="G376" s="16" t="str"/>
      <x:c r="H376" s="16" t="str">
        <x:v>SRC-049</x:v>
      </x:c>
      <x:c r="I376" s="17" t="str"/>
    </x:row>
    <x:row r="377" ht="37" customHeight="1">
      <x:c r="A377" s="16" t="str">
        <x:v>OBS-0371</x:v>
      </x:c>
      <x:c r="B377" s="17" t="str">
        <x:v>是</x:v>
      </x:c>
      <x:c r="C377" s="17" t="str">
        <x:v>Major delamination and bitumen paint deterioration of Post 4.</x:v>
      </x:c>
      <x:c r="D377" s="17" t="str">
        <x:v>Fencing posts</x:v>
      </x:c>
      <x:c r="E377" s="19" t="n">
        <x:v>1</x:v>
      </x:c>
      <x:c r="F377" s="19" t="n">
        <x:v>1</x:v>
      </x:c>
      <x:c r="G377" s="16" t="str"/>
      <x:c r="H377" s="16" t="str">
        <x:v>SRC-060</x:v>
      </x:c>
      <x:c r="I377" s="17" t="str"/>
    </x:row>
    <x:row r="378" ht="41" customHeight="1">
      <x:c r="A378" s="16" t="str">
        <x:v>OBS-0372</x:v>
      </x:c>
      <x:c r="B378" s="17" t="str">
        <x:v>是</x:v>
      </x:c>
      <x:c r="C378" s="17" t="str">
        <x:v>Majority of brick piers at the back balcony have cracking extending from the door latch.</x:v>
      </x:c>
      <x:c r="D378" s="17" t="str">
        <x:v>Brick piers</x:v>
      </x:c>
      <x:c r="E378" s="19" t="n">
        <x:v>1</x:v>
      </x:c>
      <x:c r="F378" s="19" t="n">
        <x:v>1</x:v>
      </x:c>
      <x:c r="G378" s="16" t="str"/>
      <x:c r="H378" s="16" t="str">
        <x:v>SRC-096</x:v>
      </x:c>
      <x:c r="I378" s="17" t="str"/>
    </x:row>
    <x:row r="379" ht="41" customHeight="1">
      <x:c r="A379" s="16" t="str">
        <x:v>OBS-0373</x:v>
      </x:c>
      <x:c r="B379" s="17" t="str">
        <x:v>是</x:v>
      </x:c>
      <x:c r="C379" s="17" t="str">
        <x:v>Middle column. Brickwork separating from column. Wide gap at top and tapers down.</x:v>
      </x:c>
      <x:c r="D379" s="17" t="str">
        <x:v>Carport brickwork</x:v>
      </x:c>
      <x:c r="E379" s="19" t="n">
        <x:v>1</x:v>
      </x:c>
      <x:c r="F379" s="19" t="n">
        <x:v>1</x:v>
      </x:c>
      <x:c r="G379" s="16" t="str"/>
      <x:c r="H379" s="16" t="str">
        <x:v>SRC-050</x:v>
      </x:c>
      <x:c r="I379" s="17" t="str"/>
    </x:row>
    <x:row r="380" ht="41" customHeight="1">
      <x:c r="A380" s="16" t="str">
        <x:v>OBS-0374</x:v>
      </x:c>
      <x:c r="B380" s="17" t="str">
        <x:v>是</x:v>
      </x:c>
      <x:c r="C380" s="17" t="str">
        <x:v>Minor Cracking of mortar. Crack originates from ground level and tapers towards column.</x:v>
      </x:c>
      <x:c r="D380" s="17" t="str">
        <x:v>Brick wall</x:v>
      </x:c>
      <x:c r="E380" s="19" t="n">
        <x:v>1</x:v>
      </x:c>
      <x:c r="F380" s="19" t="n">
        <x:v>1</x:v>
      </x:c>
      <x:c r="G380" s="16" t="str">
        <x:v>MRG-0002</x:v>
      </x:c>
      <x:c r="H380" s="16" t="str">
        <x:v>SRC-011</x:v>
      </x:c>
      <x:c r="I380" s="17" t="str"/>
    </x:row>
    <x:row r="381" ht="41" customHeight="1">
      <x:c r="A381" s="16" t="str">
        <x:v>OBS-0375</x:v>
      </x:c>
      <x:c r="B381" s="17" t="str">
        <x:v>是</x:v>
      </x:c>
      <x:c r="C381" s="17" t="str">
        <x:v>Minor Cracking of mortar. Crack originates from ground level and tapers towards columns.</x:v>
      </x:c>
      <x:c r="D381" s="17" t="str">
        <x:v>Brick wall</x:v>
      </x:c>
      <x:c r="E381" s="19" t="n">
        <x:v>1</x:v>
      </x:c>
      <x:c r="F381" s="19" t="n">
        <x:v>1</x:v>
      </x:c>
      <x:c r="G381" s="16" t="str">
        <x:v>MRG-0002</x:v>
      </x:c>
      <x:c r="H381" s="16" t="str">
        <x:v>SRC-011</x:v>
      </x:c>
      <x:c r="I381" s="17" t="str"/>
    </x:row>
    <x:row r="382" ht="37" customHeight="1">
      <x:c r="A382" s="16" t="str">
        <x:v>OBS-0376</x:v>
      </x:c>
      <x:c r="B382" s="17" t="str">
        <x:v>是</x:v>
      </x:c>
      <x:c r="C382" s="17" t="str">
        <x:v>Minor and severe corrosion at end plate connections.</x:v>
      </x:c>
      <x:c r="D382" s="17" t="str">
        <x:v>Photo frame support</x:v>
      </x:c>
      <x:c r="E382" s="19" t="n">
        <x:v>1</x:v>
      </x:c>
      <x:c r="F382" s="19" t="n">
        <x:v>1</x:v>
      </x:c>
      <x:c r="G382" s="16" t="str"/>
      <x:c r="H382" s="16" t="str">
        <x:v>SRC-100</x:v>
      </x:c>
      <x:c r="I382" s="17" t="str"/>
    </x:row>
    <x:row r="383" ht="37" customHeight="1">
      <x:c r="A383" s="16" t="str">
        <x:v>OBS-0377</x:v>
      </x:c>
      <x:c r="B383" s="17" t="str">
        <x:v>是</x:v>
      </x:c>
      <x:c r="C383" s="17" t="str">
        <x:v>Minor corrosion and paint deterioration on hoop.</x:v>
      </x:c>
      <x:c r="D383" s="17" t="str">
        <x:v>Basketball post</x:v>
      </x:c>
      <x:c r="E383" s="19" t="n">
        <x:v>1</x:v>
      </x:c>
      <x:c r="F383" s="19" t="n">
        <x:v>1</x:v>
      </x:c>
      <x:c r="G383" s="16" t="str">
        <x:v>MRG-0083, MRG-0151</x:v>
      </x:c>
      <x:c r="H383" s="16" t="str">
        <x:v>SRC-092</x:v>
      </x:c>
      <x:c r="I383" s="17" t="str"/>
    </x:row>
    <x:row r="384" ht="41" customHeight="1">
      <x:c r="A384" s="16" t="str">
        <x:v>OBS-0378</x:v>
      </x:c>
      <x:c r="B384" s="17" t="str">
        <x:v>是</x:v>
      </x:c>
      <x:c r="C384" s="17" t="str">
        <x:v>Minor corrosion and paint deterioration on purple shell.</x:v>
      </x:c>
      <x:c r="D384" s="17" t="str">
        <x:v>Purple steel shell and circular retaining structure</x:v>
      </x:c>
      <x:c r="E384" s="19" t="n">
        <x:v>1</x:v>
      </x:c>
      <x:c r="F384" s="19" t="n">
        <x:v>1</x:v>
      </x:c>
      <x:c r="G384" s="16" t="str">
        <x:v>MRG-0151</x:v>
      </x:c>
      <x:c r="H384" s="16" t="str">
        <x:v>SRC-099</x:v>
      </x:c>
      <x:c r="I384" s="17" t="str"/>
    </x:row>
    <x:row r="385" ht="37" customHeight="1">
      <x:c r="A385" s="16" t="str">
        <x:v>OBS-0379</x:v>
      </x:c>
      <x:c r="B385" s="17" t="str">
        <x:v>是</x:v>
      </x:c>
      <x:c r="C385" s="17" t="str">
        <x:v>Minor corrosion and paint deterioration.</x:v>
      </x:c>
      <x:c r="D385" s="17" t="str">
        <x:v>Shade structure 2</x:v>
      </x:c>
      <x:c r="E385" s="19" t="n">
        <x:v>1</x:v>
      </x:c>
      <x:c r="F385" s="19" t="n">
        <x:v>1</x:v>
      </x:c>
      <x:c r="G385" s="16" t="str">
        <x:v>MRG-0071, MRG-0083</x:v>
      </x:c>
      <x:c r="H385" s="16" t="str">
        <x:v>SRC-063</x:v>
      </x:c>
      <x:c r="I385" s="17" t="str"/>
    </x:row>
    <x:row r="386" ht="37" customHeight="1">
      <x:c r="A386" s="16" t="str">
        <x:v>OBS-0380</x:v>
      </x:c>
      <x:c r="B386" s="17" t="str">
        <x:v>是</x:v>
      </x:c>
      <x:c r="C386" s="17" t="str">
        <x:v>Minor corrosion and staining on Tek screws.</x:v>
      </x:c>
      <x:c r="D386" s="17" t="str">
        <x:v>Roof sheeting</x:v>
      </x:c>
      <x:c r="E386" s="19" t="n">
        <x:v>1</x:v>
      </x:c>
      <x:c r="F386" s="19" t="n">
        <x:v>1</x:v>
      </x:c>
      <x:c r="G386" s="16" t="str"/>
      <x:c r="H386" s="16" t="str">
        <x:v>SRC-080</x:v>
      </x:c>
      <x:c r="I386" s="17" t="str"/>
    </x:row>
    <x:row r="387" ht="37" customHeight="1">
      <x:c r="A387" s="16" t="str">
        <x:v>OBS-0381</x:v>
      </x:c>
      <x:c r="B387" s="17" t="str">
        <x:v>是</x:v>
      </x:c>
      <x:c r="C387" s="17" t="str">
        <x:v>Minor corrosion and staining on Tek screws. Rubber seals were not installed.</x:v>
      </x:c>
      <x:c r="D387" s="17" t="str">
        <x:v>Roof sheeting</x:v>
      </x:c>
      <x:c r="E387" s="19" t="n">
        <x:v>1</x:v>
      </x:c>
      <x:c r="F387" s="19" t="n">
        <x:v>1</x:v>
      </x:c>
      <x:c r="G387" s="16" t="str"/>
      <x:c r="H387" s="16" t="str">
        <x:v>SRC-080</x:v>
      </x:c>
      <x:c r="I387" s="17" t="str"/>
    </x:row>
    <x:row r="388" ht="37" customHeight="1">
      <x:c r="A388" s="16" t="str">
        <x:v>OBS-0382</x:v>
      </x:c>
      <x:c r="B388" s="17" t="str">
        <x:v>是</x:v>
      </x:c>
      <x:c r="C388" s="17" t="str">
        <x:v>Minor corrosion at connections.</x:v>
      </x:c>
      <x:c r="D388" s="17" t="str">
        <x:v>Shade structure 2</x:v>
      </x:c>
      <x:c r="E388" s="19" t="n">
        <x:v>1</x:v>
      </x:c>
      <x:c r="F388" s="19" t="n">
        <x:v>1</x:v>
      </x:c>
      <x:c r="G388" s="16" t="str"/>
      <x:c r="H388" s="16" t="str">
        <x:v>SRC-063</x:v>
      </x:c>
      <x:c r="I388" s="17" t="str"/>
    </x:row>
    <x:row r="389" ht="41" customHeight="1">
      <x:c r="A389" s="16" t="str">
        <x:v>OBS-0383</x:v>
      </x:c>
      <x:c r="B389" s="17" t="str">
        <x:v>是</x:v>
      </x:c>
      <x:c r="C389" s="17" t="str">
        <x:v>Minor corrosion at corner of window, typical to most windows. Salt staining on wall cladding at bolted connection.</x:v>
      </x:c>
      <x:c r="D389" s="17" t="str">
        <x:v>Cladding and framing</x:v>
      </x:c>
      <x:c r="E389" s="19" t="n">
        <x:v>1</x:v>
      </x:c>
      <x:c r="F389" s="19" t="n">
        <x:v>1</x:v>
      </x:c>
      <x:c r="G389" s="16" t="str">
        <x:v>MRG-0072, MRG-0097, MRG-0109</x:v>
      </x:c>
      <x:c r="H389" s="16" t="str">
        <x:v>SRC-027</x:v>
      </x:c>
      <x:c r="I389" s="17" t="str"/>
    </x:row>
    <x:row r="390" ht="37" customHeight="1">
      <x:c r="A390" s="16" t="str">
        <x:v>OBS-0384</x:v>
      </x:c>
      <x:c r="B390" s="17" t="str">
        <x:v>是</x:v>
      </x:c>
      <x:c r="C390" s="17" t="str">
        <x:v>Minor corrosion at lower section of column.</x:v>
      </x:c>
      <x:c r="D390" s="17" t="str">
        <x:v>Childhood Centre verandah</x:v>
      </x:c>
      <x:c r="E390" s="19" t="n">
        <x:v>1</x:v>
      </x:c>
      <x:c r="F390" s="19" t="n">
        <x:v>1</x:v>
      </x:c>
      <x:c r="G390" s="16" t="str">
        <x:v>MRG-0067, MRG-0147</x:v>
      </x:c>
      <x:c r="H390" s="16" t="str">
        <x:v>SRC-063</x:v>
      </x:c>
      <x:c r="I390" s="17" t="str"/>
    </x:row>
    <x:row r="391" ht="37" customHeight="1">
      <x:c r="A391" s="16" t="str">
        <x:v>OBS-0385</x:v>
      </x:c>
      <x:c r="B391" s="17" t="str">
        <x:v>是</x:v>
      </x:c>
      <x:c r="C391" s="17" t="str">
        <x:v>Minor corrosion at the lower section of column where water is pooling.</x:v>
      </x:c>
      <x:c r="D391" s="17" t="str">
        <x:v>Back verandah columns</x:v>
      </x:c>
      <x:c r="E391" s="19" t="n">
        <x:v>1</x:v>
      </x:c>
      <x:c r="F391" s="19" t="n">
        <x:v>1</x:v>
      </x:c>
      <x:c r="G391" s="16" t="str"/>
      <x:c r="H391" s="16" t="str">
        <x:v>SRC-012</x:v>
      </x:c>
      <x:c r="I391" s="17" t="str"/>
    </x:row>
    <x:row r="392" ht="37" customHeight="1">
      <x:c r="A392" s="16" t="str">
        <x:v>OBS-0386</x:v>
      </x:c>
      <x:c r="B392" s="17" t="str">
        <x:v>是</x:v>
      </x:c>
      <x:c r="C392" s="17" t="str">
        <x:v>Minor corrosion at the lower section of the post.</x:v>
      </x:c>
      <x:c r="D392" s="17" t="str">
        <x:v>Fencing posts</x:v>
      </x:c>
      <x:c r="E392" s="19" t="n">
        <x:v>1</x:v>
      </x:c>
      <x:c r="F392" s="19" t="n">
        <x:v>1</x:v>
      </x:c>
      <x:c r="G392" s="16" t="str">
        <x:v>MRG-0175</x:v>
      </x:c>
      <x:c r="H392" s="16" t="str">
        <x:v>SRC-063</x:v>
      </x:c>
      <x:c r="I392" s="17" t="str"/>
    </x:row>
    <x:row r="393" ht="37" customHeight="1">
      <x:c r="A393" s="16" t="str">
        <x:v>OBS-0387</x:v>
      </x:c>
      <x:c r="B393" s="17" t="str">
        <x:v>是</x:v>
      </x:c>
      <x:c r="C393" s="17" t="str">
        <x:v>Minor corrosion of backyard column.</x:v>
      </x:c>
      <x:c r="D393" s="17" t="str">
        <x:v>Columns</x:v>
      </x:c>
      <x:c r="E393" s="19" t="n">
        <x:v>1</x:v>
      </x:c>
      <x:c r="F393" s="19" t="n">
        <x:v>1</x:v>
      </x:c>
      <x:c r="G393" s="16" t="str"/>
      <x:c r="H393" s="16" t="str">
        <x:v>SRC-027</x:v>
      </x:c>
      <x:c r="I393" s="17" t="str"/>
    </x:row>
    <x:row r="394" ht="37" customHeight="1">
      <x:c r="A394" s="16" t="str">
        <x:v>OBS-0388</x:v>
      </x:c>
      <x:c r="B394" s="17" t="str">
        <x:v>是</x:v>
      </x:c>
      <x:c r="C394" s="17" t="str">
        <x:v>Minor corrosion of door frame corner, typical to all windows.</x:v>
      </x:c>
      <x:c r="D394" s="17" t="str">
        <x:v>Cladding</x:v>
      </x:c>
      <x:c r="E394" s="19" t="n">
        <x:v>1</x:v>
      </x:c>
      <x:c r="F394" s="19" t="n">
        <x:v>1</x:v>
      </x:c>
      <x:c r="G394" s="16" t="str">
        <x:v>MRG-0042</x:v>
      </x:c>
      <x:c r="H394" s="16" t="str">
        <x:v>SRC-062</x:v>
      </x:c>
      <x:c r="I394" s="17" t="str"/>
    </x:row>
    <x:row r="395" ht="37" customHeight="1">
      <x:c r="A395" s="16" t="str">
        <x:v>OBS-0389</x:v>
      </x:c>
      <x:c r="B395" s="17" t="str">
        <x:v>是</x:v>
      </x:c>
      <x:c r="C395" s="17" t="str">
        <x:v>Minor corrosion of front verandah columns.</x:v>
      </x:c>
      <x:c r="D395" s="17" t="str">
        <x:v>Columns</x:v>
      </x:c>
      <x:c r="E395" s="19" t="n">
        <x:v>1</x:v>
      </x:c>
      <x:c r="F395" s="19" t="n">
        <x:v>1</x:v>
      </x:c>
      <x:c r="G395" s="16" t="str">
        <x:v>MRG-0066</x:v>
      </x:c>
      <x:c r="H395" s="16" t="str">
        <x:v>SRC-027</x:v>
      </x:c>
      <x:c r="I395" s="17" t="str"/>
    </x:row>
    <x:row r="396" ht="37" customHeight="1">
      <x:c r="A396" s="16" t="str">
        <x:v>OBS-0390</x:v>
      </x:c>
      <x:c r="B396" s="17" t="str">
        <x:v>是</x:v>
      </x:c>
      <x:c r="C396" s="17" t="str">
        <x:v>Minor corrosion of lintel</x:v>
      </x:c>
      <x:c r="D396" s="17" t="str">
        <x:v>Lintel</x:v>
      </x:c>
      <x:c r="E396" s="19" t="n">
        <x:v>1</x:v>
      </x:c>
      <x:c r="F396" s="19" t="n">
        <x:v>1</x:v>
      </x:c>
      <x:c r="G396" s="16" t="str">
        <x:v>MRG-0186, MRG-0187</x:v>
      </x:c>
      <x:c r="H396" s="16" t="str">
        <x:v>SRC-057</x:v>
      </x:c>
      <x:c r="I396" s="17" t="str"/>
    </x:row>
    <x:row r="397" ht="37" customHeight="1">
      <x:c r="A397" s="16" t="str">
        <x:v>OBS-0391</x:v>
      </x:c>
      <x:c r="B397" s="17" t="str">
        <x:v>是</x:v>
      </x:c>
      <x:c r="C397" s="17" t="str">
        <x:v>Minor corrosion of outdoor fan.</x:v>
      </x:c>
      <x:c r="D397" s="17" t="str">
        <x:v>Outdoor fan</x:v>
      </x:c>
      <x:c r="E397" s="19" t="n">
        <x:v>1</x:v>
      </x:c>
      <x:c r="F397" s="19" t="n">
        <x:v>1</x:v>
      </x:c>
      <x:c r="G397" s="16" t="str"/>
      <x:c r="H397" s="16" t="str">
        <x:v>SRC-010</x:v>
      </x:c>
      <x:c r="I397" s="17" t="str"/>
    </x:row>
    <x:row r="398" ht="37" customHeight="1">
      <x:c r="A398" s="16" t="str">
        <x:v>OBS-0392</x:v>
      </x:c>
      <x:c r="B398" s="17" t="str">
        <x:v>是</x:v>
      </x:c>
      <x:c r="C398" s="17" t="str">
        <x:v>Minor corrosion of screws and cladding.</x:v>
      </x:c>
      <x:c r="D398" s="17" t="str">
        <x:v>Cladding and framing</x:v>
      </x:c>
      <x:c r="E398" s="19" t="n">
        <x:v>1</x:v>
      </x:c>
      <x:c r="F398" s="19" t="n">
        <x:v>1</x:v>
      </x:c>
      <x:c r="G398" s="16" t="str"/>
      <x:c r="H398" s="16" t="str">
        <x:v>SRC-048</x:v>
      </x:c>
      <x:c r="I398" s="17" t="str"/>
    </x:row>
    <x:row r="399" ht="37" customHeight="1">
      <x:c r="A399" s="16" t="str">
        <x:v>OBS-0393</x:v>
      </x:c>
      <x:c r="B399" s="17" t="str">
        <x:v>是</x:v>
      </x:c>
      <x:c r="C399" s="17" t="str">
        <x:v>Minor corrosion of steel mesh.</x:v>
      </x:c>
      <x:c r="D399" s="17" t="str">
        <x:v>Back verandah roof bolted connections</x:v>
      </x:c>
      <x:c r="E399" s="19" t="n">
        <x:v>1</x:v>
      </x:c>
      <x:c r="F399" s="19" t="n">
        <x:v>1</x:v>
      </x:c>
      <x:c r="G399" s="16" t="str"/>
      <x:c r="H399" s="16" t="str">
        <x:v>SRC-092</x:v>
      </x:c>
      <x:c r="I399" s="17" t="str"/>
    </x:row>
    <x:row r="400" ht="37" customHeight="1">
      <x:c r="A400" s="16" t="str">
        <x:v>OBS-0394</x:v>
      </x:c>
      <x:c r="B400" s="17" t="str">
        <x:v>是</x:v>
      </x:c>
      <x:c r="C400" s="17" t="str">
        <x:v>Minor corrosion of window frame corner, typical to all windows.</x:v>
      </x:c>
      <x:c r="D400" s="17" t="str">
        <x:v>Cladding</x:v>
      </x:c>
      <x:c r="E400" s="19" t="n">
        <x:v>1</x:v>
      </x:c>
      <x:c r="F400" s="19" t="n">
        <x:v>1</x:v>
      </x:c>
      <x:c r="G400" s="16" t="str">
        <x:v>MRG-0042</x:v>
      </x:c>
      <x:c r="H400" s="16" t="str">
        <x:v>SRC-062</x:v>
      </x:c>
      <x:c r="I400" s="17" t="str"/>
    </x:row>
    <x:row r="401" ht="37" customHeight="1">
      <x:c r="A401" s="16" t="str">
        <x:v>OBS-0395</x:v>
      </x:c>
      <x:c r="B401" s="17" t="str">
        <x:v>是</x:v>
      </x:c>
      <x:c r="C401" s="17" t="str">
        <x:v>Minor corrosion on all steel elements.</x:v>
      </x:c>
      <x:c r="D401" s="17" t="str">
        <x:v>Shade structure 2</x:v>
      </x:c>
      <x:c r="E401" s="19" t="n">
        <x:v>1</x:v>
      </x:c>
      <x:c r="F401" s="19" t="n">
        <x:v>1</x:v>
      </x:c>
      <x:c r="G401" s="16" t="str"/>
      <x:c r="H401" s="16" t="str">
        <x:v>SRC-063</x:v>
      </x:c>
      <x:c r="I401" s="17" t="str"/>
    </x:row>
    <x:row r="402" ht="37" customHeight="1">
      <x:c r="A402" s="16" t="str">
        <x:v>OBS-0396</x:v>
      </x:c>
      <x:c r="B402" s="17" t="str">
        <x:v>是</x:v>
      </x:c>
      <x:c r="C402" s="17" t="str">
        <x:v>Minor corrosion on baseplates.</x:v>
      </x:c>
      <x:c r="D402" s="17" t="str">
        <x:v>Front verandah baseplates</x:v>
      </x:c>
      <x:c r="E402" s="19" t="n">
        <x:v>1</x:v>
      </x:c>
      <x:c r="F402" s="19" t="n">
        <x:v>1</x:v>
      </x:c>
      <x:c r="G402" s="16" t="str">
        <x:v>MRG-0145</x:v>
      </x:c>
      <x:c r="H402" s="16" t="str">
        <x:v>SRC-012</x:v>
      </x:c>
      <x:c r="I402" s="17" t="str"/>
    </x:row>
    <x:row r="403" ht="37" customHeight="1">
      <x:c r="A403" s="16" t="str">
        <x:v>OBS-0397</x:v>
      </x:c>
      <x:c r="B403" s="17" t="str">
        <x:v>是</x:v>
      </x:c>
      <x:c r="C403" s="17" t="str">
        <x:v>Minor corrosion on bolts. Close up image of location circled in red shown below.</x:v>
      </x:c>
      <x:c r="D403" s="17" t="str">
        <x:v>Timber beam</x:v>
      </x:c>
      <x:c r="E403" s="19" t="n">
        <x:v>1</x:v>
      </x:c>
      <x:c r="F403" s="19" t="n">
        <x:v>1</x:v>
      </x:c>
      <x:c r="G403" s="16" t="str"/>
      <x:c r="H403" s="16" t="str">
        <x:v>SRC-092</x:v>
      </x:c>
      <x:c r="I403" s="17" t="str"/>
    </x:row>
    <x:row r="404" ht="37" customHeight="1">
      <x:c r="A404" s="16" t="str">
        <x:v>OBS-0398</x:v>
      </x:c>
      <x:c r="B404" s="17" t="str">
        <x:v>是</x:v>
      </x:c>
      <x:c r="C404" s="17" t="str">
        <x:v>Minor corrosion on light support bracket.</x:v>
      </x:c>
      <x:c r="D404" s="17" t="str">
        <x:v>Light post</x:v>
      </x:c>
      <x:c r="E404" s="19" t="n">
        <x:v>1</x:v>
      </x:c>
      <x:c r="F404" s="19" t="n">
        <x:v>1</x:v>
      </x:c>
      <x:c r="G404" s="16" t="str"/>
      <x:c r="H404" s="16" t="str">
        <x:v>SRC-092</x:v>
      </x:c>
      <x:c r="I404" s="17" t="str"/>
    </x:row>
    <x:row r="405" ht="37" customHeight="1">
      <x:c r="A405" s="16" t="str">
        <x:v>OBS-0399</x:v>
      </x:c>
      <x:c r="B405" s="17" t="str">
        <x:v>是</x:v>
      </x:c>
      <x:c r="C405" s="17" t="str">
        <x:v>Minor corrosion on lower section of the struts.</x:v>
      </x:c>
      <x:c r="D405" s="17" t="str">
        <x:v>Swing</x:v>
      </x:c>
      <x:c r="E405" s="19" t="n">
        <x:v>1</x:v>
      </x:c>
      <x:c r="F405" s="19" t="n">
        <x:v>1</x:v>
      </x:c>
      <x:c r="G405" s="16" t="str">
        <x:v>MRG-0175</x:v>
      </x:c>
      <x:c r="H405" s="16" t="str">
        <x:v>SRC-063</x:v>
      </x:c>
      <x:c r="I405" s="17" t="str"/>
    </x:row>
    <x:row r="406" ht="37" customHeight="1">
      <x:c r="A406" s="16" t="str">
        <x:v>OBS-0400</x:v>
      </x:c>
      <x:c r="B406" s="17" t="str">
        <x:v>是</x:v>
      </x:c>
      <x:c r="C406" s="17" t="str">
        <x:v>Minor corrosion on steel truss.</x:v>
      </x:c>
      <x:c r="D406" s="17" t="str">
        <x:v>Multipurpose Building verandah</x:v>
      </x:c>
      <x:c r="E406" s="19" t="n">
        <x:v>1</x:v>
      </x:c>
      <x:c r="F406" s="19" t="n">
        <x:v>1</x:v>
      </x:c>
      <x:c r="G406" s="16" t="str"/>
      <x:c r="H406" s="16" t="str">
        <x:v>SRC-063</x:v>
      </x:c>
      <x:c r="I406" s="17" t="str"/>
    </x:row>
    <x:row r="407" ht="37" customHeight="1">
      <x:c r="A407" s="16" t="str">
        <x:v>OBS-0401</x:v>
      </x:c>
      <x:c r="B407" s="17" t="str">
        <x:v>是</x:v>
      </x:c>
      <x:c r="C407" s="17" t="str">
        <x:v>Minor corrosion towards lower section of column and on previous patch repair.</x:v>
      </x:c>
      <x:c r="D407" s="17" t="str">
        <x:v>Shade structure 3 column</x:v>
      </x:c>
      <x:c r="E407" s="19" t="n">
        <x:v>1</x:v>
      </x:c>
      <x:c r="F407" s="19" t="n">
        <x:v>1</x:v>
      </x:c>
      <x:c r="G407" s="16" t="str"/>
      <x:c r="H407" s="16" t="str">
        <x:v>SRC-092</x:v>
      </x:c>
      <x:c r="I407" s="17" t="str"/>
    </x:row>
    <x:row r="408" ht="37" customHeight="1">
      <x:c r="A408" s="16" t="str">
        <x:v>OBS-0402</x:v>
      </x:c>
      <x:c r="B408" s="17" t="str">
        <x:v>是</x:v>
      </x:c>
      <x:c r="C408" s="17" t="str">
        <x:v>Minor corrosion.</x:v>
      </x:c>
      <x:c r="D408" s="17" t="str">
        <x:v>Pool seating and shade structure</x:v>
      </x:c>
      <x:c r="E408" s="19" t="n">
        <x:v>1</x:v>
      </x:c>
      <x:c r="F408" s="19" t="n">
        <x:v>1</x:v>
      </x:c>
      <x:c r="G408" s="16" t="str"/>
      <x:c r="H408" s="16" t="str">
        <x:v>SRC-092</x:v>
      </x:c>
      <x:c r="I408" s="17" t="str"/>
    </x:row>
    <x:row r="409" ht="37" customHeight="1">
      <x:c r="A409" s="16" t="str">
        <x:v>OBS-0403</x:v>
      </x:c>
      <x:c r="B409" s="17" t="str">
        <x:v>是</x:v>
      </x:c>
      <x:c r="C409" s="17" t="str">
        <x:v>Minor pitting of steel rail and cross beams.</x:v>
      </x:c>
      <x:c r="D409" s="17" t="str">
        <x:v>Miner statue</x:v>
      </x:c>
      <x:c r="E409" s="19" t="n">
        <x:v>1</x:v>
      </x:c>
      <x:c r="F409" s="19" t="n">
        <x:v>1</x:v>
      </x:c>
      <x:c r="G409" s="16" t="str"/>
      <x:c r="H409" s="16" t="str">
        <x:v>SRC-071</x:v>
      </x:c>
      <x:c r="I409" s="17" t="str"/>
    </x:row>
    <x:row r="410" ht="37" customHeight="1">
      <x:c r="A410" s="16" t="str">
        <x:v>OBS-0404</x:v>
      </x:c>
      <x:c r="B410" s="17" t="str">
        <x:v>是</x:v>
      </x:c>
      <x:c r="C410" s="17" t="str">
        <x:v>Minor pitting of the window frame.</x:v>
      </x:c>
      <x:c r="D410" s="17" t="str">
        <x:v>Cladding and framing</x:v>
      </x:c>
      <x:c r="E410" s="19" t="n">
        <x:v>1</x:v>
      </x:c>
      <x:c r="F410" s="19" t="n">
        <x:v>1</x:v>
      </x:c>
      <x:c r="G410" s="16" t="str"/>
      <x:c r="H410" s="16" t="str">
        <x:v>SRC-001</x:v>
      </x:c>
      <x:c r="I410" s="17" t="str"/>
    </x:row>
    <x:row r="411" ht="37" customHeight="1">
      <x:c r="A411" s="16" t="str">
        <x:v>OBS-0405</x:v>
      </x:c>
      <x:c r="B411" s="17" t="str">
        <x:v>是</x:v>
      </x:c>
      <x:c r="C411" s="17" t="str">
        <x:v>Minor surface corrosion and salt staining on bolts.</x:v>
      </x:c>
      <x:c r="D411" s="17" t="str">
        <x:v>Cladding and framing</x:v>
      </x:c>
      <x:c r="E411" s="19" t="n">
        <x:v>1</x:v>
      </x:c>
      <x:c r="F411" s="19" t="n">
        <x:v>1</x:v>
      </x:c>
      <x:c r="G411" s="16" t="str"/>
      <x:c r="H411" s="16" t="str">
        <x:v>SRC-054</x:v>
      </x:c>
      <x:c r="I411" s="17" t="str"/>
    </x:row>
    <x:row r="412" ht="37" customHeight="1">
      <x:c r="A412" s="16" t="str">
        <x:v>OBS-0406</x:v>
      </x:c>
      <x:c r="B412" s="17" t="str">
        <x:v>是</x:v>
      </x:c>
      <x:c r="C412" s="17" t="str">
        <x:v>Minor surface corrosion at the welds and on steel hollow sections.</x:v>
      </x:c>
      <x:c r="D412" s="17" t="str">
        <x:v>Bird Series Sculpture</x:v>
      </x:c>
      <x:c r="E412" s="19" t="n">
        <x:v>1</x:v>
      </x:c>
      <x:c r="F412" s="19" t="n">
        <x:v>1</x:v>
      </x:c>
      <x:c r="G412" s="16" t="str"/>
      <x:c r="H412" s="16" t="str">
        <x:v>SRC-069</x:v>
      </x:c>
      <x:c r="I412" s="17" t="str"/>
    </x:row>
    <x:row r="413" ht="37" customHeight="1">
      <x:c r="A413" s="16" t="str">
        <x:v>OBS-0407</x:v>
      </x:c>
      <x:c r="B413" s="17" t="str">
        <x:v>是</x:v>
      </x:c>
      <x:c r="C413" s="17" t="str">
        <x:v>Minor surface corrosion of wall cladding and bolts.</x:v>
      </x:c>
      <x:c r="D413" s="17" t="str">
        <x:v>Cladding and framing</x:v>
      </x:c>
      <x:c r="E413" s="19" t="n">
        <x:v>1</x:v>
      </x:c>
      <x:c r="F413" s="19" t="n">
        <x:v>1</x:v>
      </x:c>
      <x:c r="G413" s="16" t="str"/>
      <x:c r="H413" s="16" t="str">
        <x:v>SRC-010</x:v>
      </x:c>
      <x:c r="I413" s="17" t="str"/>
    </x:row>
    <x:row r="414" ht="37" customHeight="1">
      <x:c r="A414" s="16" t="str">
        <x:v>OBS-0408</x:v>
      </x:c>
      <x:c r="B414" s="17" t="str">
        <x:v>是</x:v>
      </x:c>
      <x:c r="C414" s="17" t="str">
        <x:v>Minor surface corrosion of window corner.</x:v>
      </x:c>
      <x:c r="D414" s="17" t="str">
        <x:v>Cladding and framing</x:v>
      </x:c>
      <x:c r="E414" s="19" t="n">
        <x:v>1</x:v>
      </x:c>
      <x:c r="F414" s="19" t="n">
        <x:v>1</x:v>
      </x:c>
      <x:c r="G414" s="16" t="str">
        <x:v>MRG-0103</x:v>
      </x:c>
      <x:c r="H414" s="16" t="str">
        <x:v>SRC-010</x:v>
      </x:c>
      <x:c r="I414" s="17" t="str"/>
    </x:row>
    <x:row r="415" ht="37" customHeight="1">
      <x:c r="A415" s="16" t="str">
        <x:v>OBS-0409</x:v>
      </x:c>
      <x:c r="B415" s="17" t="str">
        <x:v>是</x:v>
      </x:c>
      <x:c r="C415" s="17" t="str">
        <x:v>Minor surface corrosion of window framing</x:v>
      </x:c>
      <x:c r="D415" s="17" t="str">
        <x:v>Cladding and framing</x:v>
      </x:c>
      <x:c r="E415" s="19" t="n">
        <x:v>1</x:v>
      </x:c>
      <x:c r="F415" s="19" t="n">
        <x:v>1</x:v>
      </x:c>
      <x:c r="G415" s="16" t="str">
        <x:v>MRG-0103</x:v>
      </x:c>
      <x:c r="H415" s="16" t="str">
        <x:v>SRC-054</x:v>
      </x:c>
      <x:c r="I415" s="17" t="str"/>
    </x:row>
    <x:row r="416" ht="37" customHeight="1">
      <x:c r="A416" s="16" t="str">
        <x:v>OBS-0410</x:v>
      </x:c>
      <x:c r="B416" s="17" t="str">
        <x:v>是</x:v>
      </x:c>
      <x:c r="C416" s="17" t="str">
        <x:v>Minor surface corrosion on plates. Small holes through plates.</x:v>
      </x:c>
      <x:c r="D416" s="17" t="str">
        <x:v>Welded couple</x:v>
      </x:c>
      <x:c r="E416" s="19" t="n">
        <x:v>1</x:v>
      </x:c>
      <x:c r="F416" s="19" t="n">
        <x:v>1</x:v>
      </x:c>
      <x:c r="G416" s="16" t="str"/>
      <x:c r="H416" s="16" t="str">
        <x:v>SRC-103</x:v>
      </x:c>
      <x:c r="I416" s="17" t="str"/>
    </x:row>
    <x:row r="417" ht="37" customHeight="1">
      <x:c r="A417" s="16" t="str">
        <x:v>OBS-0411</x:v>
      </x:c>
      <x:c r="B417" s="17" t="str">
        <x:v>是</x:v>
      </x:c>
      <x:c r="C417" s="17" t="str">
        <x:v>Missing end cap.</x:v>
      </x:c>
      <x:c r="D417" s="17" t="str">
        <x:v>Verandah cladding</x:v>
      </x:c>
      <x:c r="E417" s="19" t="n">
        <x:v>1</x:v>
      </x:c>
      <x:c r="F417" s="19" t="n">
        <x:v>1</x:v>
      </x:c>
      <x:c r="G417" s="16" t="str"/>
      <x:c r="H417" s="16" t="str">
        <x:v>SRC-002</x:v>
      </x:c>
      <x:c r="I417" s="17" t="str"/>
    </x:row>
    <x:row r="418" ht="37" customHeight="1">
      <x:c r="A418" s="16" t="str">
        <x:v>OBS-0412</x:v>
      </x:c>
      <x:c r="B418" s="17" t="str">
        <x:v>是</x:v>
      </x:c>
      <x:c r="C418" s="17" t="str">
        <x:v>Moderate corrosion of bracing.</x:v>
      </x:c>
      <x:c r="D418" s="17" t="str">
        <x:v>Front verandah</x:v>
      </x:c>
      <x:c r="E418" s="19" t="n">
        <x:v>1</x:v>
      </x:c>
      <x:c r="F418" s="19" t="n">
        <x:v>1</x:v>
      </x:c>
      <x:c r="G418" s="16" t="str"/>
      <x:c r="H418" s="16" t="str">
        <x:v>SRC-092</x:v>
      </x:c>
      <x:c r="I418" s="17" t="str"/>
    </x:row>
    <x:row r="419" ht="37" customHeight="1">
      <x:c r="A419" s="16" t="str">
        <x:v>OBS-0413</x:v>
      </x:c>
      <x:c r="B419" s="17" t="str">
        <x:v>是</x:v>
      </x:c>
      <x:c r="C419" s="17" t="str">
        <x:v>Moderate corrosion of triple grip.</x:v>
      </x:c>
      <x:c r="D419" s="17" t="str">
        <x:v>Front verandah</x:v>
      </x:c>
      <x:c r="E419" s="19" t="n">
        <x:v>1</x:v>
      </x:c>
      <x:c r="F419" s="19" t="n">
        <x:v>1</x:v>
      </x:c>
      <x:c r="G419" s="16" t="str"/>
      <x:c r="H419" s="16" t="str">
        <x:v>SRC-092</x:v>
      </x:c>
      <x:c r="I419" s="17" t="str"/>
    </x:row>
    <x:row r="420" ht="37" customHeight="1">
      <x:c r="A420" s="16" t="str">
        <x:v>OBS-0414</x:v>
      </x:c>
      <x:c r="B420" s="17" t="str">
        <x:v>是</x:v>
      </x:c>
      <x:c r="C420" s="17" t="str">
        <x:v>Moderate corrosion on column.</x:v>
      </x:c>
      <x:c r="D420" s="17" t="str">
        <x:v>Light post</x:v>
      </x:c>
      <x:c r="E420" s="19" t="n">
        <x:v>1</x:v>
      </x:c>
      <x:c r="F420" s="19" t="n">
        <x:v>1</x:v>
      </x:c>
      <x:c r="G420" s="16" t="str"/>
      <x:c r="H420" s="16" t="str">
        <x:v>SRC-092</x:v>
      </x:c>
      <x:c r="I420" s="17" t="str"/>
    </x:row>
    <x:row r="421" ht="37" customHeight="1">
      <x:c r="A421" s="16" t="str">
        <x:v>OBS-0415</x:v>
      </x:c>
      <x:c r="B421" s="17" t="str">
        <x:v>是</x:v>
      </x:c>
      <x:c r="C421" s="17" t="str">
        <x:v>Moderate corrosion on light support. Typical to all columns.</x:v>
      </x:c>
      <x:c r="D421" s="17" t="str">
        <x:v>Shade structure 5</x:v>
      </x:c>
      <x:c r="E421" s="19" t="n">
        <x:v>1</x:v>
      </x:c>
      <x:c r="F421" s="19" t="n">
        <x:v>1</x:v>
      </x:c>
      <x:c r="G421" s="16" t="str">
        <x:v>MRG-0141</x:v>
      </x:c>
      <x:c r="H421" s="16" t="str">
        <x:v>SRC-092</x:v>
      </x:c>
      <x:c r="I421" s="17" t="str"/>
    </x:row>
    <x:row r="422" ht="37" customHeight="1">
      <x:c r="A422" s="16" t="str">
        <x:v>OBS-0416</x:v>
      </x:c>
      <x:c r="B422" s="17" t="str">
        <x:v>是</x:v>
      </x:c>
      <x:c r="C422" s="17" t="str">
        <x:v>Moderate corrosion on the lower section of standalone verandah columns.</x:v>
      </x:c>
      <x:c r="D422" s="17" t="str">
        <x:v>Standalone verandah</x:v>
      </x:c>
      <x:c r="E422" s="19" t="n">
        <x:v>1</x:v>
      </x:c>
      <x:c r="F422" s="19" t="n">
        <x:v>1</x:v>
      </x:c>
      <x:c r="G422" s="16" t="str"/>
      <x:c r="H422" s="16" t="str">
        <x:v>SRC-012</x:v>
      </x:c>
      <x:c r="I422" s="17" t="str"/>
    </x:row>
    <x:row r="423" ht="37" customHeight="1">
      <x:c r="A423" s="16" t="str">
        <x:v>OBS-0417</x:v>
      </x:c>
      <x:c r="B423" s="17" t="str">
        <x:v>是</x:v>
      </x:c>
      <x:c r="C423" s="17" t="str">
        <x:v>Moderate corrosion on winch. Typical to all columns.</x:v>
      </x:c>
      <x:c r="D423" s="17" t="str">
        <x:v>Shade structure 5</x:v>
      </x:c>
      <x:c r="E423" s="19" t="n">
        <x:v>1</x:v>
      </x:c>
      <x:c r="F423" s="19" t="n">
        <x:v>1</x:v>
      </x:c>
      <x:c r="G423" s="16" t="str">
        <x:v>MRG-0141</x:v>
      </x:c>
      <x:c r="H423" s="16" t="str">
        <x:v>SRC-092</x:v>
      </x:c>
      <x:c r="I423" s="17" t="str"/>
    </x:row>
    <x:row r="424" ht="37" customHeight="1">
      <x:c r="A424" s="16" t="str">
        <x:v>OBS-0418</x:v>
      </x:c>
      <x:c r="B424" s="17" t="str">
        <x:v>是</x:v>
      </x:c>
      <x:c r="C424" s="17" t="str">
        <x:v>Moderate delamination of steel at low potion where contacts with the ground.</x:v>
      </x:c>
      <x:c r="D424" s="17" t="str">
        <x:v>Steel bird head</x:v>
      </x:c>
      <x:c r="E424" s="19" t="n">
        <x:v>1</x:v>
      </x:c>
      <x:c r="F424" s="19" t="n">
        <x:v>1</x:v>
      </x:c>
      <x:c r="G424" s="16" t="str"/>
      <x:c r="H424" s="16" t="str">
        <x:v>SRC-104</x:v>
      </x:c>
      <x:c r="I424" s="17" t="str"/>
    </x:row>
    <x:row r="425" ht="37" customHeight="1">
      <x:c r="A425" s="16" t="str">
        <x:v>OBS-0419</x:v>
      </x:c>
      <x:c r="B425" s="17" t="str">
        <x:v>是</x:v>
      </x:c>
      <x:c r="C425" s="17" t="str">
        <x:v>Mortar deterioration at the top corner brick.</x:v>
      </x:c>
      <x:c r="D425" s="17" t="str">
        <x:v>Multipurpose Building – brick wall</x:v>
      </x:c>
      <x:c r="E425" s="19" t="n">
        <x:v>1</x:v>
      </x:c>
      <x:c r="F425" s="19" t="n">
        <x:v>1</x:v>
      </x:c>
      <x:c r="G425" s="16" t="str"/>
      <x:c r="H425" s="16" t="str">
        <x:v>SRC-063</x:v>
      </x:c>
      <x:c r="I425" s="17" t="str"/>
    </x:row>
    <x:row r="426" ht="37" customHeight="1">
      <x:c r="A426" s="16" t="str">
        <x:v>OBS-0420</x:v>
      </x:c>
      <x:c r="B426" s="17" t="str">
        <x:v>是</x:v>
      </x:c>
      <x:c r="C426" s="17" t="str">
        <x:v>Overview of Row 1 columns.</x:v>
      </x:c>
      <x:c r="D426" s="17" t="str">
        <x:v>Shade structure 4 columns and struts</x:v>
      </x:c>
      <x:c r="E426" s="19" t="n">
        <x:v>1</x:v>
      </x:c>
      <x:c r="F426" s="19" t="n">
        <x:v>1</x:v>
      </x:c>
      <x:c r="G426" s="16" t="str"/>
      <x:c r="H426" s="16" t="str">
        <x:v>SRC-092</x:v>
      </x:c>
      <x:c r="I426" s="17" t="str"/>
    </x:row>
    <x:row r="427" ht="41" customHeight="1">
      <x:c r="A427" s="16" t="str">
        <x:v>OBS-0421</x:v>
      </x:c>
      <x:c r="B427" s="17" t="str">
        <x:v>是</x:v>
      </x:c>
      <x:c r="C427" s="17" t="str">
        <x:v>Overview of Row 2 columns. Paint deterioration at lower sections of strut and column.</x:v>
      </x:c>
      <x:c r="D427" s="17" t="str">
        <x:v>Shade structure 4 columns and struts</x:v>
      </x:c>
      <x:c r="E427" s="19" t="n">
        <x:v>1</x:v>
      </x:c>
      <x:c r="F427" s="19" t="n">
        <x:v>1</x:v>
      </x:c>
      <x:c r="G427" s="16" t="str"/>
      <x:c r="H427" s="16" t="str">
        <x:v>SRC-092</x:v>
      </x:c>
      <x:c r="I427" s="17" t="str"/>
    </x:row>
    <x:row r="428" ht="41" customHeight="1">
      <x:c r="A428" s="16" t="str">
        <x:v>OBS-0422</x:v>
      </x:c>
      <x:c r="B428" s="17" t="str">
        <x:v>是</x:v>
      </x:c>
      <x:c r="C428" s="17" t="str">
        <x:v>Overview of Verandah columns. With Row 1 Column 1 nearest to the camera is nominated as C1.</x:v>
      </x:c>
      <x:c r="D428" s="17" t="str">
        <x:v>Verandah columns</x:v>
      </x:c>
      <x:c r="E428" s="19" t="n">
        <x:v>1</x:v>
      </x:c>
      <x:c r="F428" s="19" t="n">
        <x:v>1</x:v>
      </x:c>
      <x:c r="G428" s="16" t="str"/>
      <x:c r="H428" s="16" t="str">
        <x:v>SRC-029</x:v>
      </x:c>
      <x:c r="I428" s="17" t="str"/>
    </x:row>
    <x:row r="429" ht="37" customHeight="1">
      <x:c r="A429" s="16" t="str">
        <x:v>OBS-0423</x:v>
      </x:c>
      <x:c r="B429" s="17" t="str">
        <x:v>是</x:v>
      </x:c>
      <x:c r="C429" s="17" t="str">
        <x:v>Overview of back of house.</x:v>
      </x:c>
      <x:c r="D429" s="17" t="str">
        <x:v>Roof sheeting</x:v>
      </x:c>
      <x:c r="E429" s="19" t="n">
        <x:v>1</x:v>
      </x:c>
      <x:c r="F429" s="19" t="n">
        <x:v>1</x:v>
      </x:c>
      <x:c r="G429" s="16" t="str"/>
      <x:c r="H429" s="16" t="str">
        <x:v>SRC-029</x:v>
      </x:c>
      <x:c r="I429" s="17" t="str"/>
    </x:row>
    <x:row r="430" ht="37" customHeight="1">
      <x:c r="A430" s="16" t="str">
        <x:v>OBS-0424</x:v>
      </x:c>
      <x:c r="B430" s="17" t="str">
        <x:v>是</x:v>
      </x:c>
      <x:c r="C430" s="17" t="str">
        <x:v>Overview of brick wall.</x:v>
      </x:c>
      <x:c r="D430" s="17" t="str">
        <x:v>Brick wall</x:v>
      </x:c>
      <x:c r="E430" s="19" t="n">
        <x:v>1</x:v>
      </x:c>
      <x:c r="F430" s="19" t="n">
        <x:v>1</x:v>
      </x:c>
      <x:c r="G430" s="16" t="str"/>
      <x:c r="H430" s="16" t="str">
        <x:v>SRC-052</x:v>
      </x:c>
      <x:c r="I430" s="17" t="str"/>
    </x:row>
    <x:row r="431" ht="41" customHeight="1">
      <x:c r="A431" s="16" t="str">
        <x:v>OBS-0425</x:v>
      </x:c>
      <x:c r="B431" s="17" t="str">
        <x:v>是</x:v>
      </x:c>
      <x:c r="C431" s="17" t="str">
        <x:v>Overview of columns at front of house. The circled Column in red has severely corroded. All other columns are in good condition.</x:v>
      </x:c>
      <x:c r="D431" s="17" t="str">
        <x:v>Verandah column</x:v>
      </x:c>
      <x:c r="E431" s="19" t="n">
        <x:v>1</x:v>
      </x:c>
      <x:c r="F431" s="19" t="n">
        <x:v>1</x:v>
      </x:c>
      <x:c r="G431" s="16" t="str"/>
      <x:c r="H431" s="16" t="str">
        <x:v>SRC-015</x:v>
      </x:c>
      <x:c r="I431" s="17" t="str"/>
    </x:row>
    <x:row r="432" ht="37" customHeight="1">
      <x:c r="A432" s="16" t="str">
        <x:v>OBS-0426</x:v>
      </x:c>
      <x:c r="B432" s="17" t="str">
        <x:v>是</x:v>
      </x:c>
      <x:c r="C432" s="17" t="str">
        <x:v>Overview of columns used for shade structure.</x:v>
      </x:c>
      <x:c r="D432" s="17" t="str">
        <x:v>Shade structure 2 columns</x:v>
      </x:c>
      <x:c r="E432" s="19" t="n">
        <x:v>1</x:v>
      </x:c>
      <x:c r="F432" s="19" t="n">
        <x:v>1</x:v>
      </x:c>
      <x:c r="G432" s="16" t="str"/>
      <x:c r="H432" s="16" t="str">
        <x:v>SRC-092</x:v>
      </x:c>
      <x:c r="I432" s="17" t="str"/>
    </x:row>
    <x:row r="433" ht="37" customHeight="1">
      <x:c r="A433" s="16" t="str">
        <x:v>OBS-0427</x:v>
      </x:c>
      <x:c r="B433" s="17" t="str">
        <x:v>是</x:v>
      </x:c>
      <x:c r="C433" s="17" t="str">
        <x:v>Overview of fencing along carport.</x:v>
      </x:c>
      <x:c r="D433" s="17" t="str">
        <x:v>Fencing posts</x:v>
      </x:c>
      <x:c r="E433" s="19" t="n">
        <x:v>1</x:v>
      </x:c>
      <x:c r="F433" s="19" t="n">
        <x:v>1</x:v>
      </x:c>
      <x:c r="G433" s="16" t="str"/>
      <x:c r="H433" s="16" t="str">
        <x:v>SRC-029</x:v>
      </x:c>
      <x:c r="I433" s="17" t="str"/>
    </x:row>
    <x:row r="434" ht="37" customHeight="1">
      <x:c r="A434" s="16" t="str">
        <x:v>OBS-0428</x:v>
      </x:c>
      <x:c r="B434" s="17" t="str">
        <x:v>是</x:v>
      </x:c>
      <x:c r="C434" s="17" t="str">
        <x:v>Overview of fencing.</x:v>
      </x:c>
      <x:c r="D434" s="17" t="str">
        <x:v>Multipurpose Building verandah</x:v>
      </x:c>
      <x:c r="E434" s="19" t="n">
        <x:v>1</x:v>
      </x:c>
      <x:c r="F434" s="19" t="n">
        <x:v>1</x:v>
      </x:c>
      <x:c r="G434" s="16" t="str"/>
      <x:c r="H434" s="16" t="str">
        <x:v>SRC-063</x:v>
      </x:c>
      <x:c r="I434" s="17" t="str"/>
    </x:row>
    <x:row r="435" ht="37" customHeight="1">
      <x:c r="A435" s="16" t="str">
        <x:v>OBS-0429</x:v>
      </x:c>
      <x:c r="B435" s="17" t="str">
        <x:v>是</x:v>
      </x:c>
      <x:c r="C435" s="17" t="str">
        <x:v>Overview of front entrance verandah.</x:v>
      </x:c>
      <x:c r="D435" s="17" t="str">
        <x:v>Childhood Centre verandah</x:v>
      </x:c>
      <x:c r="E435" s="19" t="n">
        <x:v>1</x:v>
      </x:c>
      <x:c r="F435" s="19" t="n">
        <x:v>1</x:v>
      </x:c>
      <x:c r="G435" s="16" t="str">
        <x:v>MRG-0181</x:v>
      </x:c>
      <x:c r="H435" s="16" t="str">
        <x:v>SRC-063</x:v>
      </x:c>
      <x:c r="I435" s="17" t="str"/>
    </x:row>
    <x:row r="436" ht="37" customHeight="1">
      <x:c r="A436" s="16" t="str">
        <x:v>OBS-0430</x:v>
      </x:c>
      <x:c r="B436" s="17" t="str">
        <x:v>是</x:v>
      </x:c>
      <x:c r="C436" s="17" t="str">
        <x:v>Overview of front verandah. Delamination and severe loss of section.</x:v>
      </x:c>
      <x:c r="D436" s="17" t="str">
        <x:v>Front verandah beams</x:v>
      </x:c>
      <x:c r="E436" s="19" t="n">
        <x:v>1</x:v>
      </x:c>
      <x:c r="F436" s="19" t="n">
        <x:v>1</x:v>
      </x:c>
      <x:c r="G436" s="16" t="str"/>
      <x:c r="H436" s="16" t="str">
        <x:v>SRC-057</x:v>
      </x:c>
      <x:c r="I436" s="17" t="str"/>
    </x:row>
    <x:row r="437" ht="37" customHeight="1">
      <x:c r="A437" s="16" t="str">
        <x:v>OBS-0431</x:v>
      </x:c>
      <x:c r="B437" s="17" t="str">
        <x:v>是</x:v>
      </x:c>
      <x:c r="C437" s="17" t="str">
        <x:v>Overview of front yard verandah</x:v>
      </x:c>
      <x:c r="D437" s="17" t="str">
        <x:v>Verandah columns</x:v>
      </x:c>
      <x:c r="E437" s="19" t="n">
        <x:v>1</x:v>
      </x:c>
      <x:c r="F437" s="19" t="n">
        <x:v>1</x:v>
      </x:c>
      <x:c r="G437" s="16" t="str">
        <x:v>MRG-0181</x:v>
      </x:c>
      <x:c r="H437" s="16" t="str">
        <x:v>SRC-002</x:v>
      </x:c>
      <x:c r="I437" s="17" t="str"/>
    </x:row>
    <x:row r="438" ht="37" customHeight="1">
      <x:c r="A438" s="16" t="str">
        <x:v>OBS-0432</x:v>
      </x:c>
      <x:c r="B438" s="17" t="str">
        <x:v>是</x:v>
      </x:c>
      <x:c r="C438" s="17" t="str">
        <x:v>Overview of gutter collecting water from verandah and house.</x:v>
      </x:c>
      <x:c r="D438" s="17" t="str">
        <x:v>Gutter</x:v>
      </x:c>
      <x:c r="E438" s="19" t="n">
        <x:v>1</x:v>
      </x:c>
      <x:c r="F438" s="19" t="n">
        <x:v>1</x:v>
      </x:c>
      <x:c r="G438" s="16" t="str"/>
      <x:c r="H438" s="16" t="str">
        <x:v>SRC-029</x:v>
      </x:c>
      <x:c r="I438" s="17" t="str"/>
    </x:row>
    <x:row r="439" ht="37" customHeight="1">
      <x:c r="A439" s="16" t="str">
        <x:v>OBS-0433</x:v>
      </x:c>
      <x:c r="B439" s="17" t="str">
        <x:v>是</x:v>
      </x:c>
      <x:c r="C439" s="17" t="str">
        <x:v>Overview of light post</x:v>
      </x:c>
      <x:c r="D439" s="17" t="str">
        <x:v>Light post</x:v>
      </x:c>
      <x:c r="E439" s="19" t="n">
        <x:v>1</x:v>
      </x:c>
      <x:c r="F439" s="19" t="n">
        <x:v>1</x:v>
      </x:c>
      <x:c r="G439" s="16" t="str"/>
      <x:c r="H439" s="16" t="str">
        <x:v>SRC-092</x:v>
      </x:c>
      <x:c r="I439" s="17" t="str"/>
    </x:row>
    <x:row r="440" ht="37" customHeight="1">
      <x:c r="A440" s="16" t="str">
        <x:v>OBS-0434</x:v>
      </x:c>
      <x:c r="B440" s="17" t="str">
        <x:v>是</x:v>
      </x:c>
      <x:c r="C440" s="17" t="str">
        <x:v>Overview of miner statue.</x:v>
      </x:c>
      <x:c r="D440" s="17" t="str">
        <x:v>Miner statue</x:v>
      </x:c>
      <x:c r="E440" s="19" t="n">
        <x:v>1</x:v>
      </x:c>
      <x:c r="F440" s="19" t="n">
        <x:v>1</x:v>
      </x:c>
      <x:c r="G440" s="16" t="str"/>
      <x:c r="H440" s="16" t="str">
        <x:v>SRC-071</x:v>
      </x:c>
      <x:c r="I440" s="17" t="str"/>
    </x:row>
    <x:row r="441" ht="37" customHeight="1">
      <x:c r="A441" s="16" t="str">
        <x:v>OBS-0435</x:v>
      </x:c>
      <x:c r="B441" s="17" t="str">
        <x:v>是</x:v>
      </x:c>
      <x:c r="C441" s="17" t="str">
        <x:v>Overview of roof.</x:v>
      </x:c>
      <x:c r="D441" s="17" t="str">
        <x:v>Roof sheeting</x:v>
      </x:c>
      <x:c r="E441" s="19" t="n">
        <x:v>1</x:v>
      </x:c>
      <x:c r="F441" s="19" t="n">
        <x:v>1</x:v>
      </x:c>
      <x:c r="G441" s="16" t="str"/>
      <x:c r="H441" s="16" t="str">
        <x:v>SRC-080</x:v>
      </x:c>
      <x:c r="I441" s="17" t="str"/>
    </x:row>
    <x:row r="442" ht="37" customHeight="1">
      <x:c r="A442" s="16" t="str">
        <x:v>OBS-0436</x:v>
      </x:c>
      <x:c r="B442" s="17" t="str">
        <x:v>是</x:v>
      </x:c>
      <x:c r="C442" s="17" t="str">
        <x:v>Overview of shade structure at lookout.</x:v>
      </x:c>
      <x:c r="D442" s="17" t="str">
        <x:v>Shade structure</x:v>
      </x:c>
      <x:c r="E442" s="19" t="n">
        <x:v>1</x:v>
      </x:c>
      <x:c r="F442" s="19" t="n">
        <x:v>1</x:v>
      </x:c>
      <x:c r="G442" s="16" t="str"/>
      <x:c r="H442" s="16" t="str">
        <x:v>SRC-080</x:v>
      </x:c>
      <x:c r="I442" s="17" t="str"/>
    </x:row>
    <x:row r="443" ht="37" customHeight="1">
      <x:c r="A443" s="16" t="str">
        <x:v>OBS-0437</x:v>
      </x:c>
      <x:c r="B443" s="17" t="str">
        <x:v>是</x:v>
      </x:c>
      <x:c r="C443" s="17" t="str">
        <x:v>Overview of shade structure.</x:v>
      </x:c>
      <x:c r="D443" s="17" t="str">
        <x:v>Shade structure 1</x:v>
      </x:c>
      <x:c r="E443" s="19" t="n">
        <x:v>1</x:v>
      </x:c>
      <x:c r="F443" s="19" t="n">
        <x:v>1</x:v>
      </x:c>
      <x:c r="G443" s="16" t="str">
        <x:v>MRG-0123</x:v>
      </x:c>
      <x:c r="H443" s="16" t="str">
        <x:v>SRC-063</x:v>
      </x:c>
      <x:c r="I443" s="17" t="str"/>
    </x:row>
    <x:row r="444" ht="37" customHeight="1">
      <x:c r="A444" s="16" t="str">
        <x:v>OBS-0438</x:v>
      </x:c>
      <x:c r="B444" s="17" t="str">
        <x:v>是</x:v>
      </x:c>
      <x:c r="C444" s="17" t="str">
        <x:v>Overview of shed.</x:v>
      </x:c>
      <x:c r="D444" s="17" t="str">
        <x:v>Shed cladding</x:v>
      </x:c>
      <x:c r="E444" s="19" t="n">
        <x:v>1</x:v>
      </x:c>
      <x:c r="F444" s="19" t="n">
        <x:v>1</x:v>
      </x:c>
      <x:c r="G444" s="16" t="str"/>
      <x:c r="H444" s="16" t="str">
        <x:v>SRC-063</x:v>
      </x:c>
      <x:c r="I444" s="17" t="str"/>
    </x:row>
    <x:row r="445" ht="37" customHeight="1">
      <x:c r="A445" s="16" t="str">
        <x:v>OBS-0439</x:v>
      </x:c>
      <x:c r="B445" s="17" t="str">
        <x:v>是</x:v>
      </x:c>
      <x:c r="C445" s="17" t="str">
        <x:v>Overview of the North side of Multipurpose building.</x:v>
      </x:c>
      <x:c r="D445" s="17" t="str">
        <x:v>Multipurpose Building - roof beams</x:v>
      </x:c>
      <x:c r="E445" s="19" t="n">
        <x:v>1</x:v>
      </x:c>
      <x:c r="F445" s="19" t="n">
        <x:v>1</x:v>
      </x:c>
      <x:c r="G445" s="16" t="str"/>
      <x:c r="H445" s="16" t="str">
        <x:v>SRC-063</x:v>
      </x:c>
      <x:c r="I445" s="17" t="str"/>
    </x:row>
    <x:row r="446" ht="37" customHeight="1">
      <x:c r="A446" s="16" t="str">
        <x:v>OBS-0440</x:v>
      </x:c>
      <x:c r="B446" s="17" t="str">
        <x:v>是</x:v>
      </x:c>
      <x:c r="C446" s="17" t="str">
        <x:v>Overview of the carport.</x:v>
      </x:c>
      <x:c r="D446" s="17" t="str">
        <x:v>Columns and beams</x:v>
      </x:c>
      <x:c r="E446" s="19" t="n">
        <x:v>1</x:v>
      </x:c>
      <x:c r="F446" s="19" t="n">
        <x:v>1</x:v>
      </x:c>
      <x:c r="G446" s="16" t="str">
        <x:v>MRG-0085</x:v>
      </x:c>
      <x:c r="H446" s="16" t="str">
        <x:v>SRC-009</x:v>
      </x:c>
      <x:c r="I446" s="17" t="str"/>
    </x:row>
    <x:row r="447" ht="37" customHeight="1">
      <x:c r="A447" s="16" t="str">
        <x:v>OBS-0441</x:v>
      </x:c>
      <x:c r="B447" s="17" t="str">
        <x:v>是</x:v>
      </x:c>
      <x:c r="C447" s="17" t="str">
        <x:v>Overview of verandah</x:v>
      </x:c>
      <x:c r="D447" s="17" t="str">
        <x:v>Multipurpose Building verandah</x:v>
      </x:c>
      <x:c r="E447" s="19" t="n">
        <x:v>1</x:v>
      </x:c>
      <x:c r="F447" s="19" t="n">
        <x:v>1</x:v>
      </x:c>
      <x:c r="G447" s="16" t="str"/>
      <x:c r="H447" s="16" t="str">
        <x:v>SRC-063</x:v>
      </x:c>
      <x:c r="I447" s="17" t="str"/>
    </x:row>
    <x:row r="448" ht="37" customHeight="1">
      <x:c r="A448" s="16" t="str">
        <x:v>OBS-0442</x:v>
      </x:c>
      <x:c r="B448" s="17" t="str">
        <x:v>是</x:v>
      </x:c>
      <x:c r="C448" s="17" t="str">
        <x:v>Paint deterioration and minor corrosion.</x:v>
      </x:c>
      <x:c r="D448" s="17" t="str">
        <x:v>Shade structure 6 columns</x:v>
      </x:c>
      <x:c r="E448" s="19" t="n">
        <x:v>1</x:v>
      </x:c>
      <x:c r="F448" s="19" t="n">
        <x:v>1</x:v>
      </x:c>
      <x:c r="G448" s="16" t="str"/>
      <x:c r="H448" s="16" t="str">
        <x:v>SRC-092</x:v>
      </x:c>
      <x:c r="I448" s="17" t="str"/>
    </x:row>
    <x:row r="449" ht="37" customHeight="1">
      <x:c r="A449" s="16" t="str">
        <x:v>OBS-0443</x:v>
      </x:c>
      <x:c r="B449" s="17" t="str">
        <x:v>是</x:v>
      </x:c>
      <x:c r="C449" s="17" t="str">
        <x:v>Paint deterioration at location circled in red. Close up photo below.</x:v>
      </x:c>
      <x:c r="D449" s="17" t="str">
        <x:v>Back verandah columns</x:v>
      </x:c>
      <x:c r="E449" s="19" t="n">
        <x:v>1</x:v>
      </x:c>
      <x:c r="F449" s="19" t="n">
        <x:v>1</x:v>
      </x:c>
      <x:c r="G449" s="16" t="str"/>
      <x:c r="H449" s="16" t="str">
        <x:v>SRC-092</x:v>
      </x:c>
      <x:c r="I449" s="17" t="str"/>
    </x:row>
    <x:row r="450" ht="37" customHeight="1">
      <x:c r="A450" s="16" t="str">
        <x:v>OBS-0444</x:v>
      </x:c>
      <x:c r="B450" s="17" t="str">
        <x:v>是</x:v>
      </x:c>
      <x:c r="C450" s="17" t="str">
        <x:v>Paint deterioration at lower section.</x:v>
      </x:c>
      <x:c r="D450" s="17" t="str">
        <x:v>Columns</x:v>
      </x:c>
      <x:c r="E450" s="19" t="n">
        <x:v>1</x:v>
      </x:c>
      <x:c r="F450" s="19" t="n">
        <x:v>1</x:v>
      </x:c>
      <x:c r="G450" s="16" t="str"/>
      <x:c r="H450" s="16" t="str">
        <x:v>SRC-061</x:v>
      </x:c>
      <x:c r="I450" s="17" t="str"/>
    </x:row>
    <x:row r="451" ht="37" customHeight="1">
      <x:c r="A451" s="16" t="str">
        <x:v>OBS-0445</x:v>
      </x:c>
      <x:c r="B451" s="17" t="str">
        <x:v>是</x:v>
      </x:c>
      <x:c r="C451" s="17" t="str">
        <x:v>Paint deterioration at lower sections of strut and column.</x:v>
      </x:c>
      <x:c r="D451" s="17" t="str">
        <x:v>Shade structure 4 columns and struts</x:v>
      </x:c>
      <x:c r="E451" s="19" t="n">
        <x:v>1</x:v>
      </x:c>
      <x:c r="F451" s="19" t="n">
        <x:v>1</x:v>
      </x:c>
      <x:c r="G451" s="16" t="str"/>
      <x:c r="H451" s="16" t="str">
        <x:v>SRC-092</x:v>
      </x:c>
      <x:c r="I451" s="17" t="str"/>
    </x:row>
    <x:row r="452" ht="41" customHeight="1">
      <x:c r="A452" s="16" t="str">
        <x:v>OBS-0446</x:v>
      </x:c>
      <x:c r="B452" s="17" t="str">
        <x:v>是</x:v>
      </x:c>
      <x:c r="C452" s="17" t="str">
        <x:v>Paint deterioration at lower sections of strut and column. Close up photo shown below.</x:v>
      </x:c>
      <x:c r="D452" s="17" t="str">
        <x:v>Shade structure 4 columns and struts</x:v>
      </x:c>
      <x:c r="E452" s="19" t="n">
        <x:v>1</x:v>
      </x:c>
      <x:c r="F452" s="19" t="n">
        <x:v>1</x:v>
      </x:c>
      <x:c r="G452" s="16" t="str"/>
      <x:c r="H452" s="16" t="str">
        <x:v>SRC-092</x:v>
      </x:c>
      <x:c r="I452" s="17" t="str"/>
    </x:row>
    <x:row r="453" ht="41" customHeight="1">
      <x:c r="A453" s="16" t="str">
        <x:v>OBS-0447</x:v>
      </x:c>
      <x:c r="B453" s="17" t="str">
        <x:v>是</x:v>
      </x:c>
      <x:c r="C453" s="17" t="str">
        <x:v>Paint deterioration at lower sections of strut and column. Typical defect for this structure.</x:v>
      </x:c>
      <x:c r="D453" s="17" t="str">
        <x:v>Shade structure 4 columns and struts</x:v>
      </x:c>
      <x:c r="E453" s="19" t="n">
        <x:v>1</x:v>
      </x:c>
      <x:c r="F453" s="19" t="n">
        <x:v>1</x:v>
      </x:c>
      <x:c r="G453" s="16" t="str"/>
      <x:c r="H453" s="16" t="str">
        <x:v>SRC-092</x:v>
      </x:c>
      <x:c r="I453" s="17" t="str"/>
    </x:row>
    <x:row r="454" ht="37" customHeight="1">
      <x:c r="A454" s="16" t="str">
        <x:v>OBS-0448</x:v>
      </x:c>
      <x:c r="B454" s="17" t="str">
        <x:v>是</x:v>
      </x:c>
      <x:c r="C454" s="17" t="str">
        <x:v>Paint deterioration on all steel elements.</x:v>
      </x:c>
      <x:c r="D454" s="17" t="str">
        <x:v>Multipurpose Building verandah</x:v>
      </x:c>
      <x:c r="E454" s="19" t="n">
        <x:v>1</x:v>
      </x:c>
      <x:c r="F454" s="19" t="n">
        <x:v>1</x:v>
      </x:c>
      <x:c r="G454" s="16" t="str"/>
      <x:c r="H454" s="16" t="str">
        <x:v>SRC-063</x:v>
      </x:c>
      <x:c r="I454" s="17" t="str"/>
    </x:row>
    <x:row r="455" ht="37" customHeight="1">
      <x:c r="A455" s="16" t="str">
        <x:v>OBS-0449</x:v>
      </x:c>
      <x:c r="B455" s="17" t="str">
        <x:v>是</x:v>
      </x:c>
      <x:c r="C455" s="17" t="str">
        <x:v>Paint deterioration on service box</x:v>
      </x:c>
      <x:c r="D455" s="17" t="str">
        <x:v>Cladding and framing</x:v>
      </x:c>
      <x:c r="E455" s="19" t="n">
        <x:v>1</x:v>
      </x:c>
      <x:c r="F455" s="19" t="n">
        <x:v>1</x:v>
      </x:c>
      <x:c r="G455" s="16" t="str"/>
      <x:c r="H455" s="16" t="str">
        <x:v>SRC-025</x:v>
      </x:c>
      <x:c r="I455" s="17" t="str"/>
    </x:row>
    <x:row r="456" ht="37" customHeight="1">
      <x:c r="A456" s="16" t="str">
        <x:v>OBS-0450</x:v>
      </x:c>
      <x:c r="B456" s="17" t="str">
        <x:v>是</x:v>
      </x:c>
      <x:c r="C456" s="17" t="str">
        <x:v>Paint deterioration on steel frame.</x:v>
      </x:c>
      <x:c r="D456" s="17" t="str">
        <x:v>Pool seating and shade structure</x:v>
      </x:c>
      <x:c r="E456" s="19" t="n">
        <x:v>1</x:v>
      </x:c>
      <x:c r="F456" s="19" t="n">
        <x:v>1</x:v>
      </x:c>
      <x:c r="G456" s="16" t="str"/>
      <x:c r="H456" s="16" t="str">
        <x:v>SRC-092</x:v>
      </x:c>
      <x:c r="I456" s="17" t="str"/>
    </x:row>
    <x:row r="457" ht="37" customHeight="1">
      <x:c r="A457" s="16" t="str">
        <x:v>OBS-0451</x:v>
      </x:c>
      <x:c r="B457" s="17" t="str">
        <x:v>是</x:v>
      </x:c>
      <x:c r="C457" s="17" t="str">
        <x:v>Photo frame secured to steel frame.</x:v>
      </x:c>
      <x:c r="D457" s="17" t="str">
        <x:v>Photo frame support</x:v>
      </x:c>
      <x:c r="E457" s="19" t="n">
        <x:v>1</x:v>
      </x:c>
      <x:c r="F457" s="19" t="n">
        <x:v>1</x:v>
      </x:c>
      <x:c r="G457" s="16" t="str"/>
      <x:c r="H457" s="16" t="str">
        <x:v>SRC-100</x:v>
      </x:c>
      <x:c r="I457" s="17" t="str"/>
    </x:row>
    <x:row r="458" ht="41" customHeight="1">
      <x:c r="A458" s="16" t="str">
        <x:v>OBS-0452</x:v>
      </x:c>
      <x:c r="B458" s="17" t="str">
        <x:v>是</x:v>
      </x:c>
      <x:c r="C458" s="17" t="str">
        <x:v>Photo taken in backyard. Purlins and rafters have minor corrosion and salt staining.</x:v>
      </x:c>
      <x:c r="D458" s="17" t="str">
        <x:v>Rafters and purlins</x:v>
      </x:c>
      <x:c r="E458" s="19" t="n">
        <x:v>1</x:v>
      </x:c>
      <x:c r="F458" s="19" t="n">
        <x:v>1</x:v>
      </x:c>
      <x:c r="G458" s="16" t="str"/>
      <x:c r="H458" s="16" t="str">
        <x:v>SRC-058</x:v>
      </x:c>
      <x:c r="I458" s="17" t="str"/>
    </x:row>
    <x:row r="459" ht="41" customHeight="1">
      <x:c r="A459" s="16" t="str">
        <x:v>OBS-0453</x:v>
      </x:c>
      <x:c r="B459" s="17" t="str">
        <x:v>是</x:v>
      </x:c>
      <x:c r="C459" s="17" t="str">
        <x:v>Pier 10. Corrosion at support location. Expansion of steel due to corrosion causing brickwork to crack.</x:v>
      </x:c>
      <x:c r="D459" s="17" t="str">
        <x:v>Rafters</x:v>
      </x:c>
      <x:c r="E459" s="19" t="n">
        <x:v>1</x:v>
      </x:c>
      <x:c r="F459" s="19" t="n">
        <x:v>1</x:v>
      </x:c>
      <x:c r="G459" s="16" t="str">
        <x:v>MRG-0038, MRG-0039, MRG-0182</x:v>
      </x:c>
      <x:c r="H459" s="16" t="str">
        <x:v>SRC-006</x:v>
      </x:c>
      <x:c r="I459" s="17" t="str"/>
    </x:row>
    <x:row r="460" ht="37" customHeight="1">
      <x:c r="A460" s="16" t="str">
        <x:v>OBS-0454</x:v>
      </x:c>
      <x:c r="B460" s="17" t="str">
        <x:v>是</x:v>
      </x:c>
      <x:c r="C460" s="17" t="str">
        <x:v>Pier 4.</x:v>
      </x:c>
      <x:c r="D460" s="17" t="str">
        <x:v>Rafters</x:v>
      </x:c>
      <x:c r="E460" s="19" t="n">
        <x:v>1</x:v>
      </x:c>
      <x:c r="F460" s="19" t="n">
        <x:v>1</x:v>
      </x:c>
      <x:c r="G460" s="16" t="str"/>
      <x:c r="H460" s="16" t="str">
        <x:v>SRC-006</x:v>
      </x:c>
      <x:c r="I460" s="17" t="str"/>
    </x:row>
    <x:row r="461" ht="41" customHeight="1">
      <x:c r="A461" s="16" t="str">
        <x:v>OBS-0455</x:v>
      </x:c>
      <x:c r="B461" s="17" t="str">
        <x:v>是</x:v>
      </x:c>
      <x:c r="C461" s="17" t="str">
        <x:v>Pier 5. Cracking at lower section of column. Settlement of paving observed at this location.</x:v>
      </x:c>
      <x:c r="D461" s="17" t="str">
        <x:v>Back verandah Brick piers</x:v>
      </x:c>
      <x:c r="E461" s="19" t="n">
        <x:v>1</x:v>
      </x:c>
      <x:c r="F461" s="19" t="n">
        <x:v>1</x:v>
      </x:c>
      <x:c r="G461" s="16" t="str"/>
      <x:c r="H461" s="16" t="str">
        <x:v>SRC-006</x:v>
      </x:c>
      <x:c r="I461" s="17" t="str"/>
    </x:row>
    <x:row r="462" ht="41" customHeight="1">
      <x:c r="A462" s="16" t="str">
        <x:v>OBS-0456</x:v>
      </x:c>
      <x:c r="B462" s="17" t="str">
        <x:v>是</x:v>
      </x:c>
      <x:c r="C462" s="17" t="str">
        <x:v>Pier 6. Vertical crack at lower section. Uneven surface at crack location showing signs of settlement.</x:v>
      </x:c>
      <x:c r="D462" s="17" t="str">
        <x:v>Back verandah Brick piers</x:v>
      </x:c>
      <x:c r="E462" s="19" t="n">
        <x:v>1</x:v>
      </x:c>
      <x:c r="F462" s="19" t="n">
        <x:v>1</x:v>
      </x:c>
      <x:c r="G462" s="16" t="str"/>
      <x:c r="H462" s="16" t="str">
        <x:v>SRC-006</x:v>
      </x:c>
      <x:c r="I462" s="17" t="str"/>
    </x:row>
    <x:row r="463" ht="41" customHeight="1">
      <x:c r="A463" s="16" t="str">
        <x:v>OBS-0457</x:v>
      </x:c>
      <x:c r="B463" s="17" t="str">
        <x:v>是</x:v>
      </x:c>
      <x:c r="C463" s="17" t="str">
        <x:v>Pier 7. Severe corrosion at support location. Expansion of steel due to corrosion causing brickwork to crack.</x:v>
      </x:c>
      <x:c r="D463" s="17" t="str">
        <x:v>Rafters</x:v>
      </x:c>
      <x:c r="E463" s="19" t="n">
        <x:v>1</x:v>
      </x:c>
      <x:c r="F463" s="19" t="n">
        <x:v>1</x:v>
      </x:c>
      <x:c r="G463" s="16" t="str">
        <x:v>MRG-0003, MRG-0038, MRG-0106, MRG-0124</x:v>
      </x:c>
      <x:c r="H463" s="16" t="str">
        <x:v>SRC-006</x:v>
      </x:c>
      <x:c r="I463" s="17" t="str"/>
    </x:row>
    <x:row r="464" ht="37" customHeight="1">
      <x:c r="A464" s="16" t="str">
        <x:v>OBS-0458</x:v>
      </x:c>
      <x:c r="B464" s="17" t="str">
        <x:v>是</x:v>
      </x:c>
      <x:c r="C464" s="17" t="str">
        <x:v>Pier 7. Vertical crack at lower section.</x:v>
      </x:c>
      <x:c r="D464" s="17" t="str">
        <x:v>Back verandah Brick piers</x:v>
      </x:c>
      <x:c r="E464" s="19" t="n">
        <x:v>1</x:v>
      </x:c>
      <x:c r="F464" s="19" t="n">
        <x:v>1</x:v>
      </x:c>
      <x:c r="G464" s="16" t="str">
        <x:v>MRG-0025, MRG-0026</x:v>
      </x:c>
      <x:c r="H464" s="16" t="str">
        <x:v>SRC-006</x:v>
      </x:c>
      <x:c r="I464" s="17" t="str"/>
    </x:row>
    <x:row r="465" ht="41" customHeight="1">
      <x:c r="A465" s="16" t="str">
        <x:v>OBS-0459</x:v>
      </x:c>
      <x:c r="B465" s="17" t="str">
        <x:v>是</x:v>
      </x:c>
      <x:c r="C465" s="17" t="str">
        <x:v>Pier 8. Severe corrosion at support location. Expansion of steel due to corrosion causing brickwork to crack.</x:v>
      </x:c>
      <x:c r="D465" s="17" t="str">
        <x:v>Rafters</x:v>
      </x:c>
      <x:c r="E465" s="19" t="n">
        <x:v>1</x:v>
      </x:c>
      <x:c r="F465" s="19" t="n">
        <x:v>1</x:v>
      </x:c>
      <x:c r="G465" s="16" t="str">
        <x:v>MRG-0003, MRG-0039, MRG-0107, MRG-0125</x:v>
      </x:c>
      <x:c r="H465" s="16" t="str">
        <x:v>SRC-006</x:v>
      </x:c>
      <x:c r="I465" s="17" t="str"/>
    </x:row>
    <x:row r="466" ht="37" customHeight="1">
      <x:c r="A466" s="16" t="str">
        <x:v>OBS-0460</x:v>
      </x:c>
      <x:c r="B466" s="17" t="str">
        <x:v>是</x:v>
      </x:c>
      <x:c r="C466" s="17" t="str">
        <x:v>Pier 8. Vertical crack at lower section.</x:v>
      </x:c>
      <x:c r="D466" s="17" t="str">
        <x:v>Back verandah Brick piers</x:v>
      </x:c>
      <x:c r="E466" s="19" t="n">
        <x:v>1</x:v>
      </x:c>
      <x:c r="F466" s="19" t="n">
        <x:v>1</x:v>
      </x:c>
      <x:c r="G466" s="16" t="str">
        <x:v>MRG-0025, MRG-0027</x:v>
      </x:c>
      <x:c r="H466" s="16" t="str">
        <x:v>SRC-006</x:v>
      </x:c>
      <x:c r="I466" s="17" t="str"/>
    </x:row>
    <x:row r="467" ht="37" customHeight="1">
      <x:c r="A467" s="16" t="str">
        <x:v>OBS-0461</x:v>
      </x:c>
      <x:c r="B467" s="17" t="str">
        <x:v>是</x:v>
      </x:c>
      <x:c r="C467" s="17" t="str">
        <x:v>Pier 9. Corrosion causes separation between brickwork and rafter.</x:v>
      </x:c>
      <x:c r="D467" s="17" t="str">
        <x:v>Rafters</x:v>
      </x:c>
      <x:c r="E467" s="19" t="n">
        <x:v>1</x:v>
      </x:c>
      <x:c r="F467" s="19" t="n">
        <x:v>1</x:v>
      </x:c>
      <x:c r="G467" s="16" t="str"/>
      <x:c r="H467" s="16" t="str">
        <x:v>SRC-006</x:v>
      </x:c>
      <x:c r="I467" s="17" t="str"/>
    </x:row>
    <x:row r="468" ht="37" customHeight="1">
      <x:c r="A468" s="16" t="str">
        <x:v>OBS-0462</x:v>
      </x:c>
      <x:c r="B468" s="17" t="str">
        <x:v>是</x:v>
      </x:c>
      <x:c r="C468" s="17" t="str">
        <x:v>Pier 9. Vertical crack at lower section.</x:v>
      </x:c>
      <x:c r="D468" s="17" t="str">
        <x:v>Back verandah Brick piers</x:v>
      </x:c>
      <x:c r="E468" s="19" t="n">
        <x:v>1</x:v>
      </x:c>
      <x:c r="F468" s="19" t="n">
        <x:v>1</x:v>
      </x:c>
      <x:c r="G468" s="16" t="str">
        <x:v>MRG-0026, MRG-0027</x:v>
      </x:c>
      <x:c r="H468" s="16" t="str">
        <x:v>SRC-006</x:v>
      </x:c>
      <x:c r="I468" s="17" t="str"/>
    </x:row>
    <x:row r="469" ht="37" customHeight="1">
      <x:c r="A469" s="16" t="str">
        <x:v>OBS-0463</x:v>
      </x:c>
      <x:c r="B469" s="17" t="str">
        <x:v>是</x:v>
      </x:c>
      <x:c r="C469" s="17" t="str">
        <x:v>Pitting and blistering of steel to mining axe.</x:v>
      </x:c>
      <x:c r="D469" s="17" t="str">
        <x:v>Miner statue</x:v>
      </x:c>
      <x:c r="E469" s="19" t="n">
        <x:v>1</x:v>
      </x:c>
      <x:c r="F469" s="19" t="n">
        <x:v>1</x:v>
      </x:c>
      <x:c r="G469" s="16" t="str"/>
      <x:c r="H469" s="16" t="str">
        <x:v>SRC-071</x:v>
      </x:c>
      <x:c r="I469" s="17" t="str"/>
    </x:row>
    <x:row r="470" ht="37" customHeight="1">
      <x:c r="A470" s="16" t="str">
        <x:v>OBS-0464</x:v>
      </x:c>
      <x:c r="B470" s="17" t="str">
        <x:v>是</x:v>
      </x:c>
      <x:c r="C470" s="17" t="str">
        <x:v>Pool fence. Corroded bolts.</x:v>
      </x:c>
      <x:c r="D470" s="17" t="str">
        <x:v>Pool fencing</x:v>
      </x:c>
      <x:c r="E470" s="19" t="n">
        <x:v>1</x:v>
      </x:c>
      <x:c r="F470" s="19" t="n">
        <x:v>1</x:v>
      </x:c>
      <x:c r="G470" s="16" t="str"/>
      <x:c r="H470" s="16" t="str">
        <x:v>SRC-009</x:v>
      </x:c>
      <x:c r="I470" s="17" t="str"/>
    </x:row>
    <x:row r="471" ht="37" customHeight="1">
      <x:c r="A471" s="16" t="str">
        <x:v>OBS-0465</x:v>
      </x:c>
      <x:c r="B471" s="17" t="str">
        <x:v>是</x:v>
      </x:c>
      <x:c r="C471" s="17" t="str">
        <x:v>Pool fence. Flaking corrosion at lower section. Close up image below.</x:v>
      </x:c>
      <x:c r="D471" s="17" t="str">
        <x:v>Pool fencing</x:v>
      </x:c>
      <x:c r="E471" s="19" t="n">
        <x:v>1</x:v>
      </x:c>
      <x:c r="F471" s="19" t="n">
        <x:v>1</x:v>
      </x:c>
      <x:c r="G471" s="16" t="str"/>
      <x:c r="H471" s="16" t="str">
        <x:v>SRC-009</x:v>
      </x:c>
      <x:c r="I471" s="17" t="str"/>
    </x:row>
    <x:row r="472" ht="41" customHeight="1">
      <x:c r="A472" s="16" t="str">
        <x:v>OBS-0466</x:v>
      </x:c>
      <x:c r="B472" s="17" t="str">
        <x:v>是</x:v>
      </x:c>
      <x:c r="C472" s="17" t="str">
        <x:v>Pool shed left hand side front corner. Severe corrosion of cladding. Honeycombing of concrete.</x:v>
      </x:c>
      <x:c r="D472" s="17" t="str">
        <x:v>Pool shed cladding</x:v>
      </x:c>
      <x:c r="E472" s="19" t="n">
        <x:v>1</x:v>
      </x:c>
      <x:c r="F472" s="19" t="n">
        <x:v>1</x:v>
      </x:c>
      <x:c r="G472" s="16" t="str"/>
      <x:c r="H472" s="16" t="str">
        <x:v>SRC-009</x:v>
      </x:c>
      <x:c r="I472" s="17" t="str"/>
    </x:row>
    <x:row r="473" ht="37" customHeight="1">
      <x:c r="A473" s="16" t="str">
        <x:v>OBS-0467</x:v>
      </x:c>
      <x:c r="B473" s="17" t="str">
        <x:v>是</x:v>
      </x:c>
      <x:c r="C473" s="17" t="str">
        <x:v>Pool shed left hand side front corner. Severe corrosion.</x:v>
      </x:c>
      <x:c r="D473" s="17" t="str">
        <x:v>Pool shed cladding</x:v>
      </x:c>
      <x:c r="E473" s="19" t="n">
        <x:v>1</x:v>
      </x:c>
      <x:c r="F473" s="19" t="n">
        <x:v>1</x:v>
      </x:c>
      <x:c r="G473" s="16" t="str"/>
      <x:c r="H473" s="16" t="str">
        <x:v>SRC-009</x:v>
      </x:c>
      <x:c r="I473" s="17" t="str"/>
    </x:row>
    <x:row r="474" ht="37" customHeight="1">
      <x:c r="A474" s="16" t="str">
        <x:v>OBS-0468</x:v>
      </x:c>
      <x:c r="B474" s="17" t="str">
        <x:v>是</x:v>
      </x:c>
      <x:c r="C474" s="17" t="str">
        <x:v>Pool shed. Corrosion on the left hand side corner.</x:v>
      </x:c>
      <x:c r="D474" s="17" t="str">
        <x:v>Pool shed column</x:v>
      </x:c>
      <x:c r="E474" s="19" t="n">
        <x:v>1</x:v>
      </x:c>
      <x:c r="F474" s="19" t="n">
        <x:v>1</x:v>
      </x:c>
      <x:c r="G474" s="16" t="str"/>
      <x:c r="H474" s="16" t="str">
        <x:v>SRC-009</x:v>
      </x:c>
      <x:c r="I474" s="17" t="str"/>
    </x:row>
    <x:row r="475" ht="41" customHeight="1">
      <x:c r="A475" s="16" t="str">
        <x:v>OBS-0469</x:v>
      </x:c>
      <x:c r="B475" s="17" t="str">
        <x:v>是</x:v>
      </x:c>
      <x:c r="C475" s="17" t="str">
        <x:v>Post circled in red has completely separated due to corrosion. Images shown below.</x:v>
      </x:c>
      <x:c r="D475" s="17" t="str">
        <x:v>Backstroke flag posts at one side</x:v>
      </x:c>
      <x:c r="E475" s="19" t="n">
        <x:v>1</x:v>
      </x:c>
      <x:c r="F475" s="19" t="n">
        <x:v>1</x:v>
      </x:c>
      <x:c r="G475" s="16" t="str"/>
      <x:c r="H475" s="16" t="str">
        <x:v>SRC-092</x:v>
      </x:c>
      <x:c r="I475" s="17" t="str"/>
    </x:row>
    <x:row r="476" ht="37" customHeight="1">
      <x:c r="A476" s="16" t="str">
        <x:v>OBS-0470</x:v>
      </x:c>
      <x:c r="B476" s="17" t="str">
        <x:v>是</x:v>
      </x:c>
      <x:c r="C476" s="17" t="str">
        <x:v>Post circled in red has corrosion delamination towards the lower section.</x:v>
      </x:c>
      <x:c r="D476" s="17" t="str">
        <x:v>Backstroke flag posts on the other side</x:v>
      </x:c>
      <x:c r="E476" s="19" t="n">
        <x:v>1</x:v>
      </x:c>
      <x:c r="F476" s="19" t="n">
        <x:v>1</x:v>
      </x:c>
      <x:c r="G476" s="16" t="str"/>
      <x:c r="H476" s="16" t="str">
        <x:v>SRC-092</x:v>
      </x:c>
      <x:c r="I476" s="17" t="str"/>
    </x:row>
    <x:row r="477" ht="37" customHeight="1">
      <x:c r="A477" s="16" t="str">
        <x:v>OBS-0471</x:v>
      </x:c>
      <x:c r="B477" s="17" t="str">
        <x:v>是</x:v>
      </x:c>
      <x:c r="C477" s="17" t="str">
        <x:v>Protective wrap has severely corroded.</x:v>
      </x:c>
      <x:c r="D477" s="17" t="str">
        <x:v>Shade structure column</x:v>
      </x:c>
      <x:c r="E477" s="19" t="n">
        <x:v>1</x:v>
      </x:c>
      <x:c r="F477" s="19" t="n">
        <x:v>1</x:v>
      </x:c>
      <x:c r="G477" s="16" t="str"/>
      <x:c r="H477" s="16" t="str">
        <x:v>SRC-092</x:v>
      </x:c>
      <x:c r="I477" s="17" t="str"/>
    </x:row>
    <x:row r="478" ht="41" customHeight="1">
      <x:c r="A478" s="16" t="str">
        <x:v>OBS-0472</x:v>
      </x:c>
      <x:c r="B478" s="17" t="str">
        <x:v>是</x:v>
      </x:c>
      <x:c r="C478" s="17" t="str">
        <x:v>Purlin has significant corrosion, resulting in holes through the steel work. Deflection of roof sheeting was observed.</x:v>
      </x:c>
      <x:c r="D478" s="17" t="str">
        <x:v>Purlins</x:v>
      </x:c>
      <x:c r="E478" s="19" t="n">
        <x:v>1</x:v>
      </x:c>
      <x:c r="F478" s="19" t="n">
        <x:v>1</x:v>
      </x:c>
      <x:c r="G478" s="16" t="str"/>
      <x:c r="H478" s="16" t="str">
        <x:v>SRC-080</x:v>
      </x:c>
      <x:c r="I478" s="17" t="str"/>
    </x:row>
    <x:row r="479" ht="37" customHeight="1">
      <x:c r="A479" s="16" t="str">
        <x:v>OBS-0473</x:v>
      </x:c>
      <x:c r="B479" s="17" t="str">
        <x:v>是</x:v>
      </x:c>
      <x:c r="C479" s="17" t="str">
        <x:v>Rafter at Brick Pier 1. Severe corrosion on the end of the rafter beam.</x:v>
      </x:c>
      <x:c r="D479" s="17" t="str">
        <x:v>Rafters</x:v>
      </x:c>
      <x:c r="E479" s="19" t="n">
        <x:v>1</x:v>
      </x:c>
      <x:c r="F479" s="19" t="n">
        <x:v>1</x:v>
      </x:c>
      <x:c r="G479" s="16" t="str"/>
      <x:c r="H479" s="16" t="str">
        <x:v>SRC-006</x:v>
      </x:c>
      <x:c r="I479" s="17" t="str"/>
    </x:row>
    <x:row r="480" ht="41" customHeight="1">
      <x:c r="A480" s="16" t="str">
        <x:v>OBS-0474</x:v>
      </x:c>
      <x:c r="B480" s="17" t="str">
        <x:v>是</x:v>
      </x:c>
      <x:c r="C480" s="17" t="str">
        <x:v>Rafter at the top of Pier 6. Severe corrosion at support location. Expansion of steel rafter due to corrosion causing brickwork to crack</x:v>
      </x:c>
      <x:c r="D480" s="17" t="str">
        <x:v>Rafters</x:v>
      </x:c>
      <x:c r="E480" s="19" t="n">
        <x:v>1</x:v>
      </x:c>
      <x:c r="F480" s="19" t="n">
        <x:v>1</x:v>
      </x:c>
      <x:c r="G480" s="16" t="str">
        <x:v>MRG-0040, MRG-0124, MRG-0125</x:v>
      </x:c>
      <x:c r="H480" s="16" t="str">
        <x:v>SRC-006</x:v>
      </x:c>
      <x:c r="I480" s="17" t="str"/>
    </x:row>
    <x:row r="481" ht="41" customHeight="1">
      <x:c r="A481" s="16" t="str">
        <x:v>OBS-0475</x:v>
      </x:c>
      <x:c r="B481" s="17" t="str">
        <x:v>是</x:v>
      </x:c>
      <x:c r="C481" s="17" t="str">
        <x:v>Rafter at the top of pier 5. Severe corrosion at support location. Expansion of steel due to corrosion causing the brickwork to crack.</x:v>
      </x:c>
      <x:c r="D481" s="17" t="str">
        <x:v>Rafters</x:v>
      </x:c>
      <x:c r="E481" s="19" t="n">
        <x:v>1</x:v>
      </x:c>
      <x:c r="F481" s="19" t="n">
        <x:v>1</x:v>
      </x:c>
      <x:c r="G481" s="16" t="str">
        <x:v>MRG-0040, MRG-0106, MRG-0107, MRG-0182</x:v>
      </x:c>
      <x:c r="H481" s="16" t="str">
        <x:v>SRC-006</x:v>
      </x:c>
      <x:c r="I481" s="17" t="str"/>
    </x:row>
    <x:row r="482" ht="41" customHeight="1">
      <x:c r="A482" s="16" t="str">
        <x:v>OBS-0476</x:v>
      </x:c>
      <x:c r="B482" s="17" t="str">
        <x:v>是</x:v>
      </x:c>
      <x:c r="C482" s="17" t="str">
        <x:v>Rectangular opening in the gutter possibly for a downpipe. The gutter is not redirecting water away from columns causing columns to corrode.</x:v>
      </x:c>
      <x:c r="D482" s="17" t="str">
        <x:v>Gutter</x:v>
      </x:c>
      <x:c r="E482" s="19" t="n">
        <x:v>1</x:v>
      </x:c>
      <x:c r="F482" s="19" t="n">
        <x:v>1</x:v>
      </x:c>
      <x:c r="G482" s="16" t="str"/>
      <x:c r="H482" s="16" t="str">
        <x:v>SRC-029</x:v>
      </x:c>
      <x:c r="I482" s="17" t="str"/>
    </x:row>
    <x:row r="483" ht="41" customHeight="1">
      <x:c r="A483" s="16" t="str">
        <x:v>OBS-0477</x:v>
      </x:c>
      <x:c r="B483" s="17" t="str">
        <x:v>是</x:v>
      </x:c>
      <x:c r="C483" s="17" t="str">
        <x:v>Right hand side column facing the front of the house. Holes and flaking towards the lower section of the column.</x:v>
      </x:c>
      <x:c r="D483" s="17" t="str">
        <x:v>Verandah column</x:v>
      </x:c>
      <x:c r="E483" s="19" t="n">
        <x:v>1</x:v>
      </x:c>
      <x:c r="F483" s="19" t="n">
        <x:v>1</x:v>
      </x:c>
      <x:c r="G483" s="16" t="str"/>
      <x:c r="H483" s="16" t="str">
        <x:v>SRC-006</x:v>
      </x:c>
      <x:c r="I483" s="17" t="str"/>
    </x:row>
    <x:row r="484" ht="37" customHeight="1">
      <x:c r="A484" s="16" t="str">
        <x:v>OBS-0478</x:v>
      </x:c>
      <x:c r="B484" s="17" t="str">
        <x:v>是</x:v>
      </x:c>
      <x:c r="C484" s="17" t="str">
        <x:v>Right hand side columns facing front of house.</x:v>
      </x:c>
      <x:c r="D484" s="17" t="str">
        <x:v>Columns</x:v>
      </x:c>
      <x:c r="E484" s="19" t="n">
        <x:v>1</x:v>
      </x:c>
      <x:c r="F484" s="19" t="n">
        <x:v>1</x:v>
      </x:c>
      <x:c r="G484" s="16" t="str">
        <x:v>MRG-0065</x:v>
      </x:c>
      <x:c r="H484" s="16" t="str">
        <x:v>SRC-055</x:v>
      </x:c>
      <x:c r="I484" s="17" t="str"/>
    </x:row>
    <x:row r="485" ht="37" customHeight="1">
      <x:c r="A485" s="16" t="str">
        <x:v>OBS-0479</x:v>
      </x:c>
      <x:c r="B485" s="17" t="str">
        <x:v>是</x:v>
      </x:c>
      <x:c r="C485" s="17" t="str">
        <x:v>Right hand side columns. Minor paint deterioration.</x:v>
      </x:c>
      <x:c r="D485" s="17" t="str">
        <x:v>Carport columns</x:v>
      </x:c>
      <x:c r="E485" s="19" t="n">
        <x:v>1</x:v>
      </x:c>
      <x:c r="F485" s="19" t="n">
        <x:v>1</x:v>
      </x:c>
      <x:c r="G485" s="16" t="str"/>
      <x:c r="H485" s="16" t="str">
        <x:v>SRC-002</x:v>
      </x:c>
      <x:c r="I485" s="17" t="str"/>
    </x:row>
    <x:row r="486" ht="41" customHeight="1">
      <x:c r="A486" s="16" t="str">
        <x:v>OBS-0480</x:v>
      </x:c>
      <x:c r="B486" s="17" t="str">
        <x:v>是</x:v>
      </x:c>
      <x:c r="C486" s="17" t="str">
        <x:v>Right hand side corner of house facing the entrance. Minor corrosion at beam connection.</x:v>
      </x:c>
      <x:c r="D486" s="17" t="str">
        <x:v>Rafters and purlins</x:v>
      </x:c>
      <x:c r="E486" s="19" t="n">
        <x:v>1</x:v>
      </x:c>
      <x:c r="F486" s="19" t="n">
        <x:v>1</x:v>
      </x:c>
      <x:c r="G486" s="16" t="str"/>
      <x:c r="H486" s="16" t="str">
        <x:v>SRC-010</x:v>
      </x:c>
      <x:c r="I486" s="17" t="str"/>
    </x:row>
    <x:row r="487" ht="41" customHeight="1">
      <x:c r="A487" s="16" t="str">
        <x:v>OBS-0481</x:v>
      </x:c>
      <x:c r="B487" s="17" t="str">
        <x:v>是</x:v>
      </x:c>
      <x:c r="C487" s="17" t="str">
        <x:v>Right hand side facing front of house. Left hand side of front verandah. Hole in fascia board.</x:v>
      </x:c>
      <x:c r="D487" s="17" t="str">
        <x:v>Fascia board</x:v>
      </x:c>
      <x:c r="E487" s="19" t="n">
        <x:v>1</x:v>
      </x:c>
      <x:c r="F487" s="19" t="n">
        <x:v>1</x:v>
      </x:c>
      <x:c r="G487" s="16" t="str"/>
      <x:c r="H487" s="16" t="str">
        <x:v>SRC-006</x:v>
      </x:c>
      <x:c r="I487" s="17" t="str"/>
    </x:row>
    <x:row r="488" ht="37" customHeight="1">
      <x:c r="A488" s="16" t="str">
        <x:v>OBS-0482</x:v>
      </x:c>
      <x:c r="B488" s="17" t="str">
        <x:v>是</x:v>
      </x:c>
      <x:c r="C488" s="17" t="str">
        <x:v>Right hand side facing front of house. Timber fascia board splitting.</x:v>
      </x:c>
      <x:c r="D488" s="17" t="str">
        <x:v>Fascia board</x:v>
      </x:c>
      <x:c r="E488" s="19" t="n">
        <x:v>1</x:v>
      </x:c>
      <x:c r="F488" s="19" t="n">
        <x:v>1</x:v>
      </x:c>
      <x:c r="G488" s="16" t="str"/>
      <x:c r="H488" s="16" t="str">
        <x:v>SRC-006</x:v>
      </x:c>
      <x:c r="I488" s="17" t="str"/>
    </x:row>
    <x:row r="489" ht="37" customHeight="1">
      <x:c r="A489" s="16" t="str">
        <x:v>OBS-0483</x:v>
      </x:c>
      <x:c r="B489" s="17" t="str">
        <x:v>是</x:v>
      </x:c>
      <x:c r="C489" s="17" t="str">
        <x:v>Right hand side fence facing the pool entrance.</x:v>
      </x:c>
      <x:c r="D489" s="17" t="str">
        <x:v>Fence</x:v>
      </x:c>
      <x:c r="E489" s="19" t="n">
        <x:v>1</x:v>
      </x:c>
      <x:c r="F489" s="19" t="n">
        <x:v>1</x:v>
      </x:c>
      <x:c r="G489" s="16" t="str"/>
      <x:c r="H489" s="16" t="str">
        <x:v>SRC-092</x:v>
      </x:c>
      <x:c r="I489" s="17" t="str"/>
    </x:row>
    <x:row r="490" ht="37" customHeight="1">
      <x:c r="A490" s="16" t="str">
        <x:v>OBS-0484</x:v>
      </x:c>
      <x:c r="B490" s="17" t="str">
        <x:v>是</x:v>
      </x:c>
      <x:c r="C490" s="17" t="str">
        <x:v>Right hand side fence posts have minor corrosion.</x:v>
      </x:c>
      <x:c r="D490" s="17" t="str">
        <x:v>Fencing posts</x:v>
      </x:c>
      <x:c r="E490" s="19" t="n">
        <x:v>1</x:v>
      </x:c>
      <x:c r="F490" s="19" t="n">
        <x:v>1</x:v>
      </x:c>
      <x:c r="G490" s="16" t="str"/>
      <x:c r="H490" s="16" t="str">
        <x:v>SRC-048</x:v>
      </x:c>
      <x:c r="I490" s="17" t="str"/>
    </x:row>
    <x:row r="491" ht="37" customHeight="1">
      <x:c r="A491" s="16" t="str">
        <x:v>OBS-0485</x:v>
      </x:c>
      <x:c r="B491" s="17" t="str">
        <x:v>是</x:v>
      </x:c>
      <x:c r="C491" s="17" t="str">
        <x:v>Right hand side gate facing front entrance. Minor corrosion on post baseplate.</x:v>
      </x:c>
      <x:c r="D491" s="17" t="str">
        <x:v>Fencing/gate posts</x:v>
      </x:c>
      <x:c r="E491" s="19" t="n">
        <x:v>1</x:v>
      </x:c>
      <x:c r="F491" s="19" t="n">
        <x:v>1</x:v>
      </x:c>
      <x:c r="G491" s="16" t="str"/>
      <x:c r="H491" s="16" t="str">
        <x:v>SRC-008</x:v>
      </x:c>
      <x:c r="I491" s="17" t="str"/>
    </x:row>
    <x:row r="492" ht="41" customHeight="1">
      <x:c r="A492" s="16" t="str">
        <x:v>OBS-0486</x:v>
      </x:c>
      <x:c r="B492" s="17" t="str">
        <x:v>是</x:v>
      </x:c>
      <x:c r="C492" s="17" t="str">
        <x:v>Right hand side gate facing the front entrance. Minor corrosion to full length of column.</x:v>
      </x:c>
      <x:c r="D492" s="17" t="str">
        <x:v>Fencing posts</x:v>
      </x:c>
      <x:c r="E492" s="19" t="n">
        <x:v>1</x:v>
      </x:c>
      <x:c r="F492" s="19" t="n">
        <x:v>1</x:v>
      </x:c>
      <x:c r="G492" s="16" t="str">
        <x:v>MRG-0155</x:v>
      </x:c>
      <x:c r="H492" s="16" t="str">
        <x:v>SRC-059</x:v>
      </x:c>
      <x:c r="I492" s="17" t="str"/>
    </x:row>
    <x:row r="493" ht="41" customHeight="1">
      <x:c r="A493" s="16" t="str">
        <x:v>OBS-0487</x:v>
      </x:c>
      <x:c r="B493" s="17" t="str">
        <x:v>是</x:v>
      </x:c>
      <x:c r="C493" s="17" t="str">
        <x:v>Right hand side of back balcony facing front entrance. Spalling and exposed reinforcement.</x:v>
      </x:c>
      <x:c r="D493" s="17" t="str">
        <x:v>Concrete slab</x:v>
      </x:c>
      <x:c r="E493" s="19" t="n">
        <x:v>1</x:v>
      </x:c>
      <x:c r="F493" s="19" t="n">
        <x:v>1</x:v>
      </x:c>
      <x:c r="G493" s="16" t="str">
        <x:v>MRG-0117, MRG-0173, MRG-0278</x:v>
      </x:c>
      <x:c r="H493" s="16" t="str">
        <x:v>SRC-096</x:v>
      </x:c>
      <x:c r="I493" s="17" t="str"/>
    </x:row>
    <x:row r="494" ht="41" customHeight="1">
      <x:c r="A494" s="16" t="str">
        <x:v>OBS-0488</x:v>
      </x:c>
      <x:c r="B494" s="17" t="str">
        <x:v>是</x:v>
      </x:c>
      <x:c r="C494" s="17" t="str">
        <x:v>Right hand side of back balcony facing front entrance. Spalling and exposed reinforcement. This is a typical issue.</x:v>
      </x:c>
      <x:c r="D494" s="17" t="str">
        <x:v>Concrete slab</x:v>
      </x:c>
      <x:c r="E494" s="19" t="n">
        <x:v>1</x:v>
      </x:c>
      <x:c r="F494" s="19" t="n">
        <x:v>1</x:v>
      </x:c>
      <x:c r="G494" s="16" t="str">
        <x:v>MRG-0117</x:v>
      </x:c>
      <x:c r="H494" s="16" t="str">
        <x:v>SRC-096</x:v>
      </x:c>
      <x:c r="I494" s="17" t="str"/>
    </x:row>
    <x:row r="495" ht="37" customHeight="1">
      <x:c r="A495" s="16" t="str">
        <x:v>OBS-0489</x:v>
      </x:c>
      <x:c r="B495" s="17" t="str">
        <x:v>是</x:v>
      </x:c>
      <x:c r="C495" s="17" t="str">
        <x:v>Right hand side of front balcony facing front entrance.</x:v>
      </x:c>
      <x:c r="D495" s="17" t="str">
        <x:v>Concrete slab</x:v>
      </x:c>
      <x:c r="E495" s="19" t="n">
        <x:v>1</x:v>
      </x:c>
      <x:c r="F495" s="19" t="n">
        <x:v>1</x:v>
      </x:c>
      <x:c r="G495" s="16" t="str"/>
      <x:c r="H495" s="16" t="str">
        <x:v>SRC-096</x:v>
      </x:c>
      <x:c r="I495" s="17" t="str"/>
    </x:row>
    <x:row r="496" ht="41" customHeight="1">
      <x:c r="A496" s="16" t="str">
        <x:v>OBS-0490</x:v>
      </x:c>
      <x:c r="B496" s="17" t="str">
        <x:v>是</x:v>
      </x:c>
      <x:c r="C496" s="17" t="str">
        <x:v>Right hand side of house facing front entrance. Minor corrosion to rafters. Staining on wall cladding at bolted connection.</x:v>
      </x:c>
      <x:c r="D496" s="17" t="str">
        <x:v>Cladding and framing</x:v>
      </x:c>
      <x:c r="E496" s="19" t="n">
        <x:v>1</x:v>
      </x:c>
      <x:c r="F496" s="19" t="n">
        <x:v>1</x:v>
      </x:c>
      <x:c r="G496" s="16" t="str">
        <x:v>MRG-0091</x:v>
      </x:c>
      <x:c r="H496" s="16" t="str">
        <x:v>SRC-023</x:v>
      </x:c>
      <x:c r="I496" s="17" t="str"/>
    </x:row>
    <x:row r="497" ht="41" customHeight="1">
      <x:c r="A497" s="16" t="str">
        <x:v>OBS-0491</x:v>
      </x:c>
      <x:c r="B497" s="17" t="str">
        <x:v>是</x:v>
      </x:c>
      <x:c r="C497" s="17" t="str">
        <x:v>Right hand side of house facing the entrance. Minor corrosion of purlins and rafters.</x:v>
      </x:c>
      <x:c r="D497" s="17" t="str">
        <x:v>Carport verandah</x:v>
      </x:c>
      <x:c r="E497" s="19" t="n">
        <x:v>1</x:v>
      </x:c>
      <x:c r="F497" s="19" t="n">
        <x:v>1</x:v>
      </x:c>
      <x:c r="G497" s="16" t="str">
        <x:v>MRG-0032, MRG-0148, MRG-0166, MRG-0193, MRG-0272</x:v>
      </x:c>
      <x:c r="H497" s="16" t="str">
        <x:v>SRC-025</x:v>
      </x:c>
      <x:c r="I497" s="17" t="str"/>
    </x:row>
    <x:row r="498" ht="41" customHeight="1">
      <x:c r="A498" s="16" t="str">
        <x:v>OBS-0492</x:v>
      </x:c>
      <x:c r="B498" s="17" t="str">
        <x:v>是</x:v>
      </x:c>
      <x:c r="C498" s="17" t="str">
        <x:v>Right hand side of house facing the entrance. Minor corrosion of sheeting adjacent to verandah beam.</x:v>
      </x:c>
      <x:c r="D498" s="17" t="str">
        <x:v>Carport verandah</x:v>
      </x:c>
      <x:c r="E498" s="19" t="n">
        <x:v>1</x:v>
      </x:c>
      <x:c r="F498" s="19" t="n">
        <x:v>1</x:v>
      </x:c>
      <x:c r="G498" s="16" t="str"/>
      <x:c r="H498" s="16" t="str">
        <x:v>SRC-027</x:v>
      </x:c>
      <x:c r="I498" s="17" t="str"/>
    </x:row>
    <x:row r="499" ht="41" customHeight="1">
      <x:c r="A499" s="16" t="str">
        <x:v>OBS-0493</x:v>
      </x:c>
      <x:c r="B499" s="17" t="str">
        <x:v>是</x:v>
      </x:c>
      <x:c r="C499" s="17" t="str">
        <x:v>Right hand side of house facing the entrance. Minor corrosion of verandah beams and posts.</x:v>
      </x:c>
      <x:c r="D499" s="17" t="str">
        <x:v>Rafters and purlins</x:v>
      </x:c>
      <x:c r="E499" s="19" t="n">
        <x:v>1</x:v>
      </x:c>
      <x:c r="F499" s="19" t="n">
        <x:v>1</x:v>
      </x:c>
      <x:c r="G499" s="16" t="str">
        <x:v>MRG-0092, MRG-0098, MRG-0115, MRG-0148</x:v>
      </x:c>
      <x:c r="H499" s="16" t="str">
        <x:v>SRC-010</x:v>
      </x:c>
      <x:c r="I499" s="17" t="str"/>
    </x:row>
    <x:row r="500" ht="41" customHeight="1">
      <x:c r="A500" s="16" t="str">
        <x:v>OBS-0494</x:v>
      </x:c>
      <x:c r="B500" s="17" t="str">
        <x:v>是</x:v>
      </x:c>
      <x:c r="C500" s="17" t="str">
        <x:v>Right hand side of house facing the entrance. Minor corrosion of verandah column and beam.</x:v>
      </x:c>
      <x:c r="D500" s="17" t="str">
        <x:v>Rafters and purlins</x:v>
      </x:c>
      <x:c r="E500" s="19" t="n">
        <x:v>1</x:v>
      </x:c>
      <x:c r="F500" s="19" t="n">
        <x:v>1</x:v>
      </x:c>
      <x:c r="G500" s="16" t="str">
        <x:v>MRG-0092, MRG-0099, MRG-0116, MRG-0193</x:v>
      </x:c>
      <x:c r="H500" s="16" t="str">
        <x:v>SRC-010</x:v>
      </x:c>
      <x:c r="I500" s="17" t="str"/>
    </x:row>
    <x:row r="501" ht="41" customHeight="1">
      <x:c r="A501" s="16" t="str">
        <x:v>OBS-0495</x:v>
      </x:c>
      <x:c r="B501" s="17" t="str">
        <x:v>是</x:v>
      </x:c>
      <x:c r="C501" s="17" t="str">
        <x:v>Right hand side of house facing the entrance. Moderate corrosion of all structural elements.</x:v>
      </x:c>
      <x:c r="D501" s="17" t="str">
        <x:v>Carport verandah</x:v>
      </x:c>
      <x:c r="E501" s="19" t="n">
        <x:v>1</x:v>
      </x:c>
      <x:c r="F501" s="19" t="n">
        <x:v>1</x:v>
      </x:c>
      <x:c r="G501" s="16" t="str"/>
      <x:c r="H501" s="16" t="str">
        <x:v>SRC-023</x:v>
      </x:c>
      <x:c r="I501" s="17" t="str"/>
    </x:row>
    <x:row r="502" ht="41" customHeight="1">
      <x:c r="A502" s="16" t="str">
        <x:v>OBS-0496</x:v>
      </x:c>
      <x:c r="B502" s="17" t="str">
        <x:v>是</x:v>
      </x:c>
      <x:c r="C502" s="17" t="str">
        <x:v>Right hand side of house facing the entrance. Salt staining on purlins and rafters.</x:v>
      </x:c>
      <x:c r="D502" s="17" t="str">
        <x:v>Rafters and purlins</x:v>
      </x:c>
      <x:c r="E502" s="19" t="n">
        <x:v>1</x:v>
      </x:c>
      <x:c r="F502" s="19" t="n">
        <x:v>1</x:v>
      </x:c>
      <x:c r="G502" s="16" t="str">
        <x:v>MRG-0034, MRG-0166, MRG-0277</x:v>
      </x:c>
      <x:c r="H502" s="16" t="str">
        <x:v>SRC-053</x:v>
      </x:c>
      <x:c r="I502" s="17" t="str"/>
    </x:row>
    <x:row r="503" ht="41" customHeight="1">
      <x:c r="A503" s="16" t="str">
        <x:v>OBS-0497</x:v>
      </x:c>
      <x:c r="B503" s="17" t="str">
        <x:v>是</x:v>
      </x:c>
      <x:c r="C503" s="17" t="str">
        <x:v>Right hand side of house front window. Minor corrosion to rafters. Salt staining on wall cladding at bolted connection.</x:v>
      </x:c>
      <x:c r="D503" s="17" t="str">
        <x:v>Cladding and framing</x:v>
      </x:c>
      <x:c r="E503" s="19" t="n">
        <x:v>1</x:v>
      </x:c>
      <x:c r="F503" s="19" t="n">
        <x:v>1</x:v>
      </x:c>
      <x:c r="G503" s="16" t="str">
        <x:v>MRG-0091</x:v>
      </x:c>
      <x:c r="H503" s="16" t="str">
        <x:v>SRC-025</x:v>
      </x:c>
      <x:c r="I503" s="17" t="str"/>
    </x:row>
    <x:row r="504" ht="37" customHeight="1">
      <x:c r="A504" s="16" t="str">
        <x:v>OBS-0498</x:v>
      </x:c>
      <x:c r="B504" s="17" t="str">
        <x:v>是</x:v>
      </x:c>
      <x:c r="C504" s="17" t="str">
        <x:v>Right hand side of house. Minor corrosion around outlet pipe.</x:v>
      </x:c>
      <x:c r="D504" s="17" t="str">
        <x:v>Cladding and framing</x:v>
      </x:c>
      <x:c r="E504" s="19" t="n">
        <x:v>1</x:v>
      </x:c>
      <x:c r="F504" s="19" t="n">
        <x:v>1</x:v>
      </x:c>
      <x:c r="G504" s="16" t="str"/>
      <x:c r="H504" s="16" t="str">
        <x:v>SRC-013</x:v>
      </x:c>
      <x:c r="I504" s="17" t="str"/>
    </x:row>
    <x:row r="505" ht="41" customHeight="1">
      <x:c r="A505" s="16" t="str">
        <x:v>OBS-0499</x:v>
      </x:c>
      <x:c r="B505" s="17" t="str">
        <x:v>是</x:v>
      </x:c>
      <x:c r="C505" s="17" t="str">
        <x:v>Right hand side of pool. Minor corrosion at end of parallel flange channel joists.</x:v>
      </x:c>
      <x:c r="D505" s="17" t="str">
        <x:v>Pool support</x:v>
      </x:c>
      <x:c r="E505" s="19" t="n">
        <x:v>1</x:v>
      </x:c>
      <x:c r="F505" s="19" t="n">
        <x:v>1</x:v>
      </x:c>
      <x:c r="G505" s="16" t="str"/>
      <x:c r="H505" s="16" t="str">
        <x:v>SRC-013</x:v>
      </x:c>
      <x:c r="I505" s="17" t="str"/>
    </x:row>
    <x:row r="506" ht="37" customHeight="1">
      <x:c r="A506" s="16" t="str">
        <x:v>OBS-0500</x:v>
      </x:c>
      <x:c r="B506" s="17" t="str">
        <x:v>是</x:v>
      </x:c>
      <x:c r="C506" s="17" t="str">
        <x:v>Right hand side of property facing entrance. Corroded nail.</x:v>
      </x:c>
      <x:c r="D506" s="17" t="str">
        <x:v>Brickwork and framing</x:v>
      </x:c>
      <x:c r="E506" s="19" t="n">
        <x:v>1</x:v>
      </x:c>
      <x:c r="F506" s="19" t="n">
        <x:v>1</x:v>
      </x:c>
      <x:c r="G506" s="16" t="str"/>
      <x:c r="H506" s="16" t="str">
        <x:v>SRC-057</x:v>
      </x:c>
      <x:c r="I506" s="17" t="str"/>
    </x:row>
    <x:row r="507" ht="41" customHeight="1">
      <x:c r="A507" s="16" t="str">
        <x:v>OBS-0501</x:v>
      </x:c>
      <x:c r="B507" s="17" t="str">
        <x:v>是</x:v>
      </x:c>
      <x:c r="C507" s="17" t="str">
        <x:v>Right hand side of property facing entrance. Delamination of column due to corrosion.</x:v>
      </x:c>
      <x:c r="D507" s="17" t="str">
        <x:v>Internal column</x:v>
      </x:c>
      <x:c r="E507" s="19" t="n">
        <x:v>1</x:v>
      </x:c>
      <x:c r="F507" s="19" t="n">
        <x:v>1</x:v>
      </x:c>
      <x:c r="G507" s="16" t="str"/>
      <x:c r="H507" s="16" t="str">
        <x:v>SRC-057</x:v>
      </x:c>
      <x:c r="I507" s="17" t="str"/>
    </x:row>
    <x:row r="508" ht="41" customHeight="1">
      <x:c r="A508" s="16" t="str">
        <x:v>OBS-0502</x:v>
      </x:c>
      <x:c r="B508" s="17" t="str">
        <x:v>是</x:v>
      </x:c>
      <x:c r="C508" s="17" t="str">
        <x:v>Right hand side of property facing the front entrance. Minor corrosion of steel post.</x:v>
      </x:c>
      <x:c r="D508" s="17" t="str">
        <x:v>Fencing posts</x:v>
      </x:c>
      <x:c r="E508" s="19" t="n">
        <x:v>1</x:v>
      </x:c>
      <x:c r="F508" s="19" t="n">
        <x:v>1</x:v>
      </x:c>
      <x:c r="G508" s="16" t="str">
        <x:v>MRG-0033, MRG-0273</x:v>
      </x:c>
      <x:c r="H508" s="16" t="str">
        <x:v>SRC-054</x:v>
      </x:c>
      <x:c r="I508" s="17" t="str"/>
    </x:row>
    <x:row r="509" ht="41" customHeight="1">
      <x:c r="A509" s="16" t="str">
        <x:v>OBS-0503</x:v>
      </x:c>
      <x:c r="B509" s="17" t="str">
        <x:v>是</x:v>
      </x:c>
      <x:c r="C509" s="17" t="str">
        <x:v>Right hand side of property facing the front entrance. Paint deterioration and salt staining on purlins and rafters.</x:v>
      </x:c>
      <x:c r="D509" s="17" t="str">
        <x:v>Rafters and purlins</x:v>
      </x:c>
      <x:c r="E509" s="19" t="n">
        <x:v>1</x:v>
      </x:c>
      <x:c r="F509" s="19" t="n">
        <x:v>1</x:v>
      </x:c>
      <x:c r="G509" s="16" t="str">
        <x:v>MRG-0052, MRG-0275</x:v>
      </x:c>
      <x:c r="H509" s="16" t="str">
        <x:v>SRC-054</x:v>
      </x:c>
      <x:c r="I509" s="17" t="str"/>
    </x:row>
    <x:row r="510" ht="41" customHeight="1">
      <x:c r="A510" s="16" t="str">
        <x:v>OBS-0504</x:v>
      </x:c>
      <x:c r="B510" s="17" t="str">
        <x:v>是</x:v>
      </x:c>
      <x:c r="C510" s="17" t="str">
        <x:v>Right hand side of property facing the front entrance. Water pooling at low point causing fence to corrode.</x:v>
      </x:c>
      <x:c r="D510" s="17" t="str">
        <x:v>Fencing</x:v>
      </x:c>
      <x:c r="E510" s="19" t="n">
        <x:v>1</x:v>
      </x:c>
      <x:c r="F510" s="19" t="n">
        <x:v>1</x:v>
      </x:c>
      <x:c r="G510" s="16" t="str"/>
      <x:c r="H510" s="16" t="str">
        <x:v>SRC-054</x:v>
      </x:c>
      <x:c r="I510" s="17" t="str"/>
    </x:row>
    <x:row r="511" ht="37" customHeight="1">
      <x:c r="A511" s="16" t="str">
        <x:v>OBS-0505</x:v>
      </x:c>
      <x:c r="B511" s="17" t="str">
        <x:v>是</x:v>
      </x:c>
      <x:c r="C511" s="17" t="str">
        <x:v>Right hand side of property. Cladding and framing in good condition.</x:v>
      </x:c>
      <x:c r="D511" s="17" t="str">
        <x:v>Cladding and framing</x:v>
      </x:c>
      <x:c r="E511" s="19" t="n">
        <x:v>1</x:v>
      </x:c>
      <x:c r="F511" s="19" t="n">
        <x:v>1</x:v>
      </x:c>
      <x:c r="G511" s="16" t="str">
        <x:v>MRG-0089, MRG-0142, MRG-0157, MRG-0267</x:v>
      </x:c>
      <x:c r="H511" s="16" t="str">
        <x:v>SRC-002</x:v>
      </x:c>
      <x:c r="I511" s="17" t="str"/>
    </x:row>
    <x:row r="512" ht="37" customHeight="1">
      <x:c r="A512" s="16" t="str">
        <x:v>OBS-0506</x:v>
      </x:c>
      <x:c r="B512" s="17" t="str">
        <x:v>是</x:v>
      </x:c>
      <x:c r="C512" s="17" t="str">
        <x:v>Right hand side of property. Cladding in good condition.</x:v>
      </x:c>
      <x:c r="D512" s="17" t="str">
        <x:v>Cladding and framing</x:v>
      </x:c>
      <x:c r="E512" s="19" t="n">
        <x:v>1</x:v>
      </x:c>
      <x:c r="F512" s="19" t="n">
        <x:v>1</x:v>
      </x:c>
      <x:c r="G512" s="16" t="str">
        <x:v>MRG-0089</x:v>
      </x:c>
      <x:c r="H512" s="16" t="str">
        <x:v>SRC-001</x:v>
      </x:c>
      <x:c r="I512" s="17" t="str"/>
    </x:row>
    <x:row r="513" ht="41" customHeight="1">
      <x:c r="A513" s="16" t="str">
        <x:v>OBS-0507</x:v>
      </x:c>
      <x:c r="B513" s="17" t="str">
        <x:v>是</x:v>
      </x:c>
      <x:c r="C513" s="17" t="str">
        <x:v>Right hand side roof overhang facing front entrance. Paint deterioration and salt staining on purlins and rafters.</x:v>
      </x:c>
      <x:c r="D513" s="17" t="str">
        <x:v>Purlins and rafters</x:v>
      </x:c>
      <x:c r="E513" s="19" t="n">
        <x:v>1</x:v>
      </x:c>
      <x:c r="F513" s="19" t="n">
        <x:v>1</x:v>
      </x:c>
      <x:c r="G513" s="16" t="str">
        <x:v>MRG-0052, MRG-0073, MRG-0275</x:v>
      </x:c>
      <x:c r="H513" s="16" t="str">
        <x:v>SRC-009</x:v>
      </x:c>
      <x:c r="I513" s="17" t="str"/>
    </x:row>
    <x:row r="514" ht="41" customHeight="1">
      <x:c r="A514" s="16" t="str">
        <x:v>OBS-0508</x:v>
      </x:c>
      <x:c r="B514" s="17" t="str">
        <x:v>是</x:v>
      </x:c>
      <x:c r="C514" s="17" t="str">
        <x:v>Right hand side roof overhang facing front entrance. Paint deterioration on purlins and rafters.</x:v>
      </x:c>
      <x:c r="D514" s="17" t="str">
        <x:v>Purlins and rafters</x:v>
      </x:c>
      <x:c r="E514" s="19" t="n">
        <x:v>1</x:v>
      </x:c>
      <x:c r="F514" s="19" t="n">
        <x:v>1</x:v>
      </x:c>
      <x:c r="G514" s="16" t="str">
        <x:v>MRG-0073</x:v>
      </x:c>
      <x:c r="H514" s="16" t="str">
        <x:v>SRC-009</x:v>
      </x:c>
      <x:c r="I514" s="17" t="str"/>
    </x:row>
    <x:row r="515" ht="37" customHeight="1">
      <x:c r="A515" s="16" t="str">
        <x:v>OBS-0509</x:v>
      </x:c>
      <x:c r="B515" s="17" t="str">
        <x:v>是</x:v>
      </x:c>
      <x:c r="C515" s="17" t="str">
        <x:v>Right hand side staircase. Minor cracking at joint.</x:v>
      </x:c>
      <x:c r="D515" s="17" t="str">
        <x:v>Concrete staircase</x:v>
      </x:c>
      <x:c r="E515" s="19" t="n">
        <x:v>1</x:v>
      </x:c>
      <x:c r="F515" s="19" t="n">
        <x:v>1</x:v>
      </x:c>
      <x:c r="G515" s="16" t="str">
        <x:v>MRG-0058, MRG-0274</x:v>
      </x:c>
      <x:c r="H515" s="16" t="str">
        <x:v>SRC-096</x:v>
      </x:c>
      <x:c r="I515" s="17" t="str"/>
    </x:row>
    <x:row r="516" ht="41" customHeight="1">
      <x:c r="A516" s="16" t="str">
        <x:v>OBS-0510</x:v>
      </x:c>
      <x:c r="B516" s="17" t="str">
        <x:v>是</x:v>
      </x:c>
      <x:c r="C516" s="17" t="str">
        <x:v>Right hand side wall cladding facing front entrance in good condition. Salt staining</x:v>
      </x:c>
      <x:c r="D516" s="17" t="str">
        <x:v>Cladding and framing</x:v>
      </x:c>
      <x:c r="E516" s="19" t="n">
        <x:v>1</x:v>
      </x:c>
      <x:c r="F516" s="19" t="n">
        <x:v>1</x:v>
      </x:c>
      <x:c r="G516" s="16" t="str">
        <x:v>MRG-0156</x:v>
      </x:c>
      <x:c r="H516" s="16" t="str">
        <x:v>SRC-058</x:v>
      </x:c>
      <x:c r="I516" s="17" t="str"/>
    </x:row>
    <x:row r="517" ht="41" customHeight="1">
      <x:c r="A517" s="16" t="str">
        <x:v>OBS-0511</x:v>
      </x:c>
      <x:c r="B517" s="17" t="str">
        <x:v>是</x:v>
      </x:c>
      <x:c r="C517" s="17" t="str">
        <x:v>Right-hand side corner facing back wall of house. Tek screws and flange of top-hat corroded away.</x:v>
      </x:c>
      <x:c r="D517" s="17" t="str">
        <x:v>Top hats and Tek screws</x:v>
      </x:c>
      <x:c r="E517" s="19" t="n">
        <x:v>1</x:v>
      </x:c>
      <x:c r="F517" s="19" t="n">
        <x:v>1</x:v>
      </x:c>
      <x:c r="G517" s="16" t="str">
        <x:v>MRG-0190, MRG-0279</x:v>
      </x:c>
      <x:c r="H517" s="16" t="str">
        <x:v>SRC-015</x:v>
      </x:c>
      <x:c r="I517" s="17" t="str"/>
    </x:row>
    <x:row r="518" ht="37" customHeight="1">
      <x:c r="A518" s="16" t="str">
        <x:v>OBS-0512</x:v>
      </x:c>
      <x:c r="B518" s="17" t="str">
        <x:v>是</x:v>
      </x:c>
      <x:c r="C518" s="17" t="str">
        <x:v>Roof and wall cladding in good condition.</x:v>
      </x:c>
      <x:c r="D518" s="17" t="str">
        <x:v>Cladding and framing</x:v>
      </x:c>
      <x:c r="E518" s="19" t="n">
        <x:v>1</x:v>
      </x:c>
      <x:c r="F518" s="19" t="n">
        <x:v>1</x:v>
      </x:c>
      <x:c r="G518" s="16" t="str">
        <x:v>MRG-0081, MRG-0144</x:v>
      </x:c>
      <x:c r="H518" s="16" t="str">
        <x:v>SRC-025</x:v>
      </x:c>
      <x:c r="I518" s="17" t="str"/>
    </x:row>
    <x:row r="519" ht="37" customHeight="1">
      <x:c r="A519" s="16" t="str">
        <x:v>OBS-0513</x:v>
      </x:c>
      <x:c r="B519" s="17" t="str">
        <x:v>是</x:v>
      </x:c>
      <x:c r="C519" s="17" t="str">
        <x:v>Roof deformed and detached from purlin.</x:v>
      </x:c>
      <x:c r="D519" s="17" t="str">
        <x:v>Multipurpose Building verandah</x:v>
      </x:c>
      <x:c r="E519" s="19" t="n">
        <x:v>1</x:v>
      </x:c>
      <x:c r="F519" s="19" t="n">
        <x:v>1</x:v>
      </x:c>
      <x:c r="G519" s="16" t="str"/>
      <x:c r="H519" s="16" t="str">
        <x:v>SRC-063</x:v>
      </x:c>
      <x:c r="I519" s="17" t="str"/>
    </x:row>
    <x:row r="520" ht="37" customHeight="1">
      <x:c r="A520" s="16" t="str">
        <x:v>OBS-0514</x:v>
      </x:c>
      <x:c r="B520" s="17" t="str">
        <x:v>是</x:v>
      </x:c>
      <x:c r="C520" s="17" t="str">
        <x:v>Roof sheeting has been locally damaged.</x:v>
      </x:c>
      <x:c r="D520" s="17" t="str">
        <x:v>Roof sheeting</x:v>
      </x:c>
      <x:c r="E520" s="19" t="n">
        <x:v>1</x:v>
      </x:c>
      <x:c r="F520" s="19" t="n">
        <x:v>1</x:v>
      </x:c>
      <x:c r="G520" s="16" t="str"/>
      <x:c r="H520" s="16" t="str">
        <x:v>SRC-029</x:v>
      </x:c>
      <x:c r="I520" s="17" t="str"/>
    </x:row>
    <x:row r="521" ht="37" customHeight="1">
      <x:c r="A521" s="16" t="str">
        <x:v>OBS-0515</x:v>
      </x:c>
      <x:c r="B521" s="17" t="str">
        <x:v>是</x:v>
      </x:c>
      <x:c r="C521" s="17" t="str">
        <x:v>Roof structure in good condition when compared to dragonfly structures.</x:v>
      </x:c>
      <x:c r="D521" s="17" t="str">
        <x:v>Shade structure</x:v>
      </x:c>
      <x:c r="E521" s="19" t="n">
        <x:v>1</x:v>
      </x:c>
      <x:c r="F521" s="19" t="n">
        <x:v>1</x:v>
      </x:c>
      <x:c r="G521" s="16" t="str"/>
      <x:c r="H521" s="16" t="str">
        <x:v>SRC-080</x:v>
      </x:c>
      <x:c r="I521" s="17" t="str"/>
    </x:row>
    <x:row r="522" ht="37" customHeight="1">
      <x:c r="A522" s="16" t="str">
        <x:v>OBS-0516</x:v>
      </x:c>
      <x:c r="B522" s="17" t="str">
        <x:v>是</x:v>
      </x:c>
      <x:c r="C522" s="17" t="str">
        <x:v>Row 1 Column 1 corrosion to the lower portion of column.</x:v>
      </x:c>
      <x:c r="D522" s="17" t="str">
        <x:v>Columns</x:v>
      </x:c>
      <x:c r="E522" s="19" t="n">
        <x:v>1</x:v>
      </x:c>
      <x:c r="F522" s="19" t="n">
        <x:v>1</x:v>
      </x:c>
      <x:c r="G522" s="16" t="str">
        <x:v>MRG-0096, MRG-0126</x:v>
      </x:c>
      <x:c r="H522" s="16" t="str">
        <x:v>SRC-010</x:v>
      </x:c>
      <x:c r="I522" s="17" t="str"/>
    </x:row>
    <x:row r="523" ht="37" customHeight="1">
      <x:c r="A523" s="16" t="str">
        <x:v>OBS-0517</x:v>
      </x:c>
      <x:c r="B523" s="17" t="str">
        <x:v>是</x:v>
      </x:c>
      <x:c r="C523" s="17" t="str">
        <x:v>Row 1 Column 1 in good condition. Re-entry cracking at column corner.</x:v>
      </x:c>
      <x:c r="D523" s="17" t="str">
        <x:v>Columns</x:v>
      </x:c>
      <x:c r="E523" s="19" t="n">
        <x:v>1</x:v>
      </x:c>
      <x:c r="F523" s="19" t="n">
        <x:v>1</x:v>
      </x:c>
      <x:c r="G523" s="16" t="str"/>
      <x:c r="H523" s="16" t="str">
        <x:v>SRC-023</x:v>
      </x:c>
      <x:c r="I523" s="17" t="str"/>
    </x:row>
    <x:row r="524" ht="37" customHeight="1">
      <x:c r="A524" s="16" t="str">
        <x:v>OBS-0518</x:v>
      </x:c>
      <x:c r="B524" s="17" t="str">
        <x:v>是</x:v>
      </x:c>
      <x:c r="C524" s="17" t="str">
        <x:v>Row 1 Column 1,2 and 3. Corrosion delamination at connections.</x:v>
      </x:c>
      <x:c r="D524" s="17" t="str">
        <x:v>Frame connections</x:v>
      </x:c>
      <x:c r="E524" s="19" t="n">
        <x:v>1</x:v>
      </x:c>
      <x:c r="F524" s="19" t="n">
        <x:v>1</x:v>
      </x:c>
      <x:c r="G524" s="16" t="str"/>
      <x:c r="H524" s="16" t="str">
        <x:v>SRC-100</x:v>
      </x:c>
      <x:c r="I524" s="17" t="str"/>
    </x:row>
    <x:row r="525" ht="37" customHeight="1">
      <x:c r="A525" s="16" t="str">
        <x:v>OBS-0519</x:v>
      </x:c>
      <x:c r="B525" s="17" t="str">
        <x:v>是</x:v>
      </x:c>
      <x:c r="C525" s="17" t="str">
        <x:v>Row 1 Column 1. Column in good condition.</x:v>
      </x:c>
      <x:c r="D525" s="17" t="str">
        <x:v>Columns</x:v>
      </x:c>
      <x:c r="E525" s="19" t="n">
        <x:v>1</x:v>
      </x:c>
      <x:c r="F525" s="19" t="n">
        <x:v>1</x:v>
      </x:c>
      <x:c r="G525" s="16" t="str">
        <x:v>MRG-0131</x:v>
      </x:c>
      <x:c r="H525" s="16" t="str">
        <x:v>SRC-055</x:v>
      </x:c>
      <x:c r="I525" s="17" t="str"/>
    </x:row>
    <x:row r="526" ht="37" customHeight="1">
      <x:c r="A526" s="16" t="str">
        <x:v>OBS-0520</x:v>
      </x:c>
      <x:c r="B526" s="17" t="str">
        <x:v>是</x:v>
      </x:c>
      <x:c r="C526" s="17" t="str">
        <x:v>Row 1 Column 1. Footing cracking at column.</x:v>
      </x:c>
      <x:c r="D526" s="17" t="str">
        <x:v>Standalone verandah</x:v>
      </x:c>
      <x:c r="E526" s="19" t="n">
        <x:v>1</x:v>
      </x:c>
      <x:c r="F526" s="19" t="n">
        <x:v>1</x:v>
      </x:c>
      <x:c r="G526" s="16" t="str"/>
      <x:c r="H526" s="16" t="str">
        <x:v>SRC-063</x:v>
      </x:c>
      <x:c r="I526" s="17" t="str"/>
    </x:row>
    <x:row r="527" ht="37" customHeight="1">
      <x:c r="A527" s="16" t="str">
        <x:v>OBS-0521</x:v>
      </x:c>
      <x:c r="B527" s="17" t="str">
        <x:v>是</x:v>
      </x:c>
      <x:c r="C527" s="17" t="str">
        <x:v>Row 1 Column 1. Minor corrosion at lower portion of column.</x:v>
      </x:c>
      <x:c r="D527" s="17" t="str">
        <x:v>Columns</x:v>
      </x:c>
      <x:c r="E527" s="19" t="n">
        <x:v>1</x:v>
      </x:c>
      <x:c r="F527" s="19" t="n">
        <x:v>1</x:v>
      </x:c>
      <x:c r="G527" s="16" t="str">
        <x:v>MRG-0016, MRG-0096, MRG-0183</x:v>
      </x:c>
      <x:c r="H527" s="16" t="str">
        <x:v>SRC-059</x:v>
      </x:c>
      <x:c r="I527" s="17" t="str"/>
    </x:row>
    <x:row r="528" ht="37" customHeight="1">
      <x:c r="A528" s="16" t="str">
        <x:v>OBS-0522</x:v>
      </x:c>
      <x:c r="B528" s="17" t="str">
        <x:v>是</x:v>
      </x:c>
      <x:c r="C528" s="17" t="str">
        <x:v>Row 1 Column 2 in good condition.</x:v>
      </x:c>
      <x:c r="D528" s="17" t="str">
        <x:v>Columns</x:v>
      </x:c>
      <x:c r="E528" s="19" t="n">
        <x:v>1</x:v>
      </x:c>
      <x:c r="F528" s="19" t="n">
        <x:v>1</x:v>
      </x:c>
      <x:c r="G528" s="16" t="str">
        <x:v>MRG-0131</x:v>
      </x:c>
      <x:c r="H528" s="16" t="str">
        <x:v>SRC-010</x:v>
      </x:c>
      <x:c r="I528" s="17" t="str"/>
    </x:row>
    <x:row r="529" ht="37" customHeight="1">
      <x:c r="A529" s="16" t="str">
        <x:v>OBS-0523</x:v>
      </x:c>
      <x:c r="B529" s="17" t="str">
        <x:v>是</x:v>
      </x:c>
      <x:c r="C529" s="17" t="str">
        <x:v>Row 1 Column 2. Minor corrosion and salt staining at lower portion of column.</x:v>
      </x:c>
      <x:c r="D529" s="17" t="str">
        <x:v>Columns</x:v>
      </x:c>
      <x:c r="E529" s="19" t="n">
        <x:v>1</x:v>
      </x:c>
      <x:c r="F529" s="19" t="n">
        <x:v>1</x:v>
      </x:c>
      <x:c r="G529" s="16" t="str">
        <x:v>MRG-0006, MRG-0150, MRG-0183</x:v>
      </x:c>
      <x:c r="H529" s="16" t="str">
        <x:v>SRC-059</x:v>
      </x:c>
      <x:c r="I529" s="17" t="str"/>
    </x:row>
    <x:row r="530" ht="37" customHeight="1">
      <x:c r="A530" s="16" t="str">
        <x:v>OBS-0524</x:v>
      </x:c>
      <x:c r="B530" s="17" t="str">
        <x:v>是</x:v>
      </x:c>
      <x:c r="C530" s="17" t="str">
        <x:v>Row 1 Column 2. Minor corrosion at lower portion of column.</x:v>
      </x:c>
      <x:c r="D530" s="17" t="str">
        <x:v>Columns</x:v>
      </x:c>
      <x:c r="E530" s="19" t="n">
        <x:v>1</x:v>
      </x:c>
      <x:c r="F530" s="19" t="n">
        <x:v>1</x:v>
      </x:c>
      <x:c r="G530" s="16" t="str">
        <x:v>MRG-0016, MRG-0126, MRG-0150, MRG-0184</x:v>
      </x:c>
      <x:c r="H530" s="16" t="str">
        <x:v>SRC-055</x:v>
      </x:c>
      <x:c r="I530" s="17" t="str"/>
    </x:row>
    <x:row r="531" ht="37" customHeight="1">
      <x:c r="A531" s="16" t="str">
        <x:v>OBS-0525</x:v>
      </x:c>
      <x:c r="B531" s="17" t="str">
        <x:v>是</x:v>
      </x:c>
      <x:c r="C531" s="17" t="str">
        <x:v>Row 1 Column 2. Minor delamination at lower section of column.</x:v>
      </x:c>
      <x:c r="D531" s="17" t="str">
        <x:v>Columns</x:v>
      </x:c>
      <x:c r="E531" s="19" t="n">
        <x:v>1</x:v>
      </x:c>
      <x:c r="F531" s="19" t="n">
        <x:v>1</x:v>
      </x:c>
      <x:c r="G531" s="16" t="str"/>
      <x:c r="H531" s="16" t="str">
        <x:v>SRC-057</x:v>
      </x:c>
      <x:c r="I531" s="17" t="str"/>
    </x:row>
    <x:row r="532" ht="41" customHeight="1">
      <x:c r="A532" s="16" t="str">
        <x:v>OBS-0526</x:v>
      </x:c>
      <x:c r="B532" s="17" t="str">
        <x:v>是</x:v>
      </x:c>
      <x:c r="C532" s="17" t="str">
        <x:v>Row 1 column 2. Most significant corrosion when compared to other columns. Multiple holes through the column from the bottom to the top.</x:v>
      </x:c>
      <x:c r="D532" s="17" t="str">
        <x:v>Steel frame columns</x:v>
      </x:c>
      <x:c r="E532" s="19" t="n">
        <x:v>1</x:v>
      </x:c>
      <x:c r="F532" s="19" t="n">
        <x:v>1</x:v>
      </x:c>
      <x:c r="G532" s="16" t="str"/>
      <x:c r="H532" s="16" t="str">
        <x:v>SRC-100</x:v>
      </x:c>
      <x:c r="I532" s="17" t="str"/>
    </x:row>
    <x:row r="533" ht="37" customHeight="1">
      <x:c r="A533" s="16" t="str">
        <x:v>OBS-0527</x:v>
      </x:c>
      <x:c r="B533" s="17" t="str">
        <x:v>是</x:v>
      </x:c>
      <x:c r="C533" s="17" t="str">
        <x:v>Row 2 Column 1. Minor corrosion of bolt and washer.</x:v>
      </x:c>
      <x:c r="D533" s="17" t="str">
        <x:v>Shade structure 1</x:v>
      </x:c>
      <x:c r="E533" s="19" t="n">
        <x:v>1</x:v>
      </x:c>
      <x:c r="F533" s="19" t="n">
        <x:v>1</x:v>
      </x:c>
      <x:c r="G533" s="16" t="str">
        <x:v>MRG-0019, MRG-0020</x:v>
      </x:c>
      <x:c r="H533" s="16" t="str">
        <x:v>SRC-063</x:v>
      </x:c>
      <x:c r="I533" s="17" t="str"/>
    </x:row>
    <x:row r="534" ht="37" customHeight="1">
      <x:c r="A534" s="16" t="str">
        <x:v>OBS-0528</x:v>
      </x:c>
      <x:c r="B534" s="17" t="str">
        <x:v>是</x:v>
      </x:c>
      <x:c r="C534" s="17" t="str">
        <x:v>Row 2 Column 2. Hole in column.</x:v>
      </x:c>
      <x:c r="D534" s="17" t="str">
        <x:v>Columns</x:v>
      </x:c>
      <x:c r="E534" s="19" t="n">
        <x:v>1</x:v>
      </x:c>
      <x:c r="F534" s="19" t="n">
        <x:v>1</x:v>
      </x:c>
      <x:c r="G534" s="16" t="str"/>
      <x:c r="H534" s="16" t="str">
        <x:v>SRC-057</x:v>
      </x:c>
      <x:c r="I534" s="17" t="str"/>
    </x:row>
    <x:row r="535" ht="37" customHeight="1">
      <x:c r="A535" s="16" t="str">
        <x:v>OBS-0529</x:v>
      </x:c>
      <x:c r="B535" s="17" t="str">
        <x:v>是</x:v>
      </x:c>
      <x:c r="C535" s="17" t="str">
        <x:v>Row 2 Column 2. Minor corrosion and salt staining at lower portion of column.</x:v>
      </x:c>
      <x:c r="D535" s="17" t="str">
        <x:v>Columns</x:v>
      </x:c>
      <x:c r="E535" s="19" t="n">
        <x:v>1</x:v>
      </x:c>
      <x:c r="F535" s="19" t="n">
        <x:v>1</x:v>
      </x:c>
      <x:c r="G535" s="16" t="str">
        <x:v>MRG-0006, MRG-0184</x:v>
      </x:c>
      <x:c r="H535" s="16" t="str">
        <x:v>SRC-055</x:v>
      </x:c>
      <x:c r="I535" s="17" t="str"/>
    </x:row>
    <x:row r="536" ht="37" customHeight="1">
      <x:c r="A536" s="16" t="str">
        <x:v>OBS-0530</x:v>
      </x:c>
      <x:c r="B536" s="17" t="str">
        <x:v>是</x:v>
      </x:c>
      <x:c r="C536" s="17" t="str">
        <x:v>Row 2 Column 2. Minor surface corrosion of column.</x:v>
      </x:c>
      <x:c r="D536" s="17" t="str">
        <x:v>Columns</x:v>
      </x:c>
      <x:c r="E536" s="19" t="n">
        <x:v>1</x:v>
      </x:c>
      <x:c r="F536" s="19" t="n">
        <x:v>1</x:v>
      </x:c>
      <x:c r="G536" s="16" t="str"/>
      <x:c r="H536" s="16" t="str">
        <x:v>SRC-055</x:v>
      </x:c>
      <x:c r="I536" s="17" t="str"/>
    </x:row>
    <x:row r="537" ht="37" customHeight="1">
      <x:c r="A537" s="16" t="str">
        <x:v>OBS-0531</x:v>
      </x:c>
      <x:c r="B537" s="17" t="str">
        <x:v>是</x:v>
      </x:c>
      <x:c r="C537" s="17" t="str">
        <x:v>Row 2 Columns 1 and 2.</x:v>
      </x:c>
      <x:c r="D537" s="17" t="str">
        <x:v>Frame connections</x:v>
      </x:c>
      <x:c r="E537" s="19" t="n">
        <x:v>1</x:v>
      </x:c>
      <x:c r="F537" s="19" t="n">
        <x:v>1</x:v>
      </x:c>
      <x:c r="G537" s="16" t="str"/>
      <x:c r="H537" s="16" t="str">
        <x:v>SRC-100</x:v>
      </x:c>
      <x:c r="I537" s="17" t="str"/>
    </x:row>
    <x:row r="538" ht="37" customHeight="1">
      <x:c r="A538" s="16" t="str">
        <x:v>OBS-0532</x:v>
      </x:c>
      <x:c r="B538" s="17" t="str">
        <x:v>是</x:v>
      </x:c>
      <x:c r="C538" s="17" t="str">
        <x:v>Row 2 column 1. Blistering corrosion and small holes towards the lower section.</x:v>
      </x:c>
      <x:c r="D538" s="17" t="str">
        <x:v>Steel frame columns</x:v>
      </x:c>
      <x:c r="E538" s="19" t="n">
        <x:v>1</x:v>
      </x:c>
      <x:c r="F538" s="19" t="n">
        <x:v>1</x:v>
      </x:c>
      <x:c r="G538" s="16" t="str"/>
      <x:c r="H538" s="16" t="str">
        <x:v>SRC-100</x:v>
      </x:c>
      <x:c r="I538" s="17" t="str"/>
    </x:row>
    <x:row r="539" ht="37" customHeight="1">
      <x:c r="A539" s="16" t="str">
        <x:v>OBS-0533</x:v>
      </x:c>
      <x:c r="B539" s="17" t="str">
        <x:v>是</x:v>
      </x:c>
      <x:c r="C539" s="17" t="str">
        <x:v>Row 2 column 3. Corrosion and small holes.</x:v>
      </x:c>
      <x:c r="D539" s="17" t="str">
        <x:v>Steel frame columns</x:v>
      </x:c>
      <x:c r="E539" s="19" t="n">
        <x:v>1</x:v>
      </x:c>
      <x:c r="F539" s="19" t="n">
        <x:v>1</x:v>
      </x:c>
      <x:c r="G539" s="16" t="str"/>
      <x:c r="H539" s="16" t="str">
        <x:v>SRC-100</x:v>
      </x:c>
      <x:c r="I539" s="17" t="str"/>
    </x:row>
    <x:row r="540" ht="37" customHeight="1">
      <x:c r="A540" s="16" t="str">
        <x:v>OBS-0534</x:v>
      </x:c>
      <x:c r="B540" s="17" t="str">
        <x:v>是</x:v>
      </x:c>
      <x:c r="C540" s="17" t="str">
        <x:v>Row 3 Column 1. Blistering corrosion and holes.</x:v>
      </x:c>
      <x:c r="D540" s="17" t="str">
        <x:v>Steel frame columns</x:v>
      </x:c>
      <x:c r="E540" s="19" t="n">
        <x:v>1</x:v>
      </x:c>
      <x:c r="F540" s="19" t="n">
        <x:v>1</x:v>
      </x:c>
      <x:c r="G540" s="16" t="str">
        <x:v>MRG-0035, MRG-0036</x:v>
      </x:c>
      <x:c r="H540" s="16" t="str">
        <x:v>SRC-100</x:v>
      </x:c>
      <x:c r="I540" s="17" t="str"/>
    </x:row>
    <x:row r="541" ht="37" customHeight="1">
      <x:c r="A541" s="16" t="str">
        <x:v>OBS-0535</x:v>
      </x:c>
      <x:c r="B541" s="17" t="str">
        <x:v>是</x:v>
      </x:c>
      <x:c r="C541" s="17" t="str">
        <x:v>Row 3 Column 1. Minor corrosion of bolt and washer.</x:v>
      </x:c>
      <x:c r="D541" s="17" t="str">
        <x:v>Shade structure 1</x:v>
      </x:c>
      <x:c r="E541" s="19" t="n">
        <x:v>1</x:v>
      </x:c>
      <x:c r="F541" s="19" t="n">
        <x:v>1</x:v>
      </x:c>
      <x:c r="G541" s="16" t="str">
        <x:v>MRG-0019, MRG-0021</x:v>
      </x:c>
      <x:c r="H541" s="16" t="str">
        <x:v>SRC-063</x:v>
      </x:c>
      <x:c r="I541" s="17" t="str"/>
    </x:row>
    <x:row r="542" ht="37" customHeight="1">
      <x:c r="A542" s="16" t="str">
        <x:v>OBS-0536</x:v>
      </x:c>
      <x:c r="B542" s="17" t="str">
        <x:v>是</x:v>
      </x:c>
      <x:c r="C542" s="17" t="str">
        <x:v>Row 3 Column 1. Minor corrosion on roof sheeting.</x:v>
      </x:c>
      <x:c r="D542" s="17" t="str">
        <x:v>Standalone verandah</x:v>
      </x:c>
      <x:c r="E542" s="19" t="n">
        <x:v>1</x:v>
      </x:c>
      <x:c r="F542" s="19" t="n">
        <x:v>1</x:v>
      </x:c>
      <x:c r="G542" s="16" t="str"/>
      <x:c r="H542" s="16" t="str">
        <x:v>SRC-063</x:v>
      </x:c>
      <x:c r="I542" s="17" t="str"/>
    </x:row>
    <x:row r="543" ht="37" customHeight="1">
      <x:c r="A543" s="16" t="str">
        <x:v>OBS-0537</x:v>
      </x:c>
      <x:c r="B543" s="17" t="str">
        <x:v>是</x:v>
      </x:c>
      <x:c r="C543" s="17" t="str">
        <x:v>Row 3 Column 2 and 3. Flaking corrosion at connection.</x:v>
      </x:c>
      <x:c r="D543" s="17" t="str">
        <x:v>Frame connections</x:v>
      </x:c>
      <x:c r="E543" s="19" t="n">
        <x:v>1</x:v>
      </x:c>
      <x:c r="F543" s="19" t="n">
        <x:v>1</x:v>
      </x:c>
      <x:c r="G543" s="16" t="str"/>
      <x:c r="H543" s="16" t="str">
        <x:v>SRC-100</x:v>
      </x:c>
      <x:c r="I543" s="17" t="str"/>
    </x:row>
    <x:row r="544" ht="37" customHeight="1">
      <x:c r="A544" s="16" t="str">
        <x:v>OBS-0538</x:v>
      </x:c>
      <x:c r="B544" s="17" t="str">
        <x:v>是</x:v>
      </x:c>
      <x:c r="C544" s="17" t="str">
        <x:v>Row 3 to row 8</x:v>
      </x:c>
      <x:c r="D544" s="17" t="str">
        <x:v>Steel frame columns</x:v>
      </x:c>
      <x:c r="E544" s="19" t="n">
        <x:v>1</x:v>
      </x:c>
      <x:c r="F544" s="19" t="n">
        <x:v>1</x:v>
      </x:c>
      <x:c r="G544" s="16" t="str"/>
      <x:c r="H544" s="16" t="str">
        <x:v>SRC-100</x:v>
      </x:c>
      <x:c r="I544" s="17" t="str"/>
    </x:row>
    <x:row r="545" ht="37" customHeight="1">
      <x:c r="A545" s="16" t="str">
        <x:v>OBS-0539</x:v>
      </x:c>
      <x:c r="B545" s="17" t="str">
        <x:v>是</x:v>
      </x:c>
      <x:c r="C545" s="17" t="str">
        <x:v>Row 4 Column 1. Minor corrosion of bolt and washer.</x:v>
      </x:c>
      <x:c r="D545" s="17" t="str">
        <x:v>Shade structure 1</x:v>
      </x:c>
      <x:c r="E545" s="19" t="n">
        <x:v>1</x:v>
      </x:c>
      <x:c r="F545" s="19" t="n">
        <x:v>1</x:v>
      </x:c>
      <x:c r="G545" s="16" t="str">
        <x:v>MRG-0020, MRG-0021</x:v>
      </x:c>
      <x:c r="H545" s="16" t="str">
        <x:v>SRC-063</x:v>
      </x:c>
      <x:c r="I545" s="17" t="str"/>
    </x:row>
    <x:row r="546" ht="37" customHeight="1">
      <x:c r="A546" s="16" t="str">
        <x:v>OBS-0540</x:v>
      </x:c>
      <x:c r="B546" s="17" t="str">
        <x:v>是</x:v>
      </x:c>
      <x:c r="C546" s="17" t="str">
        <x:v>Row 4 Column 2. Blistering corrosion and holes.</x:v>
      </x:c>
      <x:c r="D546" s="17" t="str">
        <x:v>Steel frame columns</x:v>
      </x:c>
      <x:c r="E546" s="19" t="n">
        <x:v>1</x:v>
      </x:c>
      <x:c r="F546" s="19" t="n">
        <x:v>1</x:v>
      </x:c>
      <x:c r="G546" s="16" t="str">
        <x:v>MRG-0023, MRG-0035</x:v>
      </x:c>
      <x:c r="H546" s="16" t="str">
        <x:v>SRC-100</x:v>
      </x:c>
      <x:c r="I546" s="17" t="str"/>
    </x:row>
    <x:row r="547" ht="37" customHeight="1">
      <x:c r="A547" s="16" t="str">
        <x:v>OBS-0541</x:v>
      </x:c>
      <x:c r="B547" s="17" t="str">
        <x:v>是</x:v>
      </x:c>
      <x:c r="C547" s="17" t="str">
        <x:v>Row 5 Column 2.</x:v>
      </x:c>
      <x:c r="D547" s="17" t="str">
        <x:v>Steel frame columns</x:v>
      </x:c>
      <x:c r="E547" s="19" t="n">
        <x:v>1</x:v>
      </x:c>
      <x:c r="F547" s="19" t="n">
        <x:v>1</x:v>
      </x:c>
      <x:c r="G547" s="16" t="str">
        <x:v>MRG-0053, MRG-0054</x:v>
      </x:c>
      <x:c r="H547" s="16" t="str">
        <x:v>SRC-100</x:v>
      </x:c>
      <x:c r="I547" s="17" t="str"/>
    </x:row>
    <x:row r="548" ht="37" customHeight="1">
      <x:c r="A548" s="16" t="str">
        <x:v>OBS-0542</x:v>
      </x:c>
      <x:c r="B548" s="17" t="str">
        <x:v>是</x:v>
      </x:c>
      <x:c r="C548" s="17" t="str">
        <x:v>Row 5 Column 2. Blistering corrosion and holes.</x:v>
      </x:c>
      <x:c r="D548" s="17" t="str">
        <x:v>Steel frame columns</x:v>
      </x:c>
      <x:c r="E548" s="19" t="n">
        <x:v>1</x:v>
      </x:c>
      <x:c r="F548" s="19" t="n">
        <x:v>1</x:v>
      </x:c>
      <x:c r="G548" s="16" t="str">
        <x:v>MRG-0023, MRG-0036</x:v>
      </x:c>
      <x:c r="H548" s="16" t="str">
        <x:v>SRC-100</x:v>
      </x:c>
      <x:c r="I548" s="17" t="str"/>
    </x:row>
    <x:row r="549" ht="37" customHeight="1">
      <x:c r="A549" s="16" t="str">
        <x:v>OBS-0543</x:v>
      </x:c>
      <x:c r="B549" s="17" t="str">
        <x:v>是</x:v>
      </x:c>
      <x:c r="C549" s="17" t="str">
        <x:v>Row 7 Column 2.</x:v>
      </x:c>
      <x:c r="D549" s="17" t="str">
        <x:v>Steel frame columns</x:v>
      </x:c>
      <x:c r="E549" s="19" t="n">
        <x:v>1</x:v>
      </x:c>
      <x:c r="F549" s="19" t="n">
        <x:v>1</x:v>
      </x:c>
      <x:c r="G549" s="16" t="str">
        <x:v>MRG-0053, MRG-0055</x:v>
      </x:c>
      <x:c r="H549" s="16" t="str">
        <x:v>SRC-100</x:v>
      </x:c>
      <x:c r="I549" s="17" t="str"/>
    </x:row>
    <x:row r="550" ht="41" customHeight="1">
      <x:c r="A550" s="16" t="str">
        <x:v>OBS-0544</x:v>
      </x:c>
      <x:c r="B550" s="17" t="str">
        <x:v>是</x:v>
      </x:c>
      <x:c r="C550" s="17" t="str">
        <x:v>Row numbers increasing with the length of the walkway. Columns numbered left to right</x:v>
      </x:c>
      <x:c r="D550" s="17" t="str">
        <x:v>Steel frame columns</x:v>
      </x:c>
      <x:c r="E550" s="19" t="n">
        <x:v>1</x:v>
      </x:c>
      <x:c r="F550" s="19" t="n">
        <x:v>1</x:v>
      </x:c>
      <x:c r="G550" s="16" t="str"/>
      <x:c r="H550" s="16" t="str">
        <x:v>SRC-100</x:v>
      </x:c>
      <x:c r="I550" s="17" t="str"/>
    </x:row>
    <x:row r="551" ht="37" customHeight="1">
      <x:c r="A551" s="16" t="str">
        <x:v>OBS-0545</x:v>
      </x:c>
      <x:c r="B551" s="17" t="str">
        <x:v>是</x:v>
      </x:c>
      <x:c r="C551" s="17" t="str">
        <x:v>Salt staining and holes in purlin cap plate.</x:v>
      </x:c>
      <x:c r="D551" s="17" t="str">
        <x:v>Purlins and rafters</x:v>
      </x:c>
      <x:c r="E551" s="19" t="n">
        <x:v>1</x:v>
      </x:c>
      <x:c r="F551" s="19" t="n">
        <x:v>1</x:v>
      </x:c>
      <x:c r="G551" s="16" t="str"/>
      <x:c r="H551" s="16" t="str">
        <x:v>SRC-059</x:v>
      </x:c>
      <x:c r="I551" s="17" t="str"/>
    </x:row>
    <x:row r="552" ht="37" customHeight="1">
      <x:c r="A552" s="16" t="str">
        <x:v>OBS-0546</x:v>
      </x:c>
      <x:c r="B552" s="17" t="str">
        <x:v>是</x:v>
      </x:c>
      <x:c r="C552" s="17" t="str">
        <x:v>Salt staining at connection of balcony column.</x:v>
      </x:c>
      <x:c r="D552" s="17" t="str">
        <x:v>Columns</x:v>
      </x:c>
      <x:c r="E552" s="19" t="n">
        <x:v>1</x:v>
      </x:c>
      <x:c r="F552" s="19" t="n">
        <x:v>1</x:v>
      </x:c>
      <x:c r="G552" s="16" t="str"/>
      <x:c r="H552" s="16" t="str">
        <x:v>SRC-005</x:v>
      </x:c>
      <x:c r="I552" s="17" t="str"/>
    </x:row>
    <x:row r="553" ht="41" customHeight="1">
      <x:c r="A553" s="16" t="str">
        <x:v>OBS-0547</x:v>
      </x:c>
      <x:c r="B553" s="17" t="str">
        <x:v>是</x:v>
      </x:c>
      <x:c r="C553" s="17" t="str">
        <x:v>Salt staining at corner showing signs of water flow. Investigate whether drainage holes in roof are blocked.</x:v>
      </x:c>
      <x:c r="D553" s="17" t="str">
        <x:v>Drainage holes</x:v>
      </x:c>
      <x:c r="E553" s="19" t="n">
        <x:v>1</x:v>
      </x:c>
      <x:c r="F553" s="19" t="n">
        <x:v>1</x:v>
      </x:c>
      <x:c r="G553" s="16" t="str"/>
      <x:c r="H553" s="16" t="str">
        <x:v>SRC-096</x:v>
      </x:c>
      <x:c r="I553" s="17" t="str"/>
    </x:row>
    <x:row r="554" ht="37" customHeight="1">
      <x:c r="A554" s="16" t="str">
        <x:v>OBS-0548</x:v>
      </x:c>
      <x:c r="B554" s="17" t="str">
        <x:v>是</x:v>
      </x:c>
      <x:c r="C554" s="17" t="str">
        <x:v>Salt staining at lower portion of the column.</x:v>
      </x:c>
      <x:c r="D554" s="17" t="str">
        <x:v>Columns</x:v>
      </x:c>
      <x:c r="E554" s="19" t="n">
        <x:v>1</x:v>
      </x:c>
      <x:c r="F554" s="19" t="n">
        <x:v>1</x:v>
      </x:c>
      <x:c r="G554" s="16" t="str"/>
      <x:c r="H554" s="16" t="str">
        <x:v>SRC-005</x:v>
      </x:c>
      <x:c r="I554" s="17" t="str"/>
    </x:row>
    <x:row r="555" ht="37" customHeight="1">
      <x:c r="A555" s="16" t="str">
        <x:v>OBS-0549</x:v>
      </x:c>
      <x:c r="B555" s="17" t="str">
        <x:v>是</x:v>
      </x:c>
      <x:c r="C555" s="17" t="str">
        <x:v>Salt staining on purlins.</x:v>
      </x:c>
      <x:c r="D555" s="17" t="str">
        <x:v>Multipurpose Building verandah</x:v>
      </x:c>
      <x:c r="E555" s="19" t="n">
        <x:v>1</x:v>
      </x:c>
      <x:c r="F555" s="19" t="n">
        <x:v>1</x:v>
      </x:c>
      <x:c r="G555" s="16" t="str"/>
      <x:c r="H555" s="16" t="str">
        <x:v>SRC-063</x:v>
      </x:c>
      <x:c r="I555" s="17" t="str"/>
    </x:row>
    <x:row r="556" ht="37" customHeight="1">
      <x:c r="A556" s="16" t="str">
        <x:v>OBS-0550</x:v>
      </x:c>
      <x:c r="B556" s="17" t="str">
        <x:v>是</x:v>
      </x:c>
      <x:c r="C556" s="17" t="str">
        <x:v>Salt staining on rafters and purlins supporting window awning.</x:v>
      </x:c>
      <x:c r="D556" s="17" t="str">
        <x:v>Rafters and purlins</x:v>
      </x:c>
      <x:c r="E556" s="19" t="n">
        <x:v>1</x:v>
      </x:c>
      <x:c r="F556" s="19" t="n">
        <x:v>1</x:v>
      </x:c>
      <x:c r="G556" s="16" t="str">
        <x:v>MRG-0143</x:v>
      </x:c>
      <x:c r="H556" s="16" t="str">
        <x:v>SRC-060</x:v>
      </x:c>
      <x:c r="I556" s="17" t="str"/>
    </x:row>
    <x:row r="557" ht="37" customHeight="1">
      <x:c r="A557" s="16" t="str">
        <x:v>OBS-0551</x:v>
      </x:c>
      <x:c r="B557" s="17" t="str">
        <x:v>是</x:v>
      </x:c>
      <x:c r="C557" s="17" t="str">
        <x:v>Salt staining on verandah cladding beams.</x:v>
      </x:c>
      <x:c r="D557" s="17" t="str">
        <x:v>Verandah cladding</x:v>
      </x:c>
      <x:c r="E557" s="19" t="n">
        <x:v>1</x:v>
      </x:c>
      <x:c r="F557" s="19" t="n">
        <x:v>1</x:v>
      </x:c>
      <x:c r="G557" s="16" t="str"/>
      <x:c r="H557" s="16" t="str">
        <x:v>SRC-002</x:v>
      </x:c>
      <x:c r="I557" s="17" t="str"/>
    </x:row>
    <x:row r="558" ht="37" customHeight="1">
      <x:c r="A558" s="16" t="str">
        <x:v>OBS-0552</x:v>
      </x:c>
      <x:c r="B558" s="17" t="str">
        <x:v>是</x:v>
      </x:c>
      <x:c r="C558" s="17" t="str">
        <x:v>Salt staining on wall cladding at bolted connections.</x:v>
      </x:c>
      <x:c r="D558" s="17" t="str">
        <x:v>Cladding and framing</x:v>
      </x:c>
      <x:c r="E558" s="19" t="n">
        <x:v>1</x:v>
      </x:c>
      <x:c r="F558" s="19" t="n">
        <x:v>1</x:v>
      </x:c>
      <x:c r="G558" s="16" t="str">
        <x:v>MRG-0045</x:v>
      </x:c>
      <x:c r="H558" s="16" t="str">
        <x:v>SRC-049</x:v>
      </x:c>
      <x:c r="I558" s="17" t="str"/>
    </x:row>
    <x:row r="559" ht="37" customHeight="1">
      <x:c r="A559" s="16" t="str">
        <x:v>OBS-0553</x:v>
      </x:c>
      <x:c r="B559" s="17" t="str">
        <x:v>是</x:v>
      </x:c>
      <x:c r="C559" s="17" t="str">
        <x:v>Seating area and shade structure.</x:v>
      </x:c>
      <x:c r="D559" s="17" t="str">
        <x:v>Shade structure 5</x:v>
      </x:c>
      <x:c r="E559" s="19" t="n">
        <x:v>1</x:v>
      </x:c>
      <x:c r="F559" s="19" t="n">
        <x:v>1</x:v>
      </x:c>
      <x:c r="G559" s="16" t="str"/>
      <x:c r="H559" s="16" t="str">
        <x:v>SRC-092</x:v>
      </x:c>
      <x:c r="I559" s="17" t="str"/>
    </x:row>
    <x:row r="560" ht="37" customHeight="1">
      <x:c r="A560" s="16" t="str">
        <x:v>OBS-0554</x:v>
      </x:c>
      <x:c r="B560" s="17" t="str">
        <x:v>是</x:v>
      </x:c>
      <x:c r="C560" s="17" t="str">
        <x:v>Separation between column and brickwork, increasing width with column height.</x:v>
      </x:c>
      <x:c r="D560" s="17" t="str">
        <x:v>Brick wall</x:v>
      </x:c>
      <x:c r="E560" s="19" t="n">
        <x:v>1</x:v>
      </x:c>
      <x:c r="F560" s="19" t="n">
        <x:v>1</x:v>
      </x:c>
      <x:c r="G560" s="16" t="str"/>
      <x:c r="H560" s="16" t="str">
        <x:v>SRC-011</x:v>
      </x:c>
      <x:c r="I560" s="17" t="str"/>
    </x:row>
    <x:row r="561" ht="41" customHeight="1">
      <x:c r="A561" s="16" t="str">
        <x:v>OBS-0555</x:v>
      </x:c>
      <x:c r="B561" s="17" t="str">
        <x:v>是</x:v>
      </x:c>
      <x:c r="C561" s="17" t="str">
        <x:v>Separation of brickwork and column, gap at top and tapers down to bottom. This indicates minor movement of the foundation.</x:v>
      </x:c>
      <x:c r="D561" s="17" t="str">
        <x:v>Brick wall</x:v>
      </x:c>
      <x:c r="E561" s="19" t="n">
        <x:v>1</x:v>
      </x:c>
      <x:c r="F561" s="19" t="n">
        <x:v>1</x:v>
      </x:c>
      <x:c r="G561" s="16" t="str"/>
      <x:c r="H561" s="16" t="str">
        <x:v>SRC-024</x:v>
      </x:c>
      <x:c r="I561" s="17" t="str"/>
    </x:row>
    <x:row r="562" ht="37" customHeight="1">
      <x:c r="A562" s="16" t="str">
        <x:v>OBS-0556</x:v>
      </x:c>
      <x:c r="B562" s="17" t="str">
        <x:v>是</x:v>
      </x:c>
      <x:c r="C562" s="17" t="str">
        <x:v>Services terminal box not secured.</x:v>
      </x:c>
      <x:c r="D562" s="17" t="str">
        <x:v>Terminal box</x:v>
      </x:c>
      <x:c r="E562" s="19" t="n">
        <x:v>1</x:v>
      </x:c>
      <x:c r="F562" s="19" t="n">
        <x:v>1</x:v>
      </x:c>
      <x:c r="G562" s="16" t="str"/>
      <x:c r="H562" s="16" t="str">
        <x:v>SRC-071</x:v>
      </x:c>
      <x:c r="I562" s="17" t="str"/>
    </x:row>
    <x:row r="563" ht="37" customHeight="1">
      <x:c r="A563" s="16" t="str">
        <x:v>OBS-0557</x:v>
      </x:c>
      <x:c r="B563" s="17" t="str">
        <x:v>是</x:v>
      </x:c>
      <x:c r="C563" s="17" t="str">
        <x:v>Severe corrosion and bitumen paint deterioration.</x:v>
      </x:c>
      <x:c r="D563" s="17" t="str">
        <x:v>Fencing posts</x:v>
      </x:c>
      <x:c r="E563" s="19" t="n">
        <x:v>1</x:v>
      </x:c>
      <x:c r="F563" s="19" t="n">
        <x:v>1</x:v>
      </x:c>
      <x:c r="G563" s="16" t="str">
        <x:v>MRG-0176</x:v>
      </x:c>
      <x:c r="H563" s="16" t="str">
        <x:v>SRC-056</x:v>
      </x:c>
      <x:c r="I563" s="17" t="str"/>
    </x:row>
    <x:row r="564" ht="37" customHeight="1">
      <x:c r="A564" s="16" t="str">
        <x:v>OBS-0558</x:v>
      </x:c>
      <x:c r="B564" s="17" t="str">
        <x:v>是</x:v>
      </x:c>
      <x:c r="C564" s="17" t="str">
        <x:v>Severely corroded purlin circled in red</x:v>
      </x:c>
      <x:c r="D564" s="17" t="str">
        <x:v>Dragonfly shade structure</x:v>
      </x:c>
      <x:c r="E564" s="19" t="n">
        <x:v>1</x:v>
      </x:c>
      <x:c r="F564" s="19" t="n">
        <x:v>1</x:v>
      </x:c>
      <x:c r="G564" s="16" t="str"/>
      <x:c r="H564" s="16" t="str">
        <x:v>SRC-080</x:v>
      </x:c>
      <x:c r="I564" s="17" t="str"/>
    </x:row>
    <x:row r="565" ht="37" customHeight="1">
      <x:c r="A565" s="16" t="str">
        <x:v>OBS-0559</x:v>
      </x:c>
      <x:c r="B565" s="17" t="str">
        <x:v>是</x:v>
      </x:c>
      <x:c r="C565" s="17" t="str">
        <x:v>Severely corroded purlins.</x:v>
      </x:c>
      <x:c r="D565" s="17" t="str">
        <x:v>Dragonfly shade structure</x:v>
      </x:c>
      <x:c r="E565" s="19" t="n">
        <x:v>1</x:v>
      </x:c>
      <x:c r="F565" s="19" t="n">
        <x:v>1</x:v>
      </x:c>
      <x:c r="G565" s="16" t="str"/>
      <x:c r="H565" s="16" t="str">
        <x:v>SRC-080</x:v>
      </x:c>
      <x:c r="I565" s="17" t="str"/>
    </x:row>
    <x:row r="566" ht="41" customHeight="1">
      <x:c r="A566" s="16" t="str">
        <x:v>OBS-0560</x:v>
      </x:c>
      <x:c r="B566" s="17" t="str">
        <x:v>是</x:v>
      </x:c>
      <x:c r="C566" s="17" t="str">
        <x:v>Severely rusted steel sheeting poses a safety hazard to the public. Access to train is not restricted currently.</x:v>
      </x:c>
      <x:c r="D566" s="17" t="str">
        <x:v>Historical train steel sheeting</x:v>
      </x:c>
      <x:c r="E566" s="19" t="n">
        <x:v>1</x:v>
      </x:c>
      <x:c r="F566" s="19" t="n">
        <x:v>1</x:v>
      </x:c>
      <x:c r="G566" s="16" t="str"/>
      <x:c r="H566" s="16" t="str">
        <x:v>SRC-071</x:v>
      </x:c>
      <x:c r="I566" s="17" t="str"/>
    </x:row>
    <x:row r="567" ht="37" customHeight="1">
      <x:c r="A567" s="16" t="str">
        <x:v>OBS-0561</x:v>
      </x:c>
      <x:c r="B567" s="17" t="str">
        <x:v>是</x:v>
      </x:c>
      <x:c r="C567" s="17" t="str">
        <x:v>Shade structure column overview.</x:v>
      </x:c>
      <x:c r="D567" s="17" t="str">
        <x:v>Shade structure column</x:v>
      </x:c>
      <x:c r="E567" s="19" t="n">
        <x:v>1</x:v>
      </x:c>
      <x:c r="F567" s="19" t="n">
        <x:v>1</x:v>
      </x:c>
      <x:c r="G567" s="16" t="str">
        <x:v>MRG-0132</x:v>
      </x:c>
      <x:c r="H567" s="16" t="str">
        <x:v>SRC-092</x:v>
      </x:c>
      <x:c r="I567" s="17" t="str"/>
    </x:row>
    <x:row r="568" ht="37" customHeight="1">
      <x:c r="A568" s="16" t="str">
        <x:v>OBS-0562</x:v>
      </x:c>
      <x:c r="B568" s="17" t="str">
        <x:v>是</x:v>
      </x:c>
      <x:c r="C568" s="17" t="str">
        <x:v>Shade structure column.</x:v>
      </x:c>
      <x:c r="D568" s="17" t="str">
        <x:v>Shade structure 3 column</x:v>
      </x:c>
      <x:c r="E568" s="19" t="n">
        <x:v>1</x:v>
      </x:c>
      <x:c r="F568" s="19" t="n">
        <x:v>1</x:v>
      </x:c>
      <x:c r="G568" s="16" t="str"/>
      <x:c r="H568" s="16" t="str">
        <x:v>SRC-092</x:v>
      </x:c>
      <x:c r="I568" s="17" t="str"/>
    </x:row>
    <x:row r="569" ht="37" customHeight="1">
      <x:c r="A569" s="16" t="str">
        <x:v>OBS-0563</x:v>
      </x:c>
      <x:c r="B569" s="17" t="str">
        <x:v>是</x:v>
      </x:c>
      <x:c r="C569" s="17" t="str">
        <x:v>Shade structure column. Minor corrosion at lower section.</x:v>
      </x:c>
      <x:c r="D569" s="17" t="str">
        <x:v>Shade structure column</x:v>
      </x:c>
      <x:c r="E569" s="19" t="n">
        <x:v>1</x:v>
      </x:c>
      <x:c r="F569" s="19" t="n">
        <x:v>1</x:v>
      </x:c>
      <x:c r="G569" s="16" t="str"/>
      <x:c r="H569" s="16" t="str">
        <x:v>SRC-009</x:v>
      </x:c>
      <x:c r="I569" s="17" t="str"/>
    </x:row>
    <x:row r="570" ht="37" customHeight="1">
      <x:c r="A570" s="16" t="str">
        <x:v>OBS-0564</x:v>
      </x:c>
      <x:c r="B570" s="17" t="str">
        <x:v>是</x:v>
      </x:c>
      <x:c r="C570" s="17" t="str">
        <x:v>Shade structure column. Minor corrosion.</x:v>
      </x:c>
      <x:c r="D570" s="17" t="str">
        <x:v>Shade structure 3 column</x:v>
      </x:c>
      <x:c r="E570" s="19" t="n">
        <x:v>1</x:v>
      </x:c>
      <x:c r="F570" s="19" t="n">
        <x:v>1</x:v>
      </x:c>
      <x:c r="G570" s="16" t="str"/>
      <x:c r="H570" s="16" t="str">
        <x:v>SRC-092</x:v>
      </x:c>
      <x:c r="I570" s="17" t="str"/>
    </x:row>
    <x:row r="571" ht="37" customHeight="1">
      <x:c r="A571" s="16" t="str">
        <x:v>OBS-0565</x:v>
      </x:c>
      <x:c r="B571" s="17" t="str">
        <x:v>是</x:v>
      </x:c>
      <x:c r="C571" s="17" t="str">
        <x:v>Shade structure columns have minor corrosion and paint deterioration.</x:v>
      </x:c>
      <x:c r="D571" s="17" t="str">
        <x:v>Shade structure columns</x:v>
      </x:c>
      <x:c r="E571" s="19" t="n">
        <x:v>1</x:v>
      </x:c>
      <x:c r="F571" s="19" t="n">
        <x:v>1</x:v>
      </x:c>
      <x:c r="G571" s="16" t="str"/>
      <x:c r="H571" s="16" t="str">
        <x:v>SRC-048</x:v>
      </x:c>
      <x:c r="I571" s="17" t="str"/>
    </x:row>
    <x:row r="572" ht="37" customHeight="1">
      <x:c r="A572" s="16" t="str">
        <x:v>OBS-0566</x:v>
      </x:c>
      <x:c r="B572" s="17" t="str">
        <x:v>是</x:v>
      </x:c>
      <x:c r="C572" s="17" t="str">
        <x:v>Shade structure overview.</x:v>
      </x:c>
      <x:c r="D572" s="17" t="str">
        <x:v>Column baseplate</x:v>
      </x:c>
      <x:c r="E572" s="19" t="n">
        <x:v>1</x:v>
      </x:c>
      <x:c r="F572" s="19" t="n">
        <x:v>1</x:v>
      </x:c>
      <x:c r="G572" s="16" t="str">
        <x:v>MRG-0132</x:v>
      </x:c>
      <x:c r="H572" s="16" t="str">
        <x:v>SRC-071</x:v>
      </x:c>
      <x:c r="I572" s="17" t="str"/>
    </x:row>
    <x:row r="573" ht="37" customHeight="1">
      <x:c r="A573" s="16" t="str">
        <x:v>OBS-0567</x:v>
      </x:c>
      <x:c r="B573" s="17" t="str">
        <x:v>是</x:v>
      </x:c>
      <x:c r="C573" s="17" t="str">
        <x:v>Shade structure.</x:v>
      </x:c>
      <x:c r="D573" s="17" t="str">
        <x:v>Shade structure 6 columns</x:v>
      </x:c>
      <x:c r="E573" s="19" t="n">
        <x:v>1</x:v>
      </x:c>
      <x:c r="F573" s="19" t="n">
        <x:v>1</x:v>
      </x:c>
      <x:c r="G573" s="16" t="str"/>
      <x:c r="H573" s="16" t="str">
        <x:v>SRC-092</x:v>
      </x:c>
      <x:c r="I573" s="17" t="str"/>
    </x:row>
    <x:row r="574" ht="37" customHeight="1">
      <x:c r="A574" s="16" t="str">
        <x:v>OBS-0568</x:v>
      </x:c>
      <x:c r="B574" s="17" t="str">
        <x:v>是</x:v>
      </x:c>
      <x:c r="C574" s="17" t="str">
        <x:v>Shower column has hole through the lower section.</x:v>
      </x:c>
      <x:c r="D574" s="17" t="str">
        <x:v>Shower post</x:v>
      </x:c>
      <x:c r="E574" s="19" t="n">
        <x:v>1</x:v>
      </x:c>
      <x:c r="F574" s="19" t="n">
        <x:v>1</x:v>
      </x:c>
      <x:c r="G574" s="16" t="str"/>
      <x:c r="H574" s="16" t="str">
        <x:v>SRC-092</x:v>
      </x:c>
      <x:c r="I574" s="17" t="str"/>
    </x:row>
    <x:row r="575" ht="41" customHeight="1">
      <x:c r="A575" s="16" t="str">
        <x:v>OBS-0569</x:v>
      </x:c>
      <x:c r="B575" s="17" t="str">
        <x:v>是</x:v>
      </x:c>
      <x:c r="C575" s="17" t="str">
        <x:v>Side nearest to ocean (shown in photo) has the most significant corrosion. Purlins have holes at ends.</x:v>
      </x:c>
      <x:c r="D575" s="17" t="str">
        <x:v>Purlins</x:v>
      </x:c>
      <x:c r="E575" s="19" t="n">
        <x:v>1</x:v>
      </x:c>
      <x:c r="F575" s="19" t="n">
        <x:v>1</x:v>
      </x:c>
      <x:c r="G575" s="16" t="str"/>
      <x:c r="H575" s="16" t="str">
        <x:v>SRC-080</x:v>
      </x:c>
      <x:c r="I575" s="17" t="str"/>
    </x:row>
    <x:row r="576" ht="41" customHeight="1">
      <x:c r="A576" s="16" t="str">
        <x:v>OBS-0570</x:v>
      </x:c>
      <x:c r="B576" s="17" t="str">
        <x:v>是</x:v>
      </x:c>
      <x:c r="C576" s="17" t="str">
        <x:v>Side overhang. Salt staining on rafters and purlins. Minor corrosion on bolts securing antenna to rafter.</x:v>
      </x:c>
      <x:c r="D576" s="17" t="str">
        <x:v>Rafters and purlins</x:v>
      </x:c>
      <x:c r="E576" s="19" t="n">
        <x:v>1</x:v>
      </x:c>
      <x:c r="F576" s="19" t="n">
        <x:v>1</x:v>
      </x:c>
      <x:c r="G576" s="16" t="str"/>
      <x:c r="H576" s="16" t="str">
        <x:v>SRC-028</x:v>
      </x:c>
      <x:c r="I576" s="17" t="str"/>
    </x:row>
    <x:row r="577" ht="41" customHeight="1">
      <x:c r="A577" s="16" t="str">
        <x:v>OBS-0571</x:v>
      </x:c>
      <x:c r="B577" s="17" t="str">
        <x:v>是</x:v>
      </x:c>
      <x:c r="C577" s="17" t="str">
        <x:v>Side wall of gutter has holes along length. The gutter is not redirecting water away from columns causing columns to corrode.</x:v>
      </x:c>
      <x:c r="D577" s="17" t="str">
        <x:v>Gutter</x:v>
      </x:c>
      <x:c r="E577" s="19" t="n">
        <x:v>1</x:v>
      </x:c>
      <x:c r="F577" s="19" t="n">
        <x:v>1</x:v>
      </x:c>
      <x:c r="G577" s="16" t="str"/>
      <x:c r="H577" s="16" t="str">
        <x:v>SRC-029</x:v>
      </x:c>
      <x:c r="I577" s="17" t="str"/>
    </x:row>
    <x:row r="578" ht="37" customHeight="1">
      <x:c r="A578" s="16" t="str">
        <x:v>OBS-0572</x:v>
      </x:c>
      <x:c r="B578" s="17" t="str">
        <x:v>是</x:v>
      </x:c>
      <x:c r="C578" s="17" t="str">
        <x:v>Sign support frame.</x:v>
      </x:c>
      <x:c r="D578" s="17" t="str">
        <x:v>Sign steel frame</x:v>
      </x:c>
      <x:c r="E578" s="19" t="n">
        <x:v>1</x:v>
      </x:c>
      <x:c r="F578" s="19" t="n">
        <x:v>1</x:v>
      </x:c>
      <x:c r="G578" s="16" t="str"/>
      <x:c r="H578" s="16" t="str">
        <x:v>SRC-100</x:v>
      </x:c>
      <x:c r="I578" s="17" t="str"/>
    </x:row>
    <x:row r="579" ht="37" customHeight="1">
      <x:c r="A579" s="16" t="str">
        <x:v>OBS-0573</x:v>
      </x:c>
      <x:c r="B579" s="17" t="str">
        <x:v>是</x:v>
      </x:c>
      <x:c r="C579" s="17" t="str">
        <x:v>Significant corrosion at column due to ocean spray.</x:v>
      </x:c>
      <x:c r="D579" s="17" t="str">
        <x:v>Shade structure</x:v>
      </x:c>
      <x:c r="E579" s="19" t="n">
        <x:v>1</x:v>
      </x:c>
      <x:c r="F579" s="19" t="n">
        <x:v>1</x:v>
      </x:c>
      <x:c r="G579" s="16" t="str"/>
      <x:c r="H579" s="16" t="str">
        <x:v>SRC-080</x:v>
      </x:c>
      <x:c r="I579" s="17" t="str"/>
    </x:row>
    <x:row r="580" ht="37" customHeight="1">
      <x:c r="A580" s="16" t="str">
        <x:v>OBS-0574</x:v>
      </x:c>
      <x:c r="B580" s="17" t="str">
        <x:v>是</x:v>
      </x:c>
      <x:c r="C580" s="17" t="str">
        <x:v>Significant corrosion of purlins.</x:v>
      </x:c>
      <x:c r="D580" s="17" t="str">
        <x:v>Dragonfly shade structure</x:v>
      </x:c>
      <x:c r="E580" s="19" t="n">
        <x:v>1</x:v>
      </x:c>
      <x:c r="F580" s="19" t="n">
        <x:v>1</x:v>
      </x:c>
      <x:c r="G580" s="16" t="str">
        <x:v>MRG-0170</x:v>
      </x:c>
      <x:c r="H580" s="16" t="str">
        <x:v>SRC-080</x:v>
      </x:c>
      <x:c r="I580" s="17" t="str"/>
    </x:row>
    <x:row r="581" ht="37" customHeight="1">
      <x:c r="A581" s="16" t="str">
        <x:v>OBS-0575</x:v>
      </x:c>
      <x:c r="B581" s="17" t="str">
        <x:v>是</x:v>
      </x:c>
      <x:c r="C581" s="17" t="str">
        <x:v>Significant corrosion of steel work at purlin weld and bolted connection.</x:v>
      </x:c>
      <x:c r="D581" s="17" t="str">
        <x:v>Purlins</x:v>
      </x:c>
      <x:c r="E581" s="19" t="n">
        <x:v>1</x:v>
      </x:c>
      <x:c r="F581" s="19" t="n">
        <x:v>1</x:v>
      </x:c>
      <x:c r="G581" s="16" t="str"/>
      <x:c r="H581" s="16" t="str">
        <x:v>SRC-080</x:v>
      </x:c>
      <x:c r="I581" s="17" t="str"/>
    </x:row>
    <x:row r="582" ht="37" customHeight="1">
      <x:c r="A582" s="16" t="str">
        <x:v>OBS-0576</x:v>
      </x:c>
      <x:c r="B582" s="17" t="str">
        <x:v>是</x:v>
      </x:c>
      <x:c r="C582" s="17" t="str">
        <x:v>Significant corrosion to the top of purlins.</x:v>
      </x:c>
      <x:c r="D582" s="17" t="str">
        <x:v>Purlins</x:v>
      </x:c>
      <x:c r="E582" s="19" t="n">
        <x:v>1</x:v>
      </x:c>
      <x:c r="F582" s="19" t="n">
        <x:v>1</x:v>
      </x:c>
      <x:c r="G582" s="16" t="str">
        <x:v>MRG-0170</x:v>
      </x:c>
      <x:c r="H582" s="16" t="str">
        <x:v>SRC-080</x:v>
      </x:c>
      <x:c r="I582" s="17" t="str"/>
    </x:row>
    <x:row r="583" ht="37" customHeight="1">
      <x:c r="A583" s="16" t="str">
        <x:v>OBS-0577</x:v>
      </x:c>
      <x:c r="B583" s="17" t="str">
        <x:v>是</x:v>
      </x:c>
      <x:c r="C583" s="17" t="str">
        <x:v>Splitting in timber post.</x:v>
      </x:c>
      <x:c r="D583" s="17" t="str">
        <x:v>Sculpture E</x:v>
      </x:c>
      <x:c r="E583" s="19" t="n">
        <x:v>1</x:v>
      </x:c>
      <x:c r="F583" s="19" t="n">
        <x:v>1</x:v>
      </x:c>
      <x:c r="G583" s="16" t="str"/>
      <x:c r="H583" s="16" t="str">
        <x:v>SRC-094</x:v>
      </x:c>
      <x:c r="I583" s="17" t="str"/>
    </x:row>
    <x:row r="584" ht="37" customHeight="1">
      <x:c r="A584" s="16" t="str">
        <x:v>OBS-0578</x:v>
      </x:c>
      <x:c r="B584" s="17" t="str">
        <x:v>是</x:v>
      </x:c>
      <x:c r="C584" s="17" t="str">
        <x:v>Splitting timber at the end of rafter.</x:v>
      </x:c>
      <x:c r="D584" s="17" t="str">
        <x:v>Childhood Centre - timber rafters</x:v>
      </x:c>
      <x:c r="E584" s="19" t="n">
        <x:v>1</x:v>
      </x:c>
      <x:c r="F584" s="19" t="n">
        <x:v>1</x:v>
      </x:c>
      <x:c r="G584" s="16" t="str"/>
      <x:c r="H584" s="16" t="str">
        <x:v>SRC-063</x:v>
      </x:c>
      <x:c r="I584" s="17" t="str"/>
    </x:row>
    <x:row r="585" ht="41" customHeight="1">
      <x:c r="A585" s="16" t="str">
        <x:v>OBS-0579</x:v>
      </x:c>
      <x:c r="B585" s="17" t="str">
        <x:v>是</x:v>
      </x:c>
      <x:c r="C585" s="17" t="str">
        <x:v>Surface corrosion and paint deterioration on rafters. Corrosion is most pronounced atop the rafters and at welds.</x:v>
      </x:c>
      <x:c r="D585" s="17" t="str">
        <x:v>Steel hollow sections</x:v>
      </x:c>
      <x:c r="E585" s="19" t="n">
        <x:v>1</x:v>
      </x:c>
      <x:c r="F585" s="19" t="n">
        <x:v>1</x:v>
      </x:c>
      <x:c r="G585" s="16" t="str"/>
      <x:c r="H585" s="16" t="str">
        <x:v>SRC-071</x:v>
      </x:c>
      <x:c r="I585" s="17" t="str"/>
    </x:row>
    <x:row r="586" ht="37" customHeight="1">
      <x:c r="A586" s="16" t="str">
        <x:v>OBS-0580</x:v>
      </x:c>
      <x:c r="B586" s="17" t="str">
        <x:v>是</x:v>
      </x:c>
      <x:c r="C586" s="17" t="str">
        <x:v>Surface corrosion at lower portion of the structure.</x:v>
      </x:c>
      <x:c r="D586" s="17" t="str">
        <x:v>Steel shell</x:v>
      </x:c>
      <x:c r="E586" s="19" t="n">
        <x:v>1</x:v>
      </x:c>
      <x:c r="F586" s="19" t="n">
        <x:v>1</x:v>
      </x:c>
      <x:c r="G586" s="16" t="str"/>
      <x:c r="H586" s="16" t="str">
        <x:v>SRC-104</x:v>
      </x:c>
      <x:c r="I586" s="17" t="str"/>
    </x:row>
    <x:row r="587" ht="41" customHeight="1">
      <x:c r="A587" s="16" t="str">
        <x:v>OBS-0581</x:v>
      </x:c>
      <x:c r="B587" s="17" t="str">
        <x:v>是</x:v>
      </x:c>
      <x:c r="C587" s="17" t="str">
        <x:v>Surface corrosion at top edge of circular retaining structure</x:v>
      </x:c>
      <x:c r="D587" s="17" t="str">
        <x:v>Purple steel shell and circular retaining structure</x:v>
      </x:c>
      <x:c r="E587" s="19" t="n">
        <x:v>1</x:v>
      </x:c>
      <x:c r="F587" s="19" t="n">
        <x:v>1</x:v>
      </x:c>
      <x:c r="G587" s="16" t="str"/>
      <x:c r="H587" s="16" t="str">
        <x:v>SRC-099</x:v>
      </x:c>
      <x:c r="I587" s="17" t="str"/>
    </x:row>
    <x:row r="588" ht="41" customHeight="1">
      <x:c r="A588" s="16" t="str">
        <x:v>OBS-0582</x:v>
      </x:c>
      <x:c r="B588" s="17" t="str">
        <x:v>是</x:v>
      </x:c>
      <x:c r="C588" s="17" t="str">
        <x:v>Surface corrosion of roof and structural columns. Corrosion is worst on top of rafters. Corrosion is most pronounced atop the rafters and at welds.</x:v>
      </x:c>
      <x:c r="D588" s="17" t="str">
        <x:v>Steel hollow sections</x:v>
      </x:c>
      <x:c r="E588" s="19" t="n">
        <x:v>1</x:v>
      </x:c>
      <x:c r="F588" s="19" t="n">
        <x:v>1</x:v>
      </x:c>
      <x:c r="G588" s="16" t="str"/>
      <x:c r="H588" s="16" t="str">
        <x:v>SRC-071</x:v>
      </x:c>
      <x:c r="I588" s="17" t="str"/>
    </x:row>
    <x:row r="589" ht="37" customHeight="1">
      <x:c r="A589" s="16" t="str">
        <x:v>OBS-0583</x:v>
      </x:c>
      <x:c r="B589" s="17" t="str">
        <x:v>是</x:v>
      </x:c>
      <x:c r="C589" s="17" t="str">
        <x:v>Surface corrosion on bolt and nut.</x:v>
      </x:c>
      <x:c r="D589" s="17" t="str">
        <x:v>Sea Plant</x:v>
      </x:c>
      <x:c r="E589" s="19" t="n">
        <x:v>1</x:v>
      </x:c>
      <x:c r="F589" s="19" t="n">
        <x:v>1</x:v>
      </x:c>
      <x:c r="G589" s="16" t="str"/>
      <x:c r="H589" s="16" t="str">
        <x:v>SRC-102</x:v>
      </x:c>
      <x:c r="I589" s="17" t="str"/>
    </x:row>
    <x:row r="590" ht="37" customHeight="1">
      <x:c r="A590" s="16" t="str">
        <x:v>OBS-0584</x:v>
      </x:c>
      <x:c r="B590" s="17" t="str">
        <x:v>是</x:v>
      </x:c>
      <x:c r="C590" s="17" t="str">
        <x:v>Surface corrosion on columns and paint deterioration.</x:v>
      </x:c>
      <x:c r="D590" s="17" t="str">
        <x:v>Steel hollow sections</x:v>
      </x:c>
      <x:c r="E590" s="19" t="n">
        <x:v>1</x:v>
      </x:c>
      <x:c r="F590" s="19" t="n">
        <x:v>1</x:v>
      </x:c>
      <x:c r="G590" s="16" t="str"/>
      <x:c r="H590" s="16" t="str">
        <x:v>SRC-071</x:v>
      </x:c>
      <x:c r="I590" s="17" t="str"/>
    </x:row>
    <x:row r="591" ht="37" customHeight="1">
      <x:c r="A591" s="16" t="str">
        <x:v>OBS-0585</x:v>
      </x:c>
      <x:c r="B591" s="17" t="str">
        <x:v>是</x:v>
      </x:c>
      <x:c r="C591" s="17" t="str">
        <x:v>Surface corrosion on curved circular section.</x:v>
      </x:c>
      <x:c r="D591" s="17" t="str">
        <x:v>Shade structure</x:v>
      </x:c>
      <x:c r="E591" s="19" t="n">
        <x:v>1</x:v>
      </x:c>
      <x:c r="F591" s="19" t="n">
        <x:v>1</x:v>
      </x:c>
      <x:c r="G591" s="16" t="str"/>
      <x:c r="H591" s="16" t="str">
        <x:v>SRC-080</x:v>
      </x:c>
      <x:c r="I591" s="17" t="str"/>
    </x:row>
    <x:row r="592" ht="37" customHeight="1">
      <x:c r="A592" s="16" t="str">
        <x:v>OBS-0586</x:v>
      </x:c>
      <x:c r="B592" s="17" t="str">
        <x:v>是</x:v>
      </x:c>
      <x:c r="C592" s="17" t="str">
        <x:v>Surface corrosion on roof sheeting.</x:v>
      </x:c>
      <x:c r="D592" s="17" t="str">
        <x:v>Roof sheeting</x:v>
      </x:c>
      <x:c r="E592" s="19" t="n">
        <x:v>1</x:v>
      </x:c>
      <x:c r="F592" s="19" t="n">
        <x:v>1</x:v>
      </x:c>
      <x:c r="G592" s="16" t="str">
        <x:v>MRG-0146, MRG-0180</x:v>
      </x:c>
      <x:c r="H592" s="16" t="str">
        <x:v>SRC-092</x:v>
      </x:c>
      <x:c r="I592" s="17" t="str"/>
    </x:row>
    <x:row r="593" ht="37" customHeight="1">
      <x:c r="A593" s="16" t="str">
        <x:v>OBS-0587</x:v>
      </x:c>
      <x:c r="B593" s="17" t="str">
        <x:v>是</x:v>
      </x:c>
      <x:c r="C593" s="17" t="str">
        <x:v>Surface corrosion.</x:v>
      </x:c>
      <x:c r="D593" s="17" t="str">
        <x:v>Steel shell</x:v>
      </x:c>
      <x:c r="E593" s="19" t="n">
        <x:v>1</x:v>
      </x:c>
      <x:c r="F593" s="19" t="n">
        <x:v>1</x:v>
      </x:c>
      <x:c r="G593" s="16" t="str">
        <x:v>MRG-0177</x:v>
      </x:c>
      <x:c r="H593" s="16" t="str">
        <x:v>SRC-104</x:v>
      </x:c>
      <x:c r="I593" s="17" t="str"/>
    </x:row>
    <x:row r="594" ht="37" customHeight="1">
      <x:c r="A594" s="16" t="str">
        <x:v>OBS-0588</x:v>
      </x:c>
      <x:c r="B594" s="17" t="str">
        <x:v>是</x:v>
      </x:c>
      <x:c r="C594" s="17" t="str">
        <x:v>Surface corrosion. Shell corroded with holes.</x:v>
      </x:c>
      <x:c r="D594" s="17" t="str">
        <x:v>Steel shell</x:v>
      </x:c>
      <x:c r="E594" s="19" t="n">
        <x:v>1</x:v>
      </x:c>
      <x:c r="F594" s="19" t="n">
        <x:v>1</x:v>
      </x:c>
      <x:c r="G594" s="16" t="str"/>
      <x:c r="H594" s="16" t="str">
        <x:v>SRC-104</x:v>
      </x:c>
      <x:c r="I594" s="17" t="str"/>
    </x:row>
    <x:row r="595" ht="37" customHeight="1">
      <x:c r="A595" s="16" t="str">
        <x:v>OBS-0589</x:v>
      </x:c>
      <x:c r="B595" s="17" t="str">
        <x:v>是</x:v>
      </x:c>
      <x:c r="C595" s="17" t="str">
        <x:v>Swing overview.</x:v>
      </x:c>
      <x:c r="D595" s="17" t="str">
        <x:v>Swing</x:v>
      </x:c>
      <x:c r="E595" s="19" t="n">
        <x:v>1</x:v>
      </x:c>
      <x:c r="F595" s="19" t="n">
        <x:v>1</x:v>
      </x:c>
      <x:c r="G595" s="16" t="str"/>
      <x:c r="H595" s="16" t="str">
        <x:v>SRC-063</x:v>
      </x:c>
      <x:c r="I595" s="17" t="str"/>
    </x:row>
    <x:row r="596" ht="37" customHeight="1">
      <x:c r="A596" s="16" t="str">
        <x:v>OBS-0590</x:v>
      </x:c>
      <x:c r="B596" s="17" t="str">
        <x:v>是</x:v>
      </x:c>
      <x:c r="C596" s="17" t="str">
        <x:v>Table 1. Images below. Typical severe corrosion to all tables and baseplates.</x:v>
      </x:c>
      <x:c r="D596" s="17" t="str">
        <x:v>Table and seating</x:v>
      </x:c>
      <x:c r="E596" s="19" t="n">
        <x:v>1</x:v>
      </x:c>
      <x:c r="F596" s="19" t="n">
        <x:v>1</x:v>
      </x:c>
      <x:c r="G596" s="16" t="str">
        <x:v>MRG-0007</x:v>
      </x:c>
      <x:c r="H596" s="16" t="str">
        <x:v>SRC-092</x:v>
      </x:c>
      <x:c r="I596" s="17" t="str"/>
    </x:row>
    <x:row r="597" ht="37" customHeight="1">
      <x:c r="A597" s="16" t="str">
        <x:v>OBS-0591</x:v>
      </x:c>
      <x:c r="B597" s="17" t="str">
        <x:v>是</x:v>
      </x:c>
      <x:c r="C597" s="17" t="str">
        <x:v>Table 2. Images below. Typical severe corrosion to all tables and baseplates.</x:v>
      </x:c>
      <x:c r="D597" s="17" t="str">
        <x:v>Table and seating</x:v>
      </x:c>
      <x:c r="E597" s="19" t="n">
        <x:v>1</x:v>
      </x:c>
      <x:c r="F597" s="19" t="n">
        <x:v>1</x:v>
      </x:c>
      <x:c r="G597" s="16" t="str">
        <x:v>MRG-0007</x:v>
      </x:c>
      <x:c r="H597" s="16" t="str">
        <x:v>SRC-092</x:v>
      </x:c>
      <x:c r="I597" s="17" t="str"/>
    </x:row>
    <x:row r="598" ht="41" customHeight="1">
      <x:c r="A598" s="16" t="str">
        <x:v>OBS-0592</x:v>
      </x:c>
      <x:c r="B598" s="17" t="str">
        <x:v>是</x:v>
      </x:c>
      <x:c r="C598" s="17" t="str">
        <x:v>The straps wrapped around the beams have severe corrosion and the roof strap bracing appears to be rusted</x:v>
      </x:c>
      <x:c r="D598" s="17" t="str">
        <x:v>Carport strap bracing</x:v>
      </x:c>
      <x:c r="E598" s="19" t="n">
        <x:v>1</x:v>
      </x:c>
      <x:c r="F598" s="19" t="n">
        <x:v>1</x:v>
      </x:c>
      <x:c r="G598" s="16" t="str"/>
      <x:c r="H598" s="16" t="str">
        <x:v>SRC-029</x:v>
      </x:c>
      <x:c r="I598" s="17" t="str"/>
    </x:row>
    <x:row r="599" ht="41" customHeight="1">
      <x:c r="A599" s="16" t="str">
        <x:v>OBS-0593</x:v>
      </x:c>
      <x:c r="B599" s="17" t="str">
        <x:v>是</x:v>
      </x:c>
      <x:c r="C599" s="17" t="str">
        <x:v>The structural steel and timber members appear to be in good condition as recent repairs have been undertaken.</x:v>
      </x:c>
      <x:c r="D599" s="17" t="str">
        <x:v>Childhood Centre verandah</x:v>
      </x:c>
      <x:c r="E599" s="19" t="n">
        <x:v>1</x:v>
      </x:c>
      <x:c r="F599" s="19" t="n">
        <x:v>1</x:v>
      </x:c>
      <x:c r="G599" s="16" t="str"/>
      <x:c r="H599" s="16" t="str">
        <x:v>SRC-063</x:v>
      </x:c>
      <x:c r="I599" s="17" t="str"/>
    </x:row>
    <x:row r="600" ht="37" customHeight="1">
      <x:c r="A600" s="16" t="str">
        <x:v>OBS-0594</x:v>
      </x:c>
      <x:c r="B600" s="17" t="str">
        <x:v>是</x:v>
      </x:c>
      <x:c r="C600" s="17" t="str">
        <x:v>Timber splitting and rotting towards the lower section. Timber</x:v>
      </x:c>
      <x:c r="D600" s="17" t="str">
        <x:v>Sculpture C</x:v>
      </x:c>
      <x:c r="E600" s="19" t="n">
        <x:v>1</x:v>
      </x:c>
      <x:c r="F600" s="19" t="n">
        <x:v>1</x:v>
      </x:c>
      <x:c r="G600" s="16" t="str">
        <x:v>MRG-0044</x:v>
      </x:c>
      <x:c r="H600" s="16" t="str">
        <x:v>SRC-094</x:v>
      </x:c>
      <x:c r="I600" s="17" t="str"/>
    </x:row>
    <x:row r="601" ht="37" customHeight="1">
      <x:c r="A601" s="16" t="str">
        <x:v>OBS-0595</x:v>
      </x:c>
      <x:c r="B601" s="17" t="str">
        <x:v>是</x:v>
      </x:c>
      <x:c r="C601" s="17" t="str">
        <x:v>Timber splitting and significant sagging observed.</x:v>
      </x:c>
      <x:c r="D601" s="17" t="str">
        <x:v>Standalone verandah</x:v>
      </x:c>
      <x:c r="E601" s="19" t="n">
        <x:v>1</x:v>
      </x:c>
      <x:c r="F601" s="19" t="n">
        <x:v>1</x:v>
      </x:c>
      <x:c r="G601" s="16" t="str"/>
      <x:c r="H601" s="16" t="str">
        <x:v>SRC-012</x:v>
      </x:c>
      <x:c r="I601" s="17" t="str"/>
    </x:row>
    <x:row r="602" ht="37" customHeight="1">
      <x:c r="A602" s="16" t="str">
        <x:v>OBS-0596</x:v>
      </x:c>
      <x:c r="B602" s="17" t="str">
        <x:v>是</x:v>
      </x:c>
      <x:c r="C602" s="17" t="str">
        <x:v>Timber splitting at end of rafter.</x:v>
      </x:c>
      <x:c r="D602" s="17" t="str">
        <x:v>Childhood Centre - timber rafters</x:v>
      </x:c>
      <x:c r="E602" s="19" t="n">
        <x:v>1</x:v>
      </x:c>
      <x:c r="F602" s="19" t="n">
        <x:v>1</x:v>
      </x:c>
      <x:c r="G602" s="16" t="str"/>
      <x:c r="H602" s="16" t="str">
        <x:v>SRC-063</x:v>
      </x:c>
      <x:c r="I602" s="17" t="str"/>
    </x:row>
    <x:row r="603" ht="37" customHeight="1">
      <x:c r="A603" s="16" t="str">
        <x:v>OBS-0597</x:v>
      </x:c>
      <x:c r="B603" s="17" t="str">
        <x:v>是</x:v>
      </x:c>
      <x:c r="C603" s="17" t="str">
        <x:v>Timber splitting in the middle of rafter.</x:v>
      </x:c>
      <x:c r="D603" s="17" t="str">
        <x:v>Childhood Centre - timber rafters</x:v>
      </x:c>
      <x:c r="E603" s="19" t="n">
        <x:v>1</x:v>
      </x:c>
      <x:c r="F603" s="19" t="n">
        <x:v>1</x:v>
      </x:c>
      <x:c r="G603" s="16" t="str"/>
      <x:c r="H603" s="16" t="str">
        <x:v>SRC-063</x:v>
      </x:c>
      <x:c r="I603" s="17" t="str"/>
    </x:row>
    <x:row r="604" ht="37" customHeight="1">
      <x:c r="A604" s="16" t="str">
        <x:v>OBS-0598</x:v>
      </x:c>
      <x:c r="B604" s="17" t="str">
        <x:v>是</x:v>
      </x:c>
      <x:c r="C604" s="17" t="str">
        <x:v>Timber splitting.</x:v>
      </x:c>
      <x:c r="D604" s="17" t="str">
        <x:v>Verandah tie downs and joists</x:v>
      </x:c>
      <x:c r="E604" s="19" t="n">
        <x:v>1</x:v>
      </x:c>
      <x:c r="F604" s="19" t="n">
        <x:v>1</x:v>
      </x:c>
      <x:c r="G604" s="16" t="str"/>
      <x:c r="H604" s="16" t="str">
        <x:v>SRC-057</x:v>
      </x:c>
      <x:c r="I604" s="17" t="str"/>
    </x:row>
    <x:row r="605" ht="37" customHeight="1">
      <x:c r="A605" s="16" t="str">
        <x:v>OBS-0599</x:v>
      </x:c>
      <x:c r="B605" s="17" t="str">
        <x:v>是</x:v>
      </x:c>
      <x:c r="C605" s="17" t="str">
        <x:v>Typical paint deterioration on all columns.</x:v>
      </x:c>
      <x:c r="D605" s="17" t="str">
        <x:v>Shade structure 1</x:v>
      </x:c>
      <x:c r="E605" s="19" t="n">
        <x:v>1</x:v>
      </x:c>
      <x:c r="F605" s="19" t="n">
        <x:v>1</x:v>
      </x:c>
      <x:c r="G605" s="16" t="str"/>
      <x:c r="H605" s="16" t="str">
        <x:v>SRC-063</x:v>
      </x:c>
      <x:c r="I605" s="17" t="str"/>
    </x:row>
    <x:row r="606" ht="41" customHeight="1">
      <x:c r="A606" s="16" t="str">
        <x:v>OBS-0600</x:v>
      </x:c>
      <x:c r="B606" s="17" t="str">
        <x:v>是</x:v>
      </x:c>
      <x:c r="C606" s="17" t="str">
        <x:v>Verandah Column with tap attached. Column may deteriorate at faster rate when compared with other columns due to water ponding from tap.</x:v>
      </x:c>
      <x:c r="D606" s="17" t="str">
        <x:v>Columns</x:v>
      </x:c>
      <x:c r="E606" s="19" t="n">
        <x:v>1</x:v>
      </x:c>
      <x:c r="F606" s="19" t="n">
        <x:v>1</x:v>
      </x:c>
      <x:c r="G606" s="16" t="str"/>
      <x:c r="H606" s="16" t="str">
        <x:v>SRC-060</x:v>
      </x:c>
      <x:c r="I606" s="17" t="str"/>
    </x:row>
    <x:row r="607" ht="37" customHeight="1">
      <x:c r="A607" s="16" t="str">
        <x:v>OBS-0601</x:v>
      </x:c>
      <x:c r="B607" s="17" t="str">
        <x:v>是</x:v>
      </x:c>
      <x:c r="C607" s="17" t="str">
        <x:v>Verandah front. Minor corrosion of verandah beam.</x:v>
      </x:c>
      <x:c r="D607" s="17" t="str">
        <x:v>Carport verandah</x:v>
      </x:c>
      <x:c r="E607" s="19" t="n">
        <x:v>1</x:v>
      </x:c>
      <x:c r="F607" s="19" t="n">
        <x:v>1</x:v>
      </x:c>
      <x:c r="G607" s="16" t="str"/>
      <x:c r="H607" s="16" t="str">
        <x:v>SRC-023</x:v>
      </x:c>
      <x:c r="I607" s="17" t="str"/>
    </x:row>
    <x:row r="608" ht="37" customHeight="1">
      <x:c r="A608" s="16" t="str">
        <x:v>OBS-0602</x:v>
      </x:c>
      <x:c r="B608" s="17" t="str">
        <x:v>是</x:v>
      </x:c>
      <x:c r="C608" s="17" t="str">
        <x:v>Vertical displacement between adjacent concrete elements.</x:v>
      </x:c>
      <x:c r="D608" s="17" t="str">
        <x:v>Concrete fascia beam</x:v>
      </x:c>
      <x:c r="E608" s="19" t="n">
        <x:v>1</x:v>
      </x:c>
      <x:c r="F608" s="19" t="n">
        <x:v>1</x:v>
      </x:c>
      <x:c r="G608" s="16" t="str"/>
      <x:c r="H608" s="16" t="str">
        <x:v>SRC-096</x:v>
      </x:c>
      <x:c r="I608" s="17" t="str"/>
    </x:row>
    <x:row r="609" ht="37" customHeight="1">
      <x:c r="A609" s="16" t="str">
        <x:v>OBS-0603</x:v>
      </x:c>
      <x:c r="B609" s="17" t="str">
        <x:v>是</x:v>
      </x:c>
      <x:c r="C609" s="17" t="str">
        <x:v>Wall facing the Lukis Street. Minor corrosion of tap hats to the entire length.</x:v>
      </x:c>
      <x:c r="D609" s="17" t="str">
        <x:v>Top hat purlins and Tek screws</x:v>
      </x:c>
      <x:c r="E609" s="19" t="n">
        <x:v>1</x:v>
      </x:c>
      <x:c r="F609" s="19" t="n">
        <x:v>1</x:v>
      </x:c>
      <x:c r="G609" s="16" t="str"/>
      <x:c r="H609" s="16" t="str">
        <x:v>SRC-029</x:v>
      </x:c>
      <x:c r="I609" s="17" t="str"/>
    </x:row>
    <x:row r="610" ht="41" customHeight="1">
      <x:c r="A610" s="16" t="str">
        <x:v>OBS-0604</x:v>
      </x:c>
      <x:c r="B610" s="17" t="str">
        <x:v>是</x:v>
      </x:c>
      <x:c r="C610" s="17" t="str">
        <x:v>Water running from the tap attached to this Column is the cause of severe corrosion at the lower portion of the column.</x:v>
      </x:c>
      <x:c r="D610" s="17" t="str">
        <x:v>Verandah column</x:v>
      </x:c>
      <x:c r="E610" s="19" t="n">
        <x:v>1</x:v>
      </x:c>
      <x:c r="F610" s="19" t="n">
        <x:v>1</x:v>
      </x:c>
      <x:c r="G610" s="16" t="str"/>
      <x:c r="H610" s="16" t="str">
        <x:v>SRC-015</x:v>
      </x:c>
      <x:c r="I610" s="17" t="str"/>
    </x:row>
    <x:row r="611" ht="41" customHeight="1">
      <x:c r="A611" s="16" t="str">
        <x:v>OBS-0605</x:v>
      </x:c>
      <x:c r="B611" s="17" t="str">
        <x:v>是</x:v>
      </x:c>
      <x:c r="C611" s="17" t="str">
        <x:v>Welds have failed causing plate to deform. Sharp edge could cause injury to the public.</x:v>
      </x:c>
      <x:c r="D611" s="17" t="str">
        <x:v>Turnip</x:v>
      </x:c>
      <x:c r="E611" s="19" t="n">
        <x:v>1</x:v>
      </x:c>
      <x:c r="F611" s="19" t="n">
        <x:v>1</x:v>
      </x:c>
      <x:c r="G611" s="16" t="str"/>
      <x:c r="H611" s="16" t="str">
        <x:v>SRC-103</x:v>
      </x:c>
      <x:c r="I611" s="17" t="str"/>
    </x:row>
    <x:row r="612" ht="37" customHeight="1">
      <x:c r="A612" s="16" t="str">
        <x:v>OBS-0606</x:v>
      </x:c>
      <x:c r="B612" s="17" t="str">
        <x:v>是</x:v>
      </x:c>
      <x:c r="C612" s="17" t="str">
        <x:v>West face of the multipurpose building.</x:v>
      </x:c>
      <x:c r="D612" s="17" t="str">
        <x:v>Multipurpose Building – brick wall</x:v>
      </x:c>
      <x:c r="E612" s="19" t="n">
        <x:v>1</x:v>
      </x:c>
      <x:c r="F612" s="19" t="n">
        <x:v>1</x:v>
      </x:c>
      <x:c r="G612" s="16" t="str"/>
      <x:c r="H612" s="16" t="str">
        <x:v>SRC-063</x:v>
      </x:c>
      <x:c r="I612" s="17" t="str"/>
    </x:row>
    <x:row r="613" ht="37" customHeight="1">
      <x:c r="A613" s="16" t="str">
        <x:v>OBS-0607</x:v>
      </x:c>
      <x:c r="B613" s="17" t="str">
        <x:v>是</x:v>
      </x:c>
      <x:c r="C613" s="17" t="str">
        <x:v>Window 1. Minor corrosion of lintel.</x:v>
      </x:c>
      <x:c r="D613" s="17" t="str">
        <x:v>Lintel</x:v>
      </x:c>
      <x:c r="E613" s="19" t="n">
        <x:v>1</x:v>
      </x:c>
      <x:c r="F613" s="19" t="n">
        <x:v>1</x:v>
      </x:c>
      <x:c r="G613" s="16" t="str">
        <x:v>MRG-0028, MRG-0186</x:v>
      </x:c>
      <x:c r="H613" s="16" t="str">
        <x:v>SRC-057</x:v>
      </x:c>
      <x:c r="I613" s="17" t="str"/>
    </x:row>
    <x:row r="614" ht="37" customHeight="1">
      <x:c r="A614" s="16" t="str">
        <x:v>OBS-0608</x:v>
      </x:c>
      <x:c r="B614" s="17" t="str">
        <x:v>是</x:v>
      </x:c>
      <x:c r="C614" s="17" t="str">
        <x:v>Window 2. Minor corrosion of lintel.</x:v>
      </x:c>
      <x:c r="D614" s="17" t="str">
        <x:v>Lintel</x:v>
      </x:c>
      <x:c r="E614" s="19" t="n">
        <x:v>1</x:v>
      </x:c>
      <x:c r="F614" s="19" t="n">
        <x:v>1</x:v>
      </x:c>
      <x:c r="G614" s="16" t="str">
        <x:v>MRG-0028, MRG-0187</x:v>
      </x:c>
      <x:c r="H614" s="16" t="str">
        <x:v>SRC-057</x:v>
      </x:c>
      <x:c r="I614" s="17" t="str"/>
    </x:row>
    <x:row r="615" ht="37" customHeight="1">
      <x:c r="A615" s="16" t="str">
        <x:v>OBS-0609</x:v>
      </x:c>
      <x:c r="B615" s="17" t="str">
        <x:v>是</x:v>
      </x:c>
      <x:c r="C615" s="17" t="str">
        <x:v>Window awning. Salt staining on rafters and purlins.</x:v>
      </x:c>
      <x:c r="D615" s="17" t="str">
        <x:v>Rafters and purlins</x:v>
      </x:c>
      <x:c r="E615" s="19" t="n">
        <x:v>1</x:v>
      </x:c>
      <x:c r="F615" s="19" t="n">
        <x:v>1</x:v>
      </x:c>
      <x:c r="G615" s="16" t="str">
        <x:v>MRG-0158</x:v>
      </x:c>
      <x:c r="H615" s="16" t="str">
        <x:v>SRC-050</x:v>
      </x:c>
      <x:c r="I615" s="17" t="str"/>
    </x:row>
    <x:row r="616" ht="37" customHeight="1">
      <x:c r="A616" s="16" t="str">
        <x:v>OBS-0610</x:v>
      </x:c>
      <x:c r="B616" s="17" t="str">
        <x:v>是</x:v>
      </x:c>
      <x:c r="C616" s="17" t="str">
        <x:v>Window framing in good condition. Staining on surface.</x:v>
      </x:c>
      <x:c r="D616" s="17" t="str">
        <x:v>Cladding and framing</x:v>
      </x:c>
      <x:c r="E616" s="19" t="n">
        <x:v>1</x:v>
      </x:c>
      <x:c r="F616" s="19" t="n">
        <x:v>1</x:v>
      </x:c>
      <x:c r="G616" s="16" t="str"/>
      <x:c r="H616" s="16" t="str">
        <x:v>SRC-024</x:v>
      </x:c>
      <x:c r="I616" s="17" t="str"/>
    </x:row>
    <x:row r="617" ht="37" customHeight="1">
      <x:c r="A617" s="16" t="str">
        <x:v>OBS-0611</x:v>
      </x:c>
      <x:c r="B617" s="17" t="str">
        <x:v>是</x:v>
      </x:c>
      <x:c r="C617" s="17" t="str">
        <x:v>Window is left hand side of front door. Screws have minor corrosion.</x:v>
      </x:c>
      <x:c r="D617" s="17" t="str">
        <x:v>Cladding and framing</x:v>
      </x:c>
      <x:c r="E617" s="19" t="n">
        <x:v>1</x:v>
      </x:c>
      <x:c r="F617" s="19" t="n">
        <x:v>1</x:v>
      </x:c>
      <x:c r="G617" s="16" t="str"/>
      <x:c r="H617" s="16" t="str">
        <x:v>SRC-048</x:v>
      </x:c>
      <x:c r="I617" s="17" t="str"/>
    </x:row>
    <x:row r="618" ht="37" customHeight="1">
      <x:c r="A618" s="16" t="str">
        <x:v>OBS-0612</x:v>
      </x:c>
      <x:c r="B618" s="17" t="str">
        <x:v>是</x:v>
      </x:c>
      <x:c r="C618" s="17" t="str">
        <x:v>Window is right hand side of front door. Window guard has screw missing.</x:v>
      </x:c>
      <x:c r="D618" s="17" t="str">
        <x:v>Cladding and framing</x:v>
      </x:c>
      <x:c r="E618" s="19" t="n">
        <x:v>1</x:v>
      </x:c>
      <x:c r="F618" s="19" t="n">
        <x:v>1</x:v>
      </x:c>
      <x:c r="G618" s="16" t="str"/>
      <x:c r="H618" s="16" t="str">
        <x:v>SRC-048</x:v>
      </x:c>
      <x:c r="I618" s="17" t="str"/>
    </x:row>
    <x:row r="619" ht="37" customHeight="1">
      <x:c r="A619" s="16" t="str">
        <x:v>OBS-0613</x:v>
      </x:c>
      <x:c r="B619" s="17" t="str">
        <x:v>是</x:v>
      </x:c>
      <x:c r="C619" s="17" t="str">
        <x:v>backyard wall cladding. Paint deterioration and minor corrosion.</x:v>
      </x:c>
      <x:c r="D619" s="17" t="str">
        <x:v>Cladding</x:v>
      </x:c>
      <x:c r="E619" s="19" t="n">
        <x:v>1</x:v>
      </x:c>
      <x:c r="F619" s="19" t="n">
        <x:v>1</x:v>
      </x:c>
      <x:c r="G619" s="16" t="str"/>
      <x:c r="H619" s="16" t="str">
        <x:v>SRC-009</x:v>
      </x:c>
      <x:c r="I619" s="17" t="str"/>
    </x:row>
    <x:row r="620" ht="37" customHeight="1">
      <x:c r="A620" s="16" t="str">
        <x:v>OBS-0614</x:v>
      </x:c>
      <x:c r="B620" s="17" t="str">
        <x:v>是</x:v>
      </x:c>
      <x:c r="C620" s="17" t="str">
        <x:v>corrosion at connection.</x:v>
      </x:c>
      <x:c r="D620" s="17" t="str">
        <x:v>Multipurpose Building verandah</x:v>
      </x:c>
      <x:c r="E620" s="19" t="n">
        <x:v>1</x:v>
      </x:c>
      <x:c r="F620" s="19" t="n">
        <x:v>1</x:v>
      </x:c>
      <x:c r="G620" s="16" t="str"/>
      <x:c r="H620" s="16" t="str">
        <x:v>SRC-063</x:v>
      </x:c>
      <x:c r="I620" s="17" t="str"/>
    </x:row>
    <x:row r="621" ht="37" customHeight="1">
      <x:c r="A621" s="16" t="str">
        <x:v>OBS-0615</x:v>
      </x:c>
      <x:c r="B621" s="17" t="str">
        <x:v>是</x:v>
      </x:c>
      <x:c r="C621" s="17" t="str">
        <x:v>front overview.</x:v>
      </x:c>
      <x:c r="D621" s="17" t="str">
        <x:v>Purlins and rafters</x:v>
      </x:c>
      <x:c r="E621" s="19" t="n">
        <x:v>1</x:v>
      </x:c>
      <x:c r="F621" s="19" t="n">
        <x:v>1</x:v>
      </x:c>
      <x:c r="G621" s="16" t="str"/>
      <x:c r="H621" s="16" t="str">
        <x:v>SRC-001</x:v>
      </x:c>
      <x:c r="I621" s="17" t="str"/>
    </x:row>
    <x:row r="622" ht="37" customHeight="1">
      <x:c r="A622" s="16" t="str">
        <x:v>OBS-0616</x:v>
      </x:c>
      <x:c r="B622" s="17" t="str">
        <x:v>是</x:v>
      </x:c>
      <x:c r="C622" s="17" t="str">
        <x:v>hole in brick wall.</x:v>
      </x:c>
      <x:c r="D622" s="17" t="str">
        <x:v>Multipurpose Building – brick wall</x:v>
      </x:c>
      <x:c r="E622" s="19" t="n">
        <x:v>1</x:v>
      </x:c>
      <x:c r="F622" s="19" t="n">
        <x:v>1</x:v>
      </x:c>
      <x:c r="G622" s="16" t="str"/>
      <x:c r="H622" s="16" t="str">
        <x:v>SRC-063</x:v>
      </x:c>
      <x:c r="I622" s="17" t="str"/>
    </x:row>
    <x:row r="623" ht="37" customHeight="1">
      <x:c r="A623" s="16" t="str">
        <x:v>OBS-0617</x:v>
      </x:c>
      <x:c r="B623" s="17" t="str">
        <x:v>是</x:v>
      </x:c>
      <x:c r="C623" s="17" t="str">
        <x:v>holes in plate.</x:v>
      </x:c>
      <x:c r="D623" s="17" t="str">
        <x:v>Turnip</x:v>
      </x:c>
      <x:c r="E623" s="19" t="n">
        <x:v>1</x:v>
      </x:c>
      <x:c r="F623" s="19" t="n">
        <x:v>1</x:v>
      </x:c>
      <x:c r="G623" s="16" t="str"/>
      <x:c r="H623" s="16" t="str">
        <x:v>SRC-103</x:v>
      </x:c>
      <x:c r="I623" s="17" t="str"/>
    </x:row>
    <x:row r="624" ht="37" customHeight="1">
      <x:c r="A624" s="16" t="str">
        <x:v>OBS-0618</x:v>
      </x:c>
      <x:c r="B624" s="17" t="str">
        <x:v>是</x:v>
      </x:c>
      <x:c r="C624" s="17" t="str">
        <x:v>holes in steel work.</x:v>
      </x:c>
      <x:c r="D624" s="17" t="str">
        <x:v>Sculpture B</x:v>
      </x:c>
      <x:c r="E624" s="19" t="n">
        <x:v>1</x:v>
      </x:c>
      <x:c r="F624" s="19" t="n">
        <x:v>1</x:v>
      </x:c>
      <x:c r="G624" s="16" t="str"/>
      <x:c r="H624" s="16" t="str">
        <x:v>SRC-094</x:v>
      </x:c>
      <x:c r="I624" s="17" t="str"/>
    </x:row>
    <x:row r="625" ht="41" customHeight="1">
      <x:c r="A625" s="16" t="str">
        <x:v>OBS-0619</x:v>
      </x:c>
      <x:c r="B625" s="17" t="str">
        <x:v>是</x:v>
      </x:c>
      <x:c r="C625" s="17" t="str">
        <x:v>left hand side of pool shed facing front entrance. Minor corrosion at lower end of cladding.</x:v>
      </x:c>
      <x:c r="D625" s="17" t="str">
        <x:v>Pool support</x:v>
      </x:c>
      <x:c r="E625" s="19" t="n">
        <x:v>1</x:v>
      </x:c>
      <x:c r="F625" s="19" t="n">
        <x:v>1</x:v>
      </x:c>
      <x:c r="G625" s="16" t="str"/>
      <x:c r="H625" s="16" t="str">
        <x:v>SRC-013</x:v>
      </x:c>
      <x:c r="I625" s="17" t="str"/>
    </x:row>
    <x:row r="626" ht="37" customHeight="1">
      <x:c r="A626" s="16" t="str">
        <x:v>OBS-0620</x:v>
      </x:c>
      <x:c r="B626" s="17" t="str">
        <x:v>是</x:v>
      </x:c>
      <x:c r="C626" s="17" t="str">
        <x:v>localised corrosion on light post.</x:v>
      </x:c>
      <x:c r="D626" s="17" t="str">
        <x:v>Light post</x:v>
      </x:c>
      <x:c r="E626" s="19" t="n">
        <x:v>1</x:v>
      </x:c>
      <x:c r="F626" s="19" t="n">
        <x:v>1</x:v>
      </x:c>
      <x:c r="G626" s="16" t="str"/>
      <x:c r="H626" s="16" t="str">
        <x:v>SRC-092</x:v>
      </x:c>
      <x:c r="I626" s="17" t="str"/>
    </x:row>
    <x:row r="627" ht="37" customHeight="1">
      <x:c r="A627" s="16" t="str">
        <x:v>OBS-0621</x:v>
      </x:c>
      <x:c r="B627" s="17" t="str">
        <x:v>是</x:v>
      </x:c>
      <x:c r="C627" s="17" t="str">
        <x:v>some drainage holes are blocked.</x:v>
      </x:c>
      <x:c r="D627" s="17" t="str">
        <x:v>Drainage holes</x:v>
      </x:c>
      <x:c r="E627" s="19" t="n">
        <x:v>1</x:v>
      </x:c>
      <x:c r="F627" s="19" t="n">
        <x:v>1</x:v>
      </x:c>
      <x:c r="G627" s="16" t="str"/>
      <x:c r="H627" s="16" t="str">
        <x:v>SRC-096</x:v>
      </x:c>
      <x:c r="I627" s="17" t="str"/>
    </x:row>
    <x:row r="628" ht="37" customHeight="1">
      <x:c r="A628" s="16" t="str">
        <x:v>OBS-0622</x:v>
      </x:c>
      <x:c r="B628" s="17" t="str">
        <x:v>是</x:v>
      </x:c>
      <x:c r="C628" s="17" t="str">
        <x:v>steel sheeting attached to lintel is deformed.</x:v>
      </x:c>
      <x:c r="D628" s="17" t="str">
        <x:v>Garage</x:v>
      </x:c>
      <x:c r="E628" s="19" t="n">
        <x:v>1</x:v>
      </x:c>
      <x:c r="F628" s="19" t="n">
        <x:v>1</x:v>
      </x:c>
      <x:c r="G628" s="16" t="str"/>
      <x:c r="H628" s="16" t="str">
        <x:v>SRC-006</x:v>
      </x:c>
      <x:c r="I628" s="17" t="str"/>
    </x:row>
  </x:sheetData>
  <x:dataValidations count="1">
    <x:dataValidation type="list" sqref="B7:B628">
      <x:formula1>"是,否"</x:formula1>
    </x:dataValidation>
  </x:dataValidations>
  <x:pageMargins left="0.7" right="0.7" top="0.75" bottom="0.75" header="0.3" footer="0.3"/>
  <x:tableParts count="1">
    <x:tablePart xmlns:r="http://schemas.openxmlformats.org/officeDocument/2006/relationships" r:id="R4af3450f44b54a77"/>
  </x:tableParts>
</x:worksheet>
</file>

<file path=xl/worksheets/sheet2.xml><?xml version="1.0" encoding="utf-8"?>
<x:worksheet xmlns:x="http://schemas.openxmlformats.org/spreadsheetml/2006/main">
  <x:sheetPr>
    <x:tabColor rgb="FF263B53"/>
  </x:sheetPr>
  <x:sheetViews>
    <x:sheetView showGridLines="0" workbookViewId="0">
      <x:pane xSplit="2" ySplit="6" topLeftCell="C7" activePane="bottomRight" state="frozen"/>
    </x:sheetView>
  </x:sheetViews>
  <x:sheetFormatPr defaultRowHeight="15"/>
  <x:cols>
    <x:col min="1" max="1" width="14" hidden="0" customWidth="1"/>
    <x:col min="2" max="2" width="9" hidden="0" customWidth="1"/>
    <x:col min="3" max="3" width="82" hidden="0" customWidth="1"/>
    <x:col min="4" max="4" width="42" hidden="0" customWidth="1"/>
    <x:col min="5" max="5" width="11" hidden="0" customWidth="1"/>
    <x:col min="6" max="6" width="11" hidden="0" customWidth="1"/>
    <x:col min="7" max="7" width="65" hidden="0" customWidth="1"/>
    <x:col min="8" max="8" width="65" hidden="0" customWidth="1"/>
    <x:col min="9" max="9" width="36" hidden="0" customWidth="1"/>
  </x:cols>
  <x:sheetData>
    <x:row r="2" ht="27" customHeight="1">
      <x:c r="A2" s="5" t="str">
        <x:v>Recommendation 精简文字库</x:v>
      </x:c>
      <x:c r="B2" s="2"/>
      <x:c r="C2" s="2"/>
      <x:c r="D2" s="2"/>
      <x:c r="E2" s="2"/>
      <x:c r="F2" s="2"/>
      <x:c r="G2" s="2"/>
      <x:c r="H2" s="2"/>
      <x:c r="I2" s="2"/>
    </x:row>
    <x:row r="3" ht="23" customHeight="1">
      <x:c r="A3" s="6" t="str">
        <x:v>黄色列可编辑；已统一格式，语义合并尚未应用。常见构件显示使用最多的前三项，完整构件见原始记录。</x:v>
      </x:c>
      <x:c r="B3" s="2"/>
      <x:c r="C3" s="2"/>
      <x:c r="D3" s="2"/>
      <x:c r="E3" s="2"/>
      <x:c r="F3" s="2"/>
      <x:c r="G3" s="2"/>
      <x:c r="H3" s="2"/>
      <x:c r="I3" s="2"/>
    </x:row>
    <x:row r="4" ht="23" customHeight="1">
      <x:c r="A4" s="7" t="str">
        <x:f>"词条 "&amp;COUNTA(A7:A181)&amp;"；启用 "&amp;COUNTIF(B7:B181,"是")&amp;"；原报告使用 "&amp;SUM(E7:E181)&amp;" 次"</x:f>
        <x:v>词条 175；启用 175；原报告使用 505 次</x:v>
      </x:c>
      <x:c r="B4" s="2"/>
      <x:c r="C4" s="2"/>
      <x:c r="D4" s="2"/>
      <x:c r="E4" s="2"/>
      <x:c r="F4" s="2"/>
      <x:c r="G4" s="2"/>
      <x:c r="H4" s="2"/>
      <x:c r="I4" s="2"/>
    </x:row>
    <x:row r="5" ht="8" customHeight="1">
      <x:c r="A5" s="2"/>
      <x:c r="B5" s="2"/>
      <x:c r="C5" s="2"/>
      <x:c r="D5" s="2"/>
      <x:c r="E5" s="2"/>
      <x:c r="F5" s="2"/>
      <x:c r="G5" s="2"/>
      <x:c r="H5" s="2"/>
      <x:c r="I5" s="2"/>
    </x:row>
    <x:row r="6" ht="34" customHeight="1">
      <x:c r="A6" s="12" t="str">
        <x:v>词条编号</x:v>
      </x:c>
      <x:c r="B6" s="13" t="str">
        <x:v>启用</x:v>
      </x:c>
      <x:c r="C6" s="13" t="str">
        <x:v>标准描述（可编辑）</x:v>
      </x:c>
      <x:c r="D6" s="13" t="str">
        <x:v>常见构件（可编辑）</x:v>
      </x:c>
      <x:c r="E6" s="13" t="str">
        <x:v>使用次数</x:v>
      </x:c>
      <x:c r="F6" s="13" t="str">
        <x:v>原文数量</x:v>
      </x:c>
      <x:c r="G6" s="13" t="str">
        <x:v>关联确认项</x:v>
      </x:c>
      <x:c r="H6" s="13" t="str">
        <x:v>来源编号</x:v>
      </x:c>
      <x:c r="I6" s="14" t="str">
        <x:v>备注（可编辑）</x:v>
      </x:c>
    </x:row>
    <x:row r="7" ht="83" customHeight="1">
      <x:c r="A7" s="16" t="str">
        <x:v>REC-0001</x:v>
      </x:c>
      <x:c r="B7" s="17" t="str">
        <x:v>是</x:v>
      </x:c>
      <x:c r="C7" s="17" t="str">
        <x:v>Clean, wire brush and repaint.</x:v>
      </x:c>
      <x:c r="D7" s="17" t="str">
        <x:v>Columns; Cladding and framing; Fencing posts</x:v>
      </x:c>
      <x:c r="E7" s="19" t="n">
        <x:v>112</x:v>
      </x:c>
      <x:c r="F7" s="19" t="n">
        <x:v>3</x:v>
      </x:c>
      <x:c r="G7" s="16" t="str">
        <x:v>MRG-0263, MRG-0281</x:v>
      </x:c>
      <x:c r="H7" s="16" t="str">
        <x:v>SRC-002, SRC-003, SRC-004, SRC-008, SRC-009, SRC-010, SRC-013, SRC-014, SRC-023, SRC-025, SRC-027, SRC-029, SRC-048, SRC-049, SRC-050, SRC-054, SRC-051, SRC-052, SRC-055, SRC-057, SRC-058, SRC-059, SRC-061, SRC-062, SRC-065, SRC-068, SRC-069, SRC-098, SRC-099</x:v>
      </x:c>
      <x:c r="I7" s="17" t="str"/>
    </x:row>
    <x:row r="8" ht="41" customHeight="1">
      <x:c r="A8" s="16" t="str">
        <x:v>REC-0002</x:v>
      </x:c>
      <x:c r="B8" s="17" t="str">
        <x:v>是</x:v>
      </x:c>
      <x:c r="C8" s="17" t="str">
        <x:v>Clean, remove corrosion and repaint.</x:v>
      </x:c>
      <x:c r="D8" s="17" t="str">
        <x:v>Columns and beams; Light post; Walkway</x:v>
      </x:c>
      <x:c r="E8" s="19" t="n">
        <x:v>77</x:v>
      </x:c>
      <x:c r="F8" s="19" t="n">
        <x:v>1</x:v>
      </x:c>
      <x:c r="G8" s="16" t="str">
        <x:v>MRG-0208, MRG-0235, MRG-0282</x:v>
      </x:c>
      <x:c r="H8" s="16" t="str">
        <x:v>SRC-006, SRC-009, SRC-012, SRC-015, SRC-055, SRC-063, SRC-071, SRC-092, SRC-094, SRC-100</x:v>
      </x:c>
      <x:c r="I8" s="17" t="str"/>
    </x:row>
    <x:row r="9" ht="55" customHeight="1">
      <x:c r="A9" s="16" t="str">
        <x:v>REC-0003</x:v>
      </x:c>
      <x:c r="B9" s="17" t="str">
        <x:v>是</x:v>
      </x:c>
      <x:c r="C9" s="17" t="str">
        <x:v>None.</x:v>
      </x:c>
      <x:c r="D9" s="17" t="str">
        <x:v>Columns; Cladding and framing; Rafters and purlins</x:v>
      </x:c>
      <x:c r="E9" s="19" t="n">
        <x:v>22</x:v>
      </x:c>
      <x:c r="F9" s="19" t="n">
        <x:v>2</x:v>
      </x:c>
      <x:c r="G9" s="16" t="str"/>
      <x:c r="H9" s="16" t="str">
        <x:v>SRC-001, SRC-003, SRC-004, SRC-005, SRC-006, SRC-008, SRC-012, SRC-013, SRC-025, SRC-028, SRC-053, SRC-051, SRC-060, SRC-061, SRC-063, SRC-070, SRC-092, SRC-098</x:v>
      </x:c>
      <x:c r="I9" s="17" t="str"/>
    </x:row>
    <x:row r="10" ht="41" customHeight="1">
      <x:c r="A10" s="16" t="str">
        <x:v>REC-0004</x:v>
      </x:c>
      <x:c r="B10" s="17" t="str">
        <x:v>是</x:v>
      </x:c>
      <x:c r="C10" s="17" t="str">
        <x:v>Remove salt staining.</x:v>
      </x:c>
      <x:c r="D10" s="17" t="str">
        <x:v>Cladding and framing; Columns; Rafters and purlins</x:v>
      </x:c>
      <x:c r="E10" s="19" t="n">
        <x:v>20</x:v>
      </x:c>
      <x:c r="F10" s="19" t="n">
        <x:v>1</x:v>
      </x:c>
      <x:c r="G10" s="16" t="str">
        <x:v>MRG-0255, MRG-0280</x:v>
      </x:c>
      <x:c r="H10" s="16" t="str">
        <x:v>SRC-002, SRC-005, SRC-008, SRC-011, SRC-058, SRC-059, SRC-060</x:v>
      </x:c>
      <x:c r="I10" s="17" t="str"/>
    </x:row>
    <x:row r="11" ht="37" customHeight="1">
      <x:c r="A11" s="16" t="str">
        <x:v>REC-0005</x:v>
      </x:c>
      <x:c r="B11" s="17" t="str">
        <x:v>是</x:v>
      </x:c>
      <x:c r="C11" s="17" t="str">
        <x:v>Clean, wire brush and repaint corroded areas.</x:v>
      </x:c>
      <x:c r="D11" s="17" t="str">
        <x:v>Cladding and framing; Columns</x:v>
      </x:c>
      <x:c r="E11" s="19" t="n">
        <x:v>15</x:v>
      </x:c>
      <x:c r="F11" s="19" t="n">
        <x:v>1</x:v>
      </x:c>
      <x:c r="G11" s="16" t="str">
        <x:v>MRG-0260, MRG-0283</x:v>
      </x:c>
      <x:c r="H11" s="16" t="str">
        <x:v>SRC-011, SRC-024, SRC-026, SRC-028, SRC-050, SRC-056, SRC-060</x:v>
      </x:c>
      <x:c r="I11" s="17" t="str"/>
    </x:row>
    <x:row r="12" ht="41" customHeight="1">
      <x:c r="A12" s="16" t="str">
        <x:v>REC-0006</x:v>
      </x:c>
      <x:c r="B12" s="17" t="str">
        <x:v>是</x:v>
      </x:c>
      <x:c r="C12" s="17" t="str">
        <x:v>Clean and repaint.</x:v>
      </x:c>
      <x:c r="D12" s="17" t="str">
        <x:v>Columns and beams; Columns; Multipurpose Building verandah</x:v>
      </x:c>
      <x:c r="E12" s="19" t="n">
        <x:v>11</x:v>
      </x:c>
      <x:c r="F12" s="19" t="n">
        <x:v>1</x:v>
      </x:c>
      <x:c r="G12" s="16" t="str">
        <x:v>MRG-0284</x:v>
      </x:c>
      <x:c r="H12" s="16" t="str">
        <x:v>SRC-002, SRC-009, SRC-024, SRC-054, SRC-055, SRC-056, SRC-058, SRC-063</x:v>
      </x:c>
      <x:c r="I12" s="17" t="str"/>
    </x:row>
    <x:row r="13" ht="41" customHeight="1">
      <x:c r="A13" s="16" t="str">
        <x:v>REC-0007</x:v>
      </x:c>
      <x:c r="B13" s="17" t="str">
        <x:v>是</x:v>
      </x:c>
      <x:c r="C13" s="17" t="str">
        <x:v>Replace column.</x:v>
      </x:c>
      <x:c r="D13" s="17" t="str">
        <x:v>Steel frame columns; Verandah column; Shade structure 2 columns</x:v>
      </x:c>
      <x:c r="E13" s="19" t="n">
        <x:v>9</x:v>
      </x:c>
      <x:c r="F13" s="19" t="n">
        <x:v>2</x:v>
      </x:c>
      <x:c r="G13" s="16" t="str"/>
      <x:c r="H13" s="16" t="str">
        <x:v>SRC-006, SRC-092, SRC-100</x:v>
      </x:c>
      <x:c r="I13" s="17" t="str"/>
    </x:row>
    <x:row r="14" ht="37" customHeight="1">
      <x:c r="A14" s="16" t="str">
        <x:v>REC-0008</x:v>
      </x:c>
      <x:c r="B14" s="17" t="str">
        <x:v>是</x:v>
      </x:c>
      <x:c r="C14" s="17" t="str">
        <x:v>Clean off salt staining.</x:v>
      </x:c>
      <x:c r="D14" s="17" t="str">
        <x:v>Rafters and purlins</x:v>
      </x:c>
      <x:c r="E14" s="19" t="n">
        <x:v>8</x:v>
      </x:c>
      <x:c r="F14" s="19" t="n">
        <x:v>1</x:v>
      </x:c>
      <x:c r="G14" s="16" t="str">
        <x:v>MRG-0227, MRG-0244, MRG-0280, MRG-0286</x:v>
      </x:c>
      <x:c r="H14" s="16" t="str">
        <x:v>SRC-011, SRC-024, SRC-026, SRC-052, SRC-056, SRC-060</x:v>
      </x:c>
      <x:c r="I14" s="17" t="str"/>
    </x:row>
    <x:row r="15" ht="37" customHeight="1">
      <x:c r="A15" s="16" t="str">
        <x:v>REC-0009</x:v>
      </x:c>
      <x:c r="B15" s="17" t="str">
        <x:v>是</x:v>
      </x:c>
      <x:c r="C15" s="17" t="str">
        <x:v>Clean salt staining.</x:v>
      </x:c>
      <x:c r="D15" s="17" t="str">
        <x:v>Rafters and purlins; Purlins and rafters</x:v>
      </x:c>
      <x:c r="E15" s="19" t="n">
        <x:v>6</x:v>
      </x:c>
      <x:c r="F15" s="19" t="n">
        <x:v>1</x:v>
      </x:c>
      <x:c r="G15" s="16" t="str">
        <x:v>MRG-0227, MRG-0228, MRG-0280, MRG-0288</x:v>
      </x:c>
      <x:c r="H15" s="16" t="str">
        <x:v>SRC-001, SRC-028, SRC-050</x:v>
      </x:c>
      <x:c r="I15" s="17" t="str"/>
    </x:row>
    <x:row r="16" ht="55" customHeight="1">
      <x:c r="A16" s="16" t="str">
        <x:v>REC-0010</x:v>
      </x:c>
      <x:c r="B16" s="17" t="str">
        <x:v>是</x:v>
      </x:c>
      <x:c r="C16" s="17" t="str">
        <x:v>Clean, remove peeling paint and repaint.</x:v>
      </x:c>
      <x:c r="D16" s="17" t="str">
        <x:v>Verandah columns and beams; Back verandah columns; Pool seating and shade structure</x:v>
      </x:c>
      <x:c r="E16" s="19" t="n">
        <x:v>5</x:v>
      </x:c>
      <x:c r="F16" s="19" t="n">
        <x:v>1</x:v>
      </x:c>
      <x:c r="G16" s="16" t="str"/>
      <x:c r="H16" s="16" t="str">
        <x:v>SRC-015, SRC-092</x:v>
      </x:c>
      <x:c r="I16" s="17" t="str"/>
    </x:row>
    <x:row r="17" ht="55" customHeight="1">
      <x:c r="A17" s="16" t="str">
        <x:v>REC-0011</x:v>
      </x:c>
      <x:c r="B17" s="17" t="str">
        <x:v>是</x:v>
      </x:c>
      <x:c r="C17" s="17" t="str">
        <x:v>Clean, wire brush and repaint. Excavate all fencing posts to the base and investigate the condition. Undertake appropriate repair stated within Section 3.</x:v>
      </x:c>
      <x:c r="D17" s="17" t="str">
        <x:v>Fencing posts; Fencing post</x:v>
      </x:c>
      <x:c r="E17" s="19" t="n">
        <x:v>5</x:v>
      </x:c>
      <x:c r="F17" s="19" t="n">
        <x:v>1</x:v>
      </x:c>
      <x:c r="G17" s="16" t="str">
        <x:v>MRG-0202, MRG-0206, MRG-0215, MRG-0223, MRG-0225, MRG-0229, MRG-0237, MRG-0251, MRG-0254, MRG-0258, MRG-0281, MRG-0285, MRG-0287</x:v>
      </x:c>
      <x:c r="H17" s="16" t="str">
        <x:v>SRC-001, SRC-024, SRC-025, SRC-028, SRC-060</x:v>
      </x:c>
      <x:c r="I17" s="17" t="str"/>
    </x:row>
    <x:row r="18" ht="37" customHeight="1">
      <x:c r="A18" s="16" t="str">
        <x:v>REC-0012</x:v>
      </x:c>
      <x:c r="B18" s="17" t="str">
        <x:v>是</x:v>
      </x:c>
      <x:c r="C18" s="17" t="str">
        <x:v>Replace the rafter and cracked bricks.</x:v>
      </x:c>
      <x:c r="D18" s="17" t="str">
        <x:v>Rafters</x:v>
      </x:c>
      <x:c r="E18" s="19" t="n">
        <x:v>5</x:v>
      </x:c>
      <x:c r="F18" s="19" t="n">
        <x:v>2</x:v>
      </x:c>
      <x:c r="G18" s="16" t="str">
        <x:v>MRG-0210</x:v>
      </x:c>
      <x:c r="H18" s="16" t="str">
        <x:v>SRC-006</x:v>
      </x:c>
      <x:c r="I18" s="17" t="str"/>
    </x:row>
    <x:row r="19" ht="37" customHeight="1">
      <x:c r="A19" s="16" t="str">
        <x:v>REC-0013</x:v>
      </x:c>
      <x:c r="B19" s="17" t="str">
        <x:v>是</x:v>
      </x:c>
      <x:c r="C19" s="17" t="str">
        <x:v>Clean all salt staining.</x:v>
      </x:c>
      <x:c r="D19" s="17" t="str">
        <x:v>Cladding and framing</x:v>
      </x:c>
      <x:c r="E19" s="19" t="n">
        <x:v>4</x:v>
      </x:c>
      <x:c r="F19" s="19" t="n">
        <x:v>1</x:v>
      </x:c>
      <x:c r="G19" s="16" t="str">
        <x:v>MRG-0228, MRG-0244, MRG-0289</x:v>
      </x:c>
      <x:c r="H19" s="16" t="str">
        <x:v>SRC-025, SRC-027, SRC-049</x:v>
      </x:c>
      <x:c r="I19" s="17" t="str"/>
    </x:row>
    <x:row r="20" ht="37" customHeight="1">
      <x:c r="A20" s="16" t="str">
        <x:v>REC-0014</x:v>
      </x:c>
      <x:c r="B20" s="17" t="str">
        <x:v>是</x:v>
      </x:c>
      <x:c r="C20" s="17" t="str">
        <x:v>Clean and repaint where paint deterioration has occurred.</x:v>
      </x:c>
      <x:c r="D20" s="17" t="str">
        <x:v>Rafters and purlins</x:v>
      </x:c>
      <x:c r="E20" s="19" t="n">
        <x:v>4</x:v>
      </x:c>
      <x:c r="F20" s="19" t="n">
        <x:v>1</x:v>
      </x:c>
      <x:c r="G20" s="16" t="str"/>
      <x:c r="H20" s="16" t="str">
        <x:v>SRC-053</x:v>
      </x:c>
      <x:c r="I20" s="17" t="str"/>
    </x:row>
    <x:row r="21" ht="37" customHeight="1">
      <x:c r="A21" s="16" t="str">
        <x:v>REC-0015</x:v>
      </x:c>
      <x:c r="B21" s="17" t="str">
        <x:v>是</x:v>
      </x:c>
      <x:c r="C21" s="17" t="str">
        <x:v>Refer the Section 3 for remedial works.</x:v>
      </x:c>
      <x:c r="D21" s="17" t="str">
        <x:v>Concrete slab</x:v>
      </x:c>
      <x:c r="E21" s="19" t="n">
        <x:v>4</x:v>
      </x:c>
      <x:c r="F21" s="19" t="n">
        <x:v>1</x:v>
      </x:c>
      <x:c r="G21" s="16" t="str"/>
      <x:c r="H21" s="16" t="str">
        <x:v>SRC-096</x:v>
      </x:c>
      <x:c r="I21" s="17" t="str"/>
    </x:row>
    <x:row r="22" ht="37" customHeight="1">
      <x:c r="A22" s="16" t="str">
        <x:v>REC-0016</x:v>
      </x:c>
      <x:c r="B22" s="17" t="str">
        <x:v>是</x:v>
      </x:c>
      <x:c r="C22" s="17" t="str">
        <x:v>Repair by Helifix stainless products to stabilise cracked bricks.</x:v>
      </x:c>
      <x:c r="D22" s="17" t="str">
        <x:v>Back verandah Brick piers</x:v>
      </x:c>
      <x:c r="E22" s="19" t="n">
        <x:v>4</x:v>
      </x:c>
      <x:c r="F22" s="19" t="n">
        <x:v>1</x:v>
      </x:c>
      <x:c r="G22" s="16" t="str">
        <x:v>MRG-0290</x:v>
      </x:c>
      <x:c r="H22" s="16" t="str">
        <x:v>SRC-006</x:v>
      </x:c>
      <x:c r="I22" s="17" t="str"/>
    </x:row>
    <x:row r="23" ht="37" customHeight="1">
      <x:c r="A23" s="16" t="str">
        <x:v>REC-0017</x:v>
      </x:c>
      <x:c r="B23" s="17" t="str">
        <x:v>是</x:v>
      </x:c>
      <x:c r="C23" s="17" t="str">
        <x:v>Replace the column to match existing.</x:v>
      </x:c>
      <x:c r="D23" s="17" t="str">
        <x:v>Verandah columns</x:v>
      </x:c>
      <x:c r="E23" s="19" t="n">
        <x:v>4</x:v>
      </x:c>
      <x:c r="F23" s="19" t="n">
        <x:v>1</x:v>
      </x:c>
      <x:c r="G23" s="16" t="str">
        <x:v>MRG-0196, MRG-0220, MRG-0240</x:v>
      </x:c>
      <x:c r="H23" s="16" t="str">
        <x:v>SRC-029</x:v>
      </x:c>
      <x:c r="I23" s="17" t="str"/>
    </x:row>
    <x:row r="24" ht="37" customHeight="1">
      <x:c r="A24" s="16" t="str">
        <x:v>REC-0018</x:v>
      </x:c>
      <x:c r="B24" s="17" t="str">
        <x:v>是</x:v>
      </x:c>
      <x:c r="C24" s="17" t="str">
        <x:v>Clean, remove corrosion and repaint all sections.</x:v>
      </x:c>
      <x:c r="D24" s="17" t="str">
        <x:v>Steel hollow sections</x:v>
      </x:c>
      <x:c r="E24" s="19" t="n">
        <x:v>3</x:v>
      </x:c>
      <x:c r="F24" s="19" t="n">
        <x:v>1</x:v>
      </x:c>
      <x:c r="G24" s="16" t="str">
        <x:v>MRG-0236</x:v>
      </x:c>
      <x:c r="H24" s="16" t="str">
        <x:v>SRC-071</x:v>
      </x:c>
      <x:c r="I24" s="17" t="str"/>
    </x:row>
    <x:row r="25" ht="37" customHeight="1">
      <x:c r="A25" s="16" t="str">
        <x:v>REC-0019</x:v>
      </x:c>
      <x:c r="B25" s="17" t="str">
        <x:v>是</x:v>
      </x:c>
      <x:c r="C25" s="17" t="str">
        <x:v>Monitor crack length and width periodically.</x:v>
      </x:c>
      <x:c r="D25" s="17" t="str">
        <x:v>Concrete staircase; Concrete column</x:v>
      </x:c>
      <x:c r="E25" s="19" t="n">
        <x:v>3</x:v>
      </x:c>
      <x:c r="F25" s="19" t="n">
        <x:v>1</x:v>
      </x:c>
      <x:c r="G25" s="16" t="str">
        <x:v>MRG-0292</x:v>
      </x:c>
      <x:c r="H25" s="16" t="str">
        <x:v>SRC-096</x:v>
      </x:c>
      <x:c r="I25" s="17" t="str"/>
    </x:row>
    <x:row r="26" ht="37" customHeight="1">
      <x:c r="A26" s="16" t="str">
        <x:v>REC-0020</x:v>
      </x:c>
      <x:c r="B26" s="17" t="str">
        <x:v>是</x:v>
      </x:c>
      <x:c r="C26" s="17" t="str">
        <x:v>Replace the gutter completely to match existing.</x:v>
      </x:c>
      <x:c r="D26" s="17" t="str">
        <x:v>Gutter</x:v>
      </x:c>
      <x:c r="E26" s="19" t="n">
        <x:v>3</x:v>
      </x:c>
      <x:c r="F26" s="19" t="n">
        <x:v>1</x:v>
      </x:c>
      <x:c r="G26" s="16" t="str"/>
      <x:c r="H26" s="16" t="str">
        <x:v>SRC-029</x:v>
      </x:c>
      <x:c r="I26" s="17" t="str"/>
    </x:row>
    <x:row r="27" ht="37" customHeight="1">
      <x:c r="A27" s="16" t="str">
        <x:v>REC-0021</x:v>
      </x:c>
      <x:c r="B27" s="17" t="str">
        <x:v>是</x:v>
      </x:c>
      <x:c r="C27" s="17" t="str">
        <x:v>Replace the post to match existing.</x:v>
      </x:c>
      <x:c r="D27" s="17" t="str">
        <x:v>Fencing posts</x:v>
      </x:c>
      <x:c r="E27" s="19" t="n">
        <x:v>3</x:v>
      </x:c>
      <x:c r="F27" s="19" t="n">
        <x:v>1</x:v>
      </x:c>
      <x:c r="G27" s="16" t="str">
        <x:v>MRG-0232, MRG-0240</x:v>
      </x:c>
      <x:c r="H27" s="16" t="str">
        <x:v>SRC-029</x:v>
      </x:c>
      <x:c r="I27" s="17" t="str"/>
    </x:row>
    <x:row r="28" ht="37" customHeight="1">
      <x:c r="A28" s="16" t="str">
        <x:v>REC-0022</x:v>
      </x:c>
      <x:c r="B28" s="17" t="str">
        <x:v>是</x:v>
      </x:c>
      <x:c r="C28" s="17" t="str">
        <x:v>Tighten loose screws and replace missing screws.</x:v>
      </x:c>
      <x:c r="D28" s="17" t="str">
        <x:v>Cladding and framing</x:v>
      </x:c>
      <x:c r="E28" s="19" t="n">
        <x:v>3</x:v>
      </x:c>
      <x:c r="F28" s="19" t="n">
        <x:v>1</x:v>
      </x:c>
      <x:c r="G28" s="16" t="str"/>
      <x:c r="H28" s="16" t="str">
        <x:v>SRC-048</x:v>
      </x:c>
      <x:c r="I28" s="17" t="str"/>
    </x:row>
    <x:row r="29" ht="41" customHeight="1">
      <x:c r="A29" s="16" t="str">
        <x:v>REC-0023</x:v>
      </x:c>
      <x:c r="B29" s="17" t="str">
        <x:v>是</x:v>
      </x:c>
      <x:c r="C29" s="17" t="str">
        <x:v>Clean off salt staining. Wire brush and apply cold galvanising paint all areas with surface corrosion.</x:v>
      </x:c>
      <x:c r="D29" s="17" t="str">
        <x:v>Beams</x:v>
      </x:c>
      <x:c r="E29" s="19" t="n">
        <x:v>2</x:v>
      </x:c>
      <x:c r="F29" s="19" t="n">
        <x:v>1</x:v>
      </x:c>
      <x:c r="G29" s="16" t="str">
        <x:v>MRG-0286</x:v>
      </x:c>
      <x:c r="H29" s="16" t="str">
        <x:v>SRC-004, SRC-005</x:v>
      </x:c>
      <x:c r="I29" s="17" t="str"/>
    </x:row>
    <x:row r="30" ht="41" customHeight="1">
      <x:c r="A30" s="16" t="str">
        <x:v>REC-0024</x:v>
      </x:c>
      <x:c r="B30" s="17" t="str">
        <x:v>是</x:v>
      </x:c>
      <x:c r="C30" s="17" t="str">
        <x:v>Clean the area, remove all corrosion, and inspect the remaining steel. It may require either replacement or repainting.</x:v>
      </x:c>
      <x:c r="D30" s="17" t="str">
        <x:v>Shade structure 4 columns and struts; Basketball post</x:v>
      </x:c>
      <x:c r="E30" s="19" t="n">
        <x:v>2</x:v>
      </x:c>
      <x:c r="F30" s="19" t="n">
        <x:v>1</x:v>
      </x:c>
      <x:c r="G30" s="16" t="str">
        <x:v>MRG-0219, MRG-0294, MRG-0297</x:v>
      </x:c>
      <x:c r="H30" s="16" t="str">
        <x:v>SRC-092</x:v>
      </x:c>
      <x:c r="I30" s="17" t="str"/>
    </x:row>
    <x:row r="31" ht="41" customHeight="1">
      <x:c r="A31" s="16" t="str">
        <x:v>REC-0025</x:v>
      </x:c>
      <x:c r="B31" s="17" t="str">
        <x:v>是</x:v>
      </x:c>
      <x:c r="C31" s="17" t="str">
        <x:v>Clean, remove the corrosion and repaint.</x:v>
      </x:c>
      <x:c r="D31" s="17" t="str">
        <x:v>Column baseplate; Dragonfly shade structure</x:v>
      </x:c>
      <x:c r="E31" s="19" t="n">
        <x:v>2</x:v>
      </x:c>
      <x:c r="F31" s="19" t="n">
        <x:v>1</x:v>
      </x:c>
      <x:c r="G31" s="16" t="str">
        <x:v>MRG-0208, MRG-0262</x:v>
      </x:c>
      <x:c r="H31" s="16" t="str">
        <x:v>SRC-080</x:v>
      </x:c>
      <x:c r="I31" s="17" t="str"/>
    </x:row>
    <x:row r="32" ht="41" customHeight="1">
      <x:c r="A32" s="16" t="str">
        <x:v>REC-0026</x:v>
      </x:c>
      <x:c r="B32" s="17" t="str">
        <x:v>是</x:v>
      </x:c>
      <x:c r="C32" s="17" t="str">
        <x:v>Clean, wire brush and repaint. Expose the posts base and investigate the condition. Undertake appropriate repair stated within Section 3.</x:v>
      </x:c>
      <x:c r="D32" s="17" t="str">
        <x:v>Fencing posts</x:v>
      </x:c>
      <x:c r="E32" s="19" t="n">
        <x:v>2</x:v>
      </x:c>
      <x:c r="F32" s="19" t="n">
        <x:v>2</x:v>
      </x:c>
      <x:c r="G32" s="16" t="str">
        <x:v>MRG-0197, MRG-0200, MRG-0205, MRG-0213, MRG-0216, MRG-0226, MRG-0229, MRG-0252, MRG-0261, MRG-0281, MRG-0285, MRG-0296</x:v>
      </x:c>
      <x:c r="H32" s="16" t="str">
        <x:v>SRC-010, SRC-059</x:v>
      </x:c>
      <x:c r="I32" s="17" t="str"/>
    </x:row>
    <x:row r="33" ht="37" customHeight="1">
      <x:c r="A33" s="16" t="str">
        <x:v>REC-0027</x:v>
      </x:c>
      <x:c r="B33" s="17" t="str">
        <x:v>是</x:v>
      </x:c>
      <x:c r="C33" s="17" t="str">
        <x:v>Clean, wire brush, and paint with cold galvanise coating.</x:v>
      </x:c>
      <x:c r="D33" s="17" t="str">
        <x:v>Carport PFC purlins</x:v>
      </x:c>
      <x:c r="E33" s="19" t="n">
        <x:v>2</x:v>
      </x:c>
      <x:c r="F33" s="19" t="n">
        <x:v>1</x:v>
      </x:c>
      <x:c r="G33" s="16" t="str">
        <x:v>MRG-0291</x:v>
      </x:c>
      <x:c r="H33" s="16" t="str">
        <x:v>SRC-029</x:v>
      </x:c>
      <x:c r="I33" s="17" t="str"/>
    </x:row>
    <x:row r="34" ht="41" customHeight="1">
      <x:c r="A34" s="16" t="str">
        <x:v>REC-0028</x:v>
      </x:c>
      <x:c r="B34" s="17" t="str">
        <x:v>是</x:v>
      </x:c>
      <x:c r="C34" s="17" t="str">
        <x:v>Clean, wire brush, and paint with cold galvanise coating. Replace all corroded Tek screws.</x:v>
      </x:c>
      <x:c r="D34" s="17" t="str">
        <x:v>Top hat purlins and Tek screws</x:v>
      </x:c>
      <x:c r="E34" s="19" t="n">
        <x:v>2</x:v>
      </x:c>
      <x:c r="F34" s="19" t="n">
        <x:v>1</x:v>
      </x:c>
      <x:c r="G34" s="16" t="str">
        <x:v>MRG-0291</x:v>
      </x:c>
      <x:c r="H34" s="16" t="str">
        <x:v>SRC-029</x:v>
      </x:c>
      <x:c r="I34" s="17" t="str"/>
    </x:row>
    <x:row r="35" ht="41" customHeight="1">
      <x:c r="A35" s="16" t="str">
        <x:v>REC-0029</x:v>
      </x:c>
      <x:c r="B35" s="17" t="str">
        <x:v>是</x:v>
      </x:c>
      <x:c r="C35" s="17" t="str">
        <x:v>Column to be replaced. Shade structure shall be removed and pool closed to the public until column is replaced.</x:v>
      </x:c>
      <x:c r="D35" s="17" t="str">
        <x:v>Shade structure 1 over children’s pool</x:v>
      </x:c>
      <x:c r="E35" s="19" t="n">
        <x:v>2</x:v>
      </x:c>
      <x:c r="F35" s="19" t="n">
        <x:v>1</x:v>
      </x:c>
      <x:c r="G35" s="16" t="str"/>
      <x:c r="H35" s="16" t="str">
        <x:v>SRC-092</x:v>
      </x:c>
      <x:c r="I35" s="17" t="str"/>
    </x:row>
    <x:row r="36" ht="37" customHeight="1">
      <x:c r="A36" s="16" t="str">
        <x:v>REC-0030</x:v>
      </x:c>
      <x:c r="B36" s="17" t="str">
        <x:v>是</x:v>
      </x:c>
      <x:c r="C36" s="17" t="str">
        <x:v>Cover hole with steel sheet.</x:v>
      </x:c>
      <x:c r="D36" s="17" t="str">
        <x:v>Roof sheeting</x:v>
      </x:c>
      <x:c r="E36" s="19" t="n">
        <x:v>2</x:v>
      </x:c>
      <x:c r="F36" s="19" t="n">
        <x:v>1</x:v>
      </x:c>
      <x:c r="G36" s="16" t="str"/>
      <x:c r="H36" s="16" t="str">
        <x:v>SRC-048</x:v>
      </x:c>
      <x:c r="I36" s="17" t="str"/>
    </x:row>
    <x:row r="37" ht="37" customHeight="1">
      <x:c r="A37" s="16" t="str">
        <x:v>REC-0031</x:v>
      </x:c>
      <x:c r="B37" s="17" t="str">
        <x:v>是</x:v>
      </x:c>
      <x:c r="C37" s="17" t="str">
        <x:v>Monitor the corrosion level</x:v>
      </x:c>
      <x:c r="D37" s="17" t="str">
        <x:v>Miner statue</x:v>
      </x:c>
      <x:c r="E37" s="19" t="n">
        <x:v>2</x:v>
      </x:c>
      <x:c r="F37" s="19" t="n">
        <x:v>1</x:v>
      </x:c>
      <x:c r="G37" s="16" t="str"/>
      <x:c r="H37" s="16" t="str">
        <x:v>SRC-071</x:v>
      </x:c>
      <x:c r="I37" s="17" t="str"/>
    </x:row>
    <x:row r="38" ht="37" customHeight="1">
      <x:c r="A38" s="16" t="str">
        <x:v>REC-0032</x:v>
      </x:c>
      <x:c r="B38" s="17" t="str">
        <x:v>是</x:v>
      </x:c>
      <x:c r="C38" s="17" t="str">
        <x:v>Panels displaying full-thickness cracking are to be replaced.</x:v>
      </x:c>
      <x:c r="D38" s="17" t="str">
        <x:v>Retaining wall</x:v>
      </x:c>
      <x:c r="E38" s="19" t="n">
        <x:v>2</x:v>
      </x:c>
      <x:c r="F38" s="19" t="n">
        <x:v>1</x:v>
      </x:c>
      <x:c r="G38" s="16" t="str"/>
      <x:c r="H38" s="16" t="str">
        <x:v>SRC-028</x:v>
      </x:c>
      <x:c r="I38" s="17" t="str"/>
    </x:row>
    <x:row r="39" ht="37" customHeight="1">
      <x:c r="A39" s="16" t="str">
        <x:v>REC-0033</x:v>
      </x:c>
      <x:c r="B39" s="17" t="str">
        <x:v>是</x:v>
      </x:c>
      <x:c r="C39" s="17" t="str">
        <x:v>Reinstate plate that has deformed with spot weld.</x:v>
      </x:c>
      <x:c r="D39" s="17" t="str">
        <x:v>Turnip</x:v>
      </x:c>
      <x:c r="E39" s="19" t="n">
        <x:v>2</x:v>
      </x:c>
      <x:c r="F39" s="19" t="n">
        <x:v>1</x:v>
      </x:c>
      <x:c r="G39" s="16" t="str"/>
      <x:c r="H39" s="16" t="str">
        <x:v>SRC-103</x:v>
      </x:c>
      <x:c r="I39" s="17" t="str"/>
    </x:row>
    <x:row r="40" ht="37" customHeight="1">
      <x:c r="A40" s="16" t="str">
        <x:v>REC-0034</x:v>
      </x:c>
      <x:c r="B40" s="17" t="str">
        <x:v>是</x:v>
      </x:c>
      <x:c r="C40" s="17" t="str">
        <x:v>Remove salt staining and repaint column.</x:v>
      </x:c>
      <x:c r="D40" s="17" t="str">
        <x:v>Back verandah columns</x:v>
      </x:c>
      <x:c r="E40" s="19" t="n">
        <x:v>2</x:v>
      </x:c>
      <x:c r="F40" s="19" t="n">
        <x:v>1</x:v>
      </x:c>
      <x:c r="G40" s="16" t="str"/>
      <x:c r="H40" s="16" t="str">
        <x:v>SRC-008</x:v>
      </x:c>
      <x:c r="I40" s="17" t="str"/>
    </x:row>
    <x:row r="41" ht="37" customHeight="1">
      <x:c r="A41" s="16" t="str">
        <x:v>REC-0035</x:v>
      </x:c>
      <x:c r="B41" s="17" t="str">
        <x:v>是</x:v>
      </x:c>
      <x:c r="C41" s="17" t="str">
        <x:v>Remove the corrosion, re welding and repaint</x:v>
      </x:c>
      <x:c r="D41" s="17" t="str">
        <x:v>Front entrance seat; Seats</x:v>
      </x:c>
      <x:c r="E41" s="19" t="n">
        <x:v>2</x:v>
      </x:c>
      <x:c r="F41" s="19" t="n">
        <x:v>1</x:v>
      </x:c>
      <x:c r="G41" s="16" t="str"/>
      <x:c r="H41" s="16" t="str">
        <x:v>SRC-063</x:v>
      </x:c>
      <x:c r="I41" s="17" t="str"/>
    </x:row>
    <x:row r="42" ht="37" customHeight="1">
      <x:c r="A42" s="16" t="str">
        <x:v>REC-0036</x:v>
      </x:c>
      <x:c r="B42" s="17" t="str">
        <x:v>是</x:v>
      </x:c>
      <x:c r="C42" s="17" t="str">
        <x:v>Remove the paint, clear the corrosion, seal the holes and reinstate the paint.</x:v>
      </x:c>
      <x:c r="D42" s="17" t="str">
        <x:v>Steel frame columns</x:v>
      </x:c>
      <x:c r="E42" s="19" t="n">
        <x:v>2</x:v>
      </x:c>
      <x:c r="F42" s="19" t="n">
        <x:v>1</x:v>
      </x:c>
      <x:c r="G42" s="16" t="str"/>
      <x:c r="H42" s="16" t="str">
        <x:v>SRC-100</x:v>
      </x:c>
      <x:c r="I42" s="17" t="str"/>
    </x:row>
    <x:row r="43" ht="37" customHeight="1">
      <x:c r="A43" s="16" t="str">
        <x:v>REC-0037</x:v>
      </x:c>
      <x:c r="B43" s="17" t="str">
        <x:v>是</x:v>
      </x:c>
      <x:c r="C43" s="17" t="str">
        <x:v>Remove the rust and investigate steel interface.</x:v>
      </x:c>
      <x:c r="D43" s="17" t="str">
        <x:v>Frame connections</x:v>
      </x:c>
      <x:c r="E43" s="19" t="n">
        <x:v>2</x:v>
      </x:c>
      <x:c r="F43" s="19" t="n">
        <x:v>1</x:v>
      </x:c>
      <x:c r="G43" s="16" t="str"/>
      <x:c r="H43" s="16" t="str">
        <x:v>SRC-100</x:v>
      </x:c>
      <x:c r="I43" s="17" t="str"/>
    </x:row>
    <x:row r="44" ht="37" customHeight="1">
      <x:c r="A44" s="16" t="str">
        <x:v>REC-0038</x:v>
      </x:c>
      <x:c r="B44" s="17" t="str">
        <x:v>是</x:v>
      </x:c>
      <x:c r="C44" s="17" t="str">
        <x:v>Remove the rust, clean, wire brush and repaint.</x:v>
      </x:c>
      <x:c r="D44" s="17" t="str">
        <x:v>Carport column baseplate</x:v>
      </x:c>
      <x:c r="E44" s="19" t="n">
        <x:v>2</x:v>
      </x:c>
      <x:c r="F44" s="19" t="n">
        <x:v>1</x:v>
      </x:c>
      <x:c r="G44" s="16" t="str"/>
      <x:c r="H44" s="16" t="str">
        <x:v>SRC-029</x:v>
      </x:c>
      <x:c r="I44" s="17" t="str"/>
    </x:row>
    <x:row r="45" ht="41" customHeight="1">
      <x:c r="A45" s="16" t="str">
        <x:v>REC-0039</x:v>
      </x:c>
      <x:c r="B45" s="17" t="str">
        <x:v>是</x:v>
      </x:c>
      <x:c r="C45" s="17" t="str">
        <x:v>Replace Tek screws and top hats to match existing and to manufacturer's specifications.</x:v>
      </x:c>
      <x:c r="D45" s="17" t="str">
        <x:v>Top hats and Tek screws</x:v>
      </x:c>
      <x:c r="E45" s="19" t="n">
        <x:v>2</x:v>
      </x:c>
      <x:c r="F45" s="19" t="n">
        <x:v>1</x:v>
      </x:c>
      <x:c r="G45" s="16" t="str"/>
      <x:c r="H45" s="16" t="str">
        <x:v>SRC-015</x:v>
      </x:c>
      <x:c r="I45" s="17" t="str"/>
    </x:row>
    <x:row r="46" ht="37" customHeight="1">
      <x:c r="A46" s="16" t="str">
        <x:v>REC-0040</x:v>
      </x:c>
      <x:c r="B46" s="17" t="str">
        <x:v>是</x:v>
      </x:c>
      <x:c r="C46" s="17" t="str">
        <x:v>Replace Tek screws. Clean, wire brush and repaint purlins.</x:v>
      </x:c>
      <x:c r="D46" s="17" t="str">
        <x:v>Top hats</x:v>
      </x:c>
      <x:c r="E46" s="19" t="n">
        <x:v>2</x:v>
      </x:c>
      <x:c r="F46" s="19" t="n">
        <x:v>1</x:v>
      </x:c>
      <x:c r="G46" s="16" t="str">
        <x:v>MRG-0293, MRG-0295</x:v>
      </x:c>
      <x:c r="H46" s="16" t="str">
        <x:v>SRC-014</x:v>
      </x:c>
      <x:c r="I46" s="17" t="str"/>
    </x:row>
    <x:row r="47" ht="37" customHeight="1">
      <x:c r="A47" s="16" t="str">
        <x:v>REC-0041</x:v>
      </x:c>
      <x:c r="B47" s="17" t="str">
        <x:v>是</x:v>
      </x:c>
      <x:c r="C47" s="17" t="str">
        <x:v>Replace fascia board.</x:v>
      </x:c>
      <x:c r="D47" s="17" t="str">
        <x:v>Fascia board</x:v>
      </x:c>
      <x:c r="E47" s="19" t="n">
        <x:v>2</x:v>
      </x:c>
      <x:c r="F47" s="19" t="n">
        <x:v>1</x:v>
      </x:c>
      <x:c r="G47" s="16" t="str"/>
      <x:c r="H47" s="16" t="str">
        <x:v>SRC-006</x:v>
      </x:c>
      <x:c r="I47" s="17" t="str"/>
    </x:row>
    <x:row r="48" ht="41" customHeight="1">
      <x:c r="A48" s="16" t="str">
        <x:v>REC-0042</x:v>
      </x:c>
      <x:c r="B48" s="17" t="str">
        <x:v>是</x:v>
      </x:c>
      <x:c r="C48" s="17" t="str">
        <x:v>Replace post.</x:v>
      </x:c>
      <x:c r="D48" s="17" t="str">
        <x:v>Backstroke flag posts at one side; Shower post</x:v>
      </x:c>
      <x:c r="E48" s="19" t="n">
        <x:v>2</x:v>
      </x:c>
      <x:c r="F48" s="19" t="n">
        <x:v>1</x:v>
      </x:c>
      <x:c r="G48" s="16" t="str"/>
      <x:c r="H48" s="16" t="str">
        <x:v>SRC-092</x:v>
      </x:c>
      <x:c r="I48" s="17" t="str"/>
    </x:row>
    <x:row r="49" ht="37" customHeight="1">
      <x:c r="A49" s="16" t="str">
        <x:v>REC-0043</x:v>
      </x:c>
      <x:c r="B49" s="17" t="str">
        <x:v>是</x:v>
      </x:c>
      <x:c r="C49" s="17" t="str">
        <x:v>Replace the columns to match existing.</x:v>
      </x:c>
      <x:c r="D49" s="17" t="str">
        <x:v>Verandah columns</x:v>
      </x:c>
      <x:c r="E49" s="19" t="n">
        <x:v>2</x:v>
      </x:c>
      <x:c r="F49" s="19" t="n">
        <x:v>1</x:v>
      </x:c>
      <x:c r="G49" s="16" t="str">
        <x:v>MRG-0196, MRG-0209, MRG-0232</x:v>
      </x:c>
      <x:c r="H49" s="16" t="str">
        <x:v>SRC-029</x:v>
      </x:c>
      <x:c r="I49" s="17" t="str"/>
    </x:row>
    <x:row r="50" ht="37" customHeight="1">
      <x:c r="A50" s="16" t="str">
        <x:v>REC-0044</x:v>
      </x:c>
      <x:c r="B50" s="17" t="str">
        <x:v>是</x:v>
      </x:c>
      <x:c r="C50" s="17" t="str">
        <x:v>Replace timber rafter.</x:v>
      </x:c>
      <x:c r="D50" s="17" t="str">
        <x:v>Childhood Centre - timber rafters</x:v>
      </x:c>
      <x:c r="E50" s="19" t="n">
        <x:v>2</x:v>
      </x:c>
      <x:c r="F50" s="19" t="n">
        <x:v>1</x:v>
      </x:c>
      <x:c r="G50" s="16" t="str"/>
      <x:c r="H50" s="16" t="str">
        <x:v>SRC-063</x:v>
      </x:c>
      <x:c r="I50" s="17" t="str"/>
    </x:row>
    <x:row r="51" ht="41" customHeight="1">
      <x:c r="A51" s="16" t="str">
        <x:v>REC-0045</x:v>
      </x:c>
      <x:c r="B51" s="17" t="str">
        <x:v>是</x:v>
      </x:c>
      <x:c r="C51" s="17" t="str">
        <x:v>All columns to be excavated 300 mm below ground level to investigate corrosion. Clean, remove corrosion and repaint.</x:v>
      </x:c>
      <x:c r="D51" s="17" t="str">
        <x:v>Front verandah columns</x:v>
      </x:c>
      <x:c r="E51" s="19" t="n">
        <x:v>1</x:v>
      </x:c>
      <x:c r="F51" s="19" t="n">
        <x:v>1</x:v>
      </x:c>
      <x:c r="G51" s="16" t="str">
        <x:v>MRG-0282</x:v>
      </x:c>
      <x:c r="H51" s="16" t="str">
        <x:v>SRC-092</x:v>
      </x:c>
      <x:c r="I51" s="17" t="str"/>
    </x:row>
    <x:row r="52" ht="37" customHeight="1">
      <x:c r="A52" s="16" t="str">
        <x:v>REC-0046</x:v>
      </x:c>
      <x:c r="B52" s="17" t="str">
        <x:v>是</x:v>
      </x:c>
      <x:c r="C52" s="17" t="str">
        <x:v>All columns to be excavated to the base investigate corrosion level.</x:v>
      </x:c>
      <x:c r="D52" s="17" t="str">
        <x:v>Shade structure 2 columns</x:v>
      </x:c>
      <x:c r="E52" s="19" t="n">
        <x:v>1</x:v>
      </x:c>
      <x:c r="F52" s="19" t="n">
        <x:v>1</x:v>
      </x:c>
      <x:c r="G52" s="16" t="str"/>
      <x:c r="H52" s="16" t="str">
        <x:v>SRC-092</x:v>
      </x:c>
      <x:c r="I52" s="17" t="str"/>
    </x:row>
    <x:row r="53" ht="37" customHeight="1">
      <x:c r="A53" s="16" t="str">
        <x:v>REC-0047</x:v>
      </x:c>
      <x:c r="B53" s="17" t="str">
        <x:v>是</x:v>
      </x:c>
      <x:c r="C53" s="17" t="str">
        <x:v>Bend back into place.</x:v>
      </x:c>
      <x:c r="D53" s="17" t="str">
        <x:v>Roof sheeting</x:v>
      </x:c>
      <x:c r="E53" s="19" t="n">
        <x:v>1</x:v>
      </x:c>
      <x:c r="F53" s="19" t="n">
        <x:v>1</x:v>
      </x:c>
      <x:c r="G53" s="16" t="str"/>
      <x:c r="H53" s="16" t="str">
        <x:v>SRC-060</x:v>
      </x:c>
      <x:c r="I53" s="17" t="str"/>
    </x:row>
    <x:row r="54" ht="41" customHeight="1">
      <x:c r="A54" s="16" t="str">
        <x:v>REC-0048</x:v>
      </x:c>
      <x:c r="B54" s="17" t="str">
        <x:v>是</x:v>
      </x:c>
      <x:c r="C54" s="17" t="str">
        <x:v>Bend roof back using rubber mallet. Clean, remove corrosion and repaint corroded sections of roof sheeting.</x:v>
      </x:c>
      <x:c r="D54" s="17" t="str">
        <x:v>Roof sheeting</x:v>
      </x:c>
      <x:c r="E54" s="19" t="n">
        <x:v>1</x:v>
      </x:c>
      <x:c r="F54" s="19" t="n">
        <x:v>1</x:v>
      </x:c>
      <x:c r="G54" s="16" t="str"/>
      <x:c r="H54" s="16" t="str">
        <x:v>SRC-071</x:v>
      </x:c>
      <x:c r="I54" s="17" t="str"/>
    </x:row>
    <x:row r="55" ht="37" customHeight="1">
      <x:c r="A55" s="16" t="str">
        <x:v>REC-0049</x:v>
      </x:c>
      <x:c r="B55" s="17" t="str">
        <x:v>是</x:v>
      </x:c>
      <x:c r="C55" s="17" t="str">
        <x:v>Cap purlin holes to prevent water ingress.</x:v>
      </x:c>
      <x:c r="D55" s="17" t="str">
        <x:v>Purlins and rafters</x:v>
      </x:c>
      <x:c r="E55" s="19" t="n">
        <x:v>1</x:v>
      </x:c>
      <x:c r="F55" s="19" t="n">
        <x:v>1</x:v>
      </x:c>
      <x:c r="G55" s="16" t="str">
        <x:v>MRG-0298</x:v>
      </x:c>
      <x:c r="H55" s="16" t="str">
        <x:v>SRC-062</x:v>
      </x:c>
      <x:c r="I55" s="17" t="str"/>
    </x:row>
    <x:row r="56" ht="37" customHeight="1">
      <x:c r="A56" s="16" t="str">
        <x:v>REC-0050</x:v>
      </x:c>
      <x:c r="B56" s="17" t="str">
        <x:v>是</x:v>
      </x:c>
      <x:c r="C56" s="17" t="str">
        <x:v>Cap purlin holes to prevent water ingress. Clean all salt staining.</x:v>
      </x:c>
      <x:c r="D56" s="17" t="str">
        <x:v>Purlins and rafters</x:v>
      </x:c>
      <x:c r="E56" s="19" t="n">
        <x:v>1</x:v>
      </x:c>
      <x:c r="F56" s="19" t="n">
        <x:v>1</x:v>
      </x:c>
      <x:c r="G56" s="16" t="str">
        <x:v>MRG-0203, MRG-0289, MRG-0298</x:v>
      </x:c>
      <x:c r="H56" s="16" t="str">
        <x:v>SRC-001</x:v>
      </x:c>
      <x:c r="I56" s="17" t="str"/>
    </x:row>
    <x:row r="57" ht="41" customHeight="1">
      <x:c r="A57" s="16" t="str">
        <x:v>REC-0051</x:v>
      </x:c>
      <x:c r="B57" s="17" t="str">
        <x:v>是</x:v>
      </x:c>
      <x:c r="C57" s="17" t="str">
        <x:v>Cladding: Clean, remove corrosion and repaint. Concrete Surface: Clean and Patch up.</x:v>
      </x:c>
      <x:c r="D57" s="17" t="str">
        <x:v>Pool shed cladding</x:v>
      </x:c>
      <x:c r="E57" s="19" t="n">
        <x:v>1</x:v>
      </x:c>
      <x:c r="F57" s="19" t="n">
        <x:v>1</x:v>
      </x:c>
      <x:c r="G57" s="16" t="str"/>
      <x:c r="H57" s="16" t="str">
        <x:v>SRC-009</x:v>
      </x:c>
      <x:c r="I57" s="17" t="str"/>
    </x:row>
    <x:row r="58" ht="41" customHeight="1">
      <x:c r="A58" s="16" t="str">
        <x:v>REC-0052</x:v>
      </x:c>
      <x:c r="B58" s="17" t="str">
        <x:v>是</x:v>
      </x:c>
      <x:c r="C58" s="17" t="str">
        <x:v>Clean and remove corrosion, then assess the remaining structure to determine whether replacement or repainting is required.</x:v>
      </x:c>
      <x:c r="D58" s="17" t="str">
        <x:v>Shade structure</x:v>
      </x:c>
      <x:c r="E58" s="19" t="n">
        <x:v>1</x:v>
      </x:c>
      <x:c r="F58" s="19" t="n">
        <x:v>1</x:v>
      </x:c>
      <x:c r="G58" s="16" t="str"/>
      <x:c r="H58" s="16" t="str">
        <x:v>SRC-080</x:v>
      </x:c>
      <x:c r="I58" s="17" t="str"/>
    </x:row>
    <x:row r="59" ht="37" customHeight="1">
      <x:c r="A59" s="16" t="str">
        <x:v>REC-0053</x:v>
      </x:c>
      <x:c r="B59" s="17" t="str">
        <x:v>是</x:v>
      </x:c>
      <x:c r="C59" s="17" t="str">
        <x:v>Clean and repaint areas where discolouration has occurred.</x:v>
      </x:c>
      <x:c r="D59" s="17" t="str">
        <x:v>Cladding and framing</x:v>
      </x:c>
      <x:c r="E59" s="19" t="n">
        <x:v>1</x:v>
      </x:c>
      <x:c r="F59" s="19" t="n">
        <x:v>1</x:v>
      </x:c>
      <x:c r="G59" s="16" t="str"/>
      <x:c r="H59" s="16" t="str">
        <x:v>SRC-028</x:v>
      </x:c>
      <x:c r="I59" s="17" t="str"/>
    </x:row>
    <x:row r="60" ht="55" customHeight="1">
      <x:c r="A60" s="16" t="str">
        <x:v>REC-0054</x:v>
      </x:c>
      <x:c r="B60" s="17" t="str">
        <x:v>是</x:v>
      </x:c>
      <x:c r="C60" s="17" t="str">
        <x:v>Clean and repaint. Excavate all fencing posts to the base and investigate the condition. Undertake appropriate repair stated within Section 3.</x:v>
      </x:c>
      <x:c r="D60" s="17" t="str">
        <x:v>Fencing post</x:v>
      </x:c>
      <x:c r="E60" s="19" t="n">
        <x:v>1</x:v>
      </x:c>
      <x:c r="F60" s="19" t="n">
        <x:v>1</x:v>
      </x:c>
      <x:c r="G60" s="16" t="str">
        <x:v>MRG-0202, MRG-0211, MRG-0217, MRG-0230, MRG-0234, MRG-0238, MRG-0239, MRG-0242, MRG-0248, MRG-0250, MRG-0252, MRG-0284, MRG-0285, MRG-0287</x:v>
      </x:c>
      <x:c r="H60" s="16" t="str">
        <x:v>SRC-027</x:v>
      </x:c>
      <x:c r="I60" s="17" t="str"/>
    </x:row>
    <x:row r="61" ht="41" customHeight="1">
      <x:c r="A61" s="16" t="str">
        <x:v>REC-0055</x:v>
      </x:c>
      <x:c r="B61" s="17" t="str">
        <x:v>是</x:v>
      </x:c>
      <x:c r="C61" s="17" t="str">
        <x:v>Clean and repaint. Expose posts’ base and investigate the condition. Undertake appropriate repair stated within Section 3.</x:v>
      </x:c>
      <x:c r="D61" s="17" t="str">
        <x:v>Fencing posts</x:v>
      </x:c>
      <x:c r="E61" s="19" t="n">
        <x:v>1</x:v>
      </x:c>
      <x:c r="F61" s="19" t="n">
        <x:v>1</x:v>
      </x:c>
      <x:c r="G61" s="16" t="str">
        <x:v>MRG-0198, MRG-0199, MRG-0213, MRG-0218, MRG-0221, MRG-0234, MRG-0253, MRG-0254, MRG-0265, MRG-0284, MRG-0285</x:v>
      </x:c>
      <x:c r="H61" s="16" t="str">
        <x:v>SRC-055</x:v>
      </x:c>
      <x:c r="I61" s="17" t="str"/>
    </x:row>
    <x:row r="62" ht="55" customHeight="1">
      <x:c r="A62" s="16" t="str">
        <x:v>REC-0056</x:v>
      </x:c>
      <x:c r="B62" s="17" t="str">
        <x:v>是</x:v>
      </x:c>
      <x:c r="C62" s="17" t="str">
        <x:v>Clean and repaint. Expose the base and investigate the condition. Undertake appropriate repair stated within Section 3.</x:v>
      </x:c>
      <x:c r="D62" s="17" t="str">
        <x:v>Fencing post</x:v>
      </x:c>
      <x:c r="E62" s="19" t="n">
        <x:v>1</x:v>
      </x:c>
      <x:c r="F62" s="19" t="n">
        <x:v>1</x:v>
      </x:c>
      <x:c r="G62" s="16" t="str">
        <x:v>MRG-0199, MRG-0201, MRG-0204, MRG-0216, MRG-0230, MRG-0231, MRG-0246, MRG-0249, MRG-0251, MRG-0264, MRG-0266, MRG-0284, MRG-0285, MRG-0300</x:v>
      </x:c>
      <x:c r="H62" s="16" t="str">
        <x:v>SRC-049</x:v>
      </x:c>
      <x:c r="I62" s="17" t="str"/>
    </x:row>
    <x:row r="63" ht="41" customHeight="1">
      <x:c r="A63" s="16" t="str">
        <x:v>REC-0057</x:v>
      </x:c>
      <x:c r="B63" s="17" t="str">
        <x:v>是</x:v>
      </x:c>
      <x:c r="C63" s="17" t="str">
        <x:v>Clean and repaint. Expose the posts’ base and investigate the condition. Undertake appropriate repair stated within Section 3.1.</x:v>
      </x:c>
      <x:c r="D63" s="17" t="str">
        <x:v>Fencing posts</x:v>
      </x:c>
      <x:c r="E63" s="19" t="n">
        <x:v>1</x:v>
      </x:c>
      <x:c r="F63" s="19" t="n">
        <x:v>1</x:v>
      </x:c>
      <x:c r="G63" s="16" t="str">
        <x:v>MRG-0198, MRG-0201, MRG-0205, MRG-0222, MRG-0224, MRG-0239, MRG-0256, MRG-0258, MRG-0284, MRG-0296</x:v>
      </x:c>
      <x:c r="H63" s="16" t="str">
        <x:v>SRC-051</x:v>
      </x:c>
      <x:c r="I63" s="17" t="str"/>
    </x:row>
    <x:row r="64" ht="37" customHeight="1">
      <x:c r="A64" s="16" t="str">
        <x:v>REC-0058</x:v>
      </x:c>
      <x:c r="B64" s="17" t="str">
        <x:v>是</x:v>
      </x:c>
      <x:c r="C64" s="17" t="str">
        <x:v>Clean salt staining and cover holes to prevent water ingress.</x:v>
      </x:c>
      <x:c r="D64" s="17" t="str">
        <x:v>Purlins and rafters</x:v>
      </x:c>
      <x:c r="E64" s="19" t="n">
        <x:v>1</x:v>
      </x:c>
      <x:c r="F64" s="19" t="n">
        <x:v>1</x:v>
      </x:c>
      <x:c r="G64" s="16" t="str"/>
      <x:c r="H64" s="16" t="str">
        <x:v>SRC-059</x:v>
      </x:c>
      <x:c r="I64" s="17" t="str"/>
    </x:row>
    <x:row r="65" ht="37" customHeight="1">
      <x:c r="A65" s="16" t="str">
        <x:v>REC-0059</x:v>
      </x:c>
      <x:c r="B65" s="17" t="str">
        <x:v>是</x:v>
      </x:c>
      <x:c r="C65" s="17" t="str">
        <x:v>Clean staining and wire brush any surface rust and repaint.</x:v>
      </x:c>
      <x:c r="D65" s="17" t="str">
        <x:v>Verandah columns and beams</x:v>
      </x:c>
      <x:c r="E65" s="19" t="n">
        <x:v>1</x:v>
      </x:c>
      <x:c r="F65" s="19" t="n">
        <x:v>1</x:v>
      </x:c>
      <x:c r="G65" s="16" t="str"/>
      <x:c r="H65" s="16" t="str">
        <x:v>SRC-015</x:v>
      </x:c>
      <x:c r="I65" s="17" t="str"/>
    </x:row>
    <x:row r="66" ht="41" customHeight="1">
      <x:c r="A66" s="16" t="str">
        <x:v>REC-0060</x:v>
      </x:c>
      <x:c r="B66" s="17" t="str">
        <x:v>是</x:v>
      </x:c>
      <x:c r="C66" s="17" t="str">
        <x:v>Clean the area, remove all corrosion, and inspect the remaining steel. It may require either replacement or repainting. Regrout the base.</x:v>
      </x:c>
      <x:c r="D66" s="17" t="str">
        <x:v>Pool seating and shade structure</x:v>
      </x:c>
      <x:c r="E66" s="19" t="n">
        <x:v>1</x:v>
      </x:c>
      <x:c r="F66" s="19" t="n">
        <x:v>1</x:v>
      </x:c>
      <x:c r="G66" s="16" t="str">
        <x:v>MRG-0219, MRG-0294, MRG-0297</x:v>
      </x:c>
      <x:c r="H66" s="16" t="str">
        <x:v>SRC-092</x:v>
      </x:c>
      <x:c r="I66" s="17" t="str"/>
    </x:row>
    <x:row r="67" ht="41" customHeight="1">
      <x:c r="A67" s="16" t="str">
        <x:v>REC-0061</x:v>
      </x:c>
      <x:c r="B67" s="17" t="str">
        <x:v>是</x:v>
      </x:c>
      <x:c r="C67" s="17" t="str">
        <x:v>Clean the rust and paint with cold galvanise coating where it is possible. Replace top hat purlins and screws that have been rusted through.</x:v>
      </x:c>
      <x:c r="D67" s="17" t="str">
        <x:v>Top hat purlins and Tek screws</x:v>
      </x:c>
      <x:c r="E67" s="19" t="n">
        <x:v>1</x:v>
      </x:c>
      <x:c r="F67" s="19" t="n">
        <x:v>1</x:v>
      </x:c>
      <x:c r="G67" s="16" t="str"/>
      <x:c r="H67" s="16" t="str">
        <x:v>SRC-029</x:v>
      </x:c>
      <x:c r="I67" s="17" t="str"/>
    </x:row>
    <x:row r="68" ht="37" customHeight="1">
      <x:c r="A68" s="16" t="str">
        <x:v>REC-0062</x:v>
      </x:c>
      <x:c r="B68" s="17" t="str">
        <x:v>是</x:v>
      </x:c>
      <x:c r="C68" s="17" t="str">
        <x:v>Clean, remove corrosion and repaint all surfaces.</x:v>
      </x:c>
      <x:c r="D68" s="17" t="str">
        <x:v>Steel bird head</x:v>
      </x:c>
      <x:c r="E68" s="19" t="n">
        <x:v>1</x:v>
      </x:c>
      <x:c r="F68" s="19" t="n">
        <x:v>1</x:v>
      </x:c>
      <x:c r="G68" s="16" t="str">
        <x:v>MRG-0236</x:v>
      </x:c>
      <x:c r="H68" s="16" t="str">
        <x:v>SRC-104</x:v>
      </x:c>
      <x:c r="I68" s="17" t="str"/>
    </x:row>
    <x:row r="69" ht="41" customHeight="1">
      <x:c r="A69" s="16" t="str">
        <x:v>REC-0063</x:v>
      </x:c>
      <x:c r="B69" s="17" t="str">
        <x:v>是</x:v>
      </x:c>
      <x:c r="C69" s="17" t="str">
        <x:v>Clean, remove corrosion and repaint for those with minor corrosion. Replace the connection plate and bolts for those with severe corrosion.</x:v>
      </x:c>
      <x:c r="D69" s="17" t="str">
        <x:v>Photo frame support</x:v>
      </x:c>
      <x:c r="E69" s="19" t="n">
        <x:v>1</x:v>
      </x:c>
      <x:c r="F69" s="19" t="n">
        <x:v>1</x:v>
      </x:c>
      <x:c r="G69" s="16" t="str"/>
      <x:c r="H69" s="16" t="str">
        <x:v>SRC-100</x:v>
      </x:c>
      <x:c r="I69" s="17" t="str"/>
    </x:row>
    <x:row r="70" ht="37" customHeight="1">
      <x:c r="A70" s="16" t="str">
        <x:v>REC-0064</x:v>
      </x:c>
      <x:c r="B70" s="17" t="str">
        <x:v>是</x:v>
      </x:c>
      <x:c r="C70" s="17" t="str">
        <x:v>Clean, remove corrosion and repaint rafters.</x:v>
      </x:c>
      <x:c r="D70" s="17" t="str">
        <x:v>Rafters</x:v>
      </x:c>
      <x:c r="E70" s="19" t="n">
        <x:v>1</x:v>
      </x:c>
      <x:c r="F70" s="19" t="n">
        <x:v>1</x:v>
      </x:c>
      <x:c r="G70" s="16" t="str">
        <x:v>MRG-0235, MRG-0259, MRG-0262</x:v>
      </x:c>
      <x:c r="H70" s="16" t="str">
        <x:v>SRC-015</x:v>
      </x:c>
      <x:c r="I70" s="17" t="str"/>
    </x:row>
    <x:row r="71" ht="41" customHeight="1">
      <x:c r="A71" s="16" t="str">
        <x:v>REC-0065</x:v>
      </x:c>
      <x:c r="B71" s="17" t="str">
        <x:v>是</x:v>
      </x:c>
      <x:c r="C71" s="17" t="str">
        <x:v>Clean, remove corrosion and repaint. Excavate all fencing posts to the base and investigate the condition. Undertake appropriate repair stated within Section 3.</x:v>
      </x:c>
      <x:c r="D71" s="17" t="str">
        <x:v>Fencing posts</x:v>
      </x:c>
      <x:c r="E71" s="19" t="n">
        <x:v>1</x:v>
      </x:c>
      <x:c r="F71" s="19" t="n">
        <x:v>1</x:v>
      </x:c>
      <x:c r="G71" s="16" t="str">
        <x:v>MRG-0206, MRG-0211, MRG-0241, MRG-0243, MRG-0245, MRG-0257, MRG-0261, MRG-0264, MRG-0282, MRG-0285, MRG-0287</x:v>
      </x:c>
      <x:c r="H71" s="16" t="str">
        <x:v>SRC-011</x:v>
      </x:c>
      <x:c r="I71" s="17" t="str"/>
    </x:row>
    <x:row r="72" ht="41" customHeight="1">
      <x:c r="A72" s="16" t="str">
        <x:v>REC-0066</x:v>
      </x:c>
      <x:c r="B72" s="17" t="str">
        <x:v>是</x:v>
      </x:c>
      <x:c r="C72" s="17" t="str">
        <x:v>Clean, remove corrosion and repaint. If most of the steel has rusted, then replacement is required.</x:v>
      </x:c>
      <x:c r="D72" s="17" t="str">
        <x:v>Sign steel frame</x:v>
      </x:c>
      <x:c r="E72" s="19" t="n">
        <x:v>1</x:v>
      </x:c>
      <x:c r="F72" s="19" t="n">
        <x:v>1</x:v>
      </x:c>
      <x:c r="G72" s="16" t="str">
        <x:v>MRG-0282</x:v>
      </x:c>
      <x:c r="H72" s="16" t="str">
        <x:v>SRC-100</x:v>
      </x:c>
      <x:c r="I72" s="17" t="str"/>
    </x:row>
    <x:row r="73" ht="37" customHeight="1">
      <x:c r="A73" s="16" t="str">
        <x:v>REC-0067</x:v>
      </x:c>
      <x:c r="B73" s="17" t="str">
        <x:v>是</x:v>
      </x:c>
      <x:c r="C73" s="17" t="str">
        <x:v>Clean, remove corrosion and repaint. Replace failed steel tube.</x:v>
      </x:c>
      <x:c r="D73" s="17" t="str">
        <x:v>Table and seating</x:v>
      </x:c>
      <x:c r="E73" s="19" t="n">
        <x:v>1</x:v>
      </x:c>
      <x:c r="F73" s="19" t="n">
        <x:v>1</x:v>
      </x:c>
      <x:c r="G73" s="16" t="str">
        <x:v>MRG-0282</x:v>
      </x:c>
      <x:c r="H73" s="16" t="str">
        <x:v>SRC-071</x:v>
      </x:c>
      <x:c r="I73" s="17" t="str"/>
    </x:row>
    <x:row r="74" ht="37" customHeight="1">
      <x:c r="A74" s="16" t="str">
        <x:v>REC-0068</x:v>
      </x:c>
      <x:c r="B74" s="17" t="str">
        <x:v>是</x:v>
      </x:c>
      <x:c r="C74" s="17" t="str">
        <x:v>Clean, remove corrosion and repaint. Replace the bolts.</x:v>
      </x:c>
      <x:c r="D74" s="17" t="str">
        <x:v>Pool fencing</x:v>
      </x:c>
      <x:c r="E74" s="19" t="n">
        <x:v>1</x:v>
      </x:c>
      <x:c r="F74" s="19" t="n">
        <x:v>1</x:v>
      </x:c>
      <x:c r="G74" s="16" t="str">
        <x:v>MRG-0259, MRG-0282</x:v>
      </x:c>
      <x:c r="H74" s="16" t="str">
        <x:v>SRC-009</x:v>
      </x:c>
      <x:c r="I74" s="17" t="str"/>
    </x:row>
    <x:row r="75" ht="37" customHeight="1">
      <x:c r="A75" s="16" t="str">
        <x:v>REC-0069</x:v>
      </x:c>
      <x:c r="B75" s="17" t="str">
        <x:v>是</x:v>
      </x:c>
      <x:c r="C75" s="17" t="str">
        <x:v>Clean, remove corrosion, investigate and repainting.</x:v>
      </x:c>
      <x:c r="D75" s="17" t="str">
        <x:v>Shade structure</x:v>
      </x:c>
      <x:c r="E75" s="19" t="n">
        <x:v>1</x:v>
      </x:c>
      <x:c r="F75" s="19" t="n">
        <x:v>1</x:v>
      </x:c>
      <x:c r="G75" s="16" t="str"/>
      <x:c r="H75" s="16" t="str">
        <x:v>SRC-080</x:v>
      </x:c>
      <x:c r="I75" s="17" t="str"/>
    </x:row>
    <x:row r="76" ht="41" customHeight="1">
      <x:c r="A76" s="16" t="str">
        <x:v>REC-0070</x:v>
      </x:c>
      <x:c r="B76" s="17" t="str">
        <x:v>是</x:v>
      </x:c>
      <x:c r="C76" s="17" t="str">
        <x:v>Clean, remove corrosion, investigate the condition of the remaining steelwork. It may require either replacement or repaint.</x:v>
      </x:c>
      <x:c r="D76" s="17" t="str">
        <x:v>Multipurpose Building verandah</x:v>
      </x:c>
      <x:c r="E76" s="19" t="n">
        <x:v>1</x:v>
      </x:c>
      <x:c r="F76" s="19" t="n">
        <x:v>1</x:v>
      </x:c>
      <x:c r="G76" s="16" t="str"/>
      <x:c r="H76" s="16" t="str">
        <x:v>SRC-063</x:v>
      </x:c>
      <x:c r="I76" s="17" t="str"/>
    </x:row>
    <x:row r="77" ht="41" customHeight="1">
      <x:c r="A77" s="16" t="str">
        <x:v>REC-0071</x:v>
      </x:c>
      <x:c r="B77" s="17" t="str">
        <x:v>是</x:v>
      </x:c>
      <x:c r="C77" s="17" t="str">
        <x:v>Clean, remove corrosion. Replace the post if the post base has been rusted through.</x:v>
      </x:c>
      <x:c r="D77" s="17" t="str">
        <x:v>Fencing posts</x:v>
      </x:c>
      <x:c r="E77" s="19" t="n">
        <x:v>1</x:v>
      </x:c>
      <x:c r="F77" s="19" t="n">
        <x:v>1</x:v>
      </x:c>
      <x:c r="G77" s="16" t="str"/>
      <x:c r="H77" s="16" t="str">
        <x:v>SRC-006</x:v>
      </x:c>
      <x:c r="I77" s="17" t="str"/>
    </x:row>
    <x:row r="78" ht="37" customHeight="1">
      <x:c r="A78" s="16" t="str">
        <x:v>REC-0072</x:v>
      </x:c>
      <x:c r="B78" s="17" t="str">
        <x:v>是</x:v>
      </x:c>
      <x:c r="C78" s="17" t="str">
        <x:v>Clean, wire brush and repaint all steel members.</x:v>
      </x:c>
      <x:c r="D78" s="17" t="str">
        <x:v>Shade structure</x:v>
      </x:c>
      <x:c r="E78" s="19" t="n">
        <x:v>1</x:v>
      </x:c>
      <x:c r="F78" s="19" t="n">
        <x:v>1</x:v>
      </x:c>
      <x:c r="G78" s="16" t="str"/>
      <x:c r="H78" s="16" t="str">
        <x:v>SRC-080</x:v>
      </x:c>
      <x:c r="I78" s="17" t="str"/>
    </x:row>
    <x:row r="79" ht="55" customHeight="1">
      <x:c r="A79" s="16" t="str">
        <x:v>REC-0073</x:v>
      </x:c>
      <x:c r="B79" s="17" t="str">
        <x:v>是</x:v>
      </x:c>
      <x:c r="C79" s="17" t="str">
        <x:v>Clean, wire brush and repaint all surfaces with minor corrosion and paint deterioration. Cover plate to be welded over localised holes, if not possible yellow shell to be replaced.</x:v>
      </x:c>
      <x:c r="D79" s="17" t="str">
        <x:v>Steel shell</x:v>
      </x:c>
      <x:c r="E79" s="19" t="n">
        <x:v>1</x:v>
      </x:c>
      <x:c r="F79" s="19" t="n">
        <x:v>1</x:v>
      </x:c>
      <x:c r="G79" s="16" t="str"/>
      <x:c r="H79" s="16" t="str">
        <x:v>SRC-104</x:v>
      </x:c>
      <x:c r="I79" s="17" t="str"/>
    </x:row>
    <x:row r="80" ht="37" customHeight="1">
      <x:c r="A80" s="16" t="str">
        <x:v>REC-0074</x:v>
      </x:c>
      <x:c r="B80" s="17" t="str">
        <x:v>是</x:v>
      </x:c>
      <x:c r="C80" s="17" t="str">
        <x:v>Clean, wire brush and repaint cap plate.</x:v>
      </x:c>
      <x:c r="D80" s="17" t="str">
        <x:v>Fencing posts</x:v>
      </x:c>
      <x:c r="E80" s="19" t="n">
        <x:v>1</x:v>
      </x:c>
      <x:c r="F80" s="19" t="n">
        <x:v>1</x:v>
      </x:c>
      <x:c r="G80" s="16" t="str">
        <x:v>MRG-0263</x:v>
      </x:c>
      <x:c r="H80" s="16" t="str">
        <x:v>SRC-055</x:v>
      </x:c>
      <x:c r="I80" s="17" t="str"/>
    </x:row>
    <x:row r="81" ht="37" customHeight="1">
      <x:c r="A81" s="16" t="str">
        <x:v>REC-0075</x:v>
      </x:c>
      <x:c r="B81" s="17" t="str">
        <x:v>是</x:v>
      </x:c>
      <x:c r="C81" s="17" t="str">
        <x:v>Clean, wire brush and repaint corroded areas. Clean salt staining.</x:v>
      </x:c>
      <x:c r="D81" s="17" t="str">
        <x:v>Columns</x:v>
      </x:c>
      <x:c r="E81" s="19" t="n">
        <x:v>1</x:v>
      </x:c>
      <x:c r="F81" s="19" t="n">
        <x:v>1</x:v>
      </x:c>
      <x:c r="G81" s="16" t="str">
        <x:v>MRG-0283, MRG-0288</x:v>
      </x:c>
      <x:c r="H81" s="16" t="str">
        <x:v>SRC-024</x:v>
      </x:c>
      <x:c r="I81" s="17" t="str"/>
    </x:row>
    <x:row r="82" ht="37" customHeight="1">
      <x:c r="A82" s="16" t="str">
        <x:v>REC-0076</x:v>
      </x:c>
      <x:c r="B82" s="17" t="str">
        <x:v>是</x:v>
      </x:c>
      <x:c r="C82" s="17" t="str">
        <x:v>Clean, wire brush and repaint or leave untreated.</x:v>
      </x:c>
      <x:c r="D82" s="17" t="str">
        <x:v>Welded couple</x:v>
      </x:c>
      <x:c r="E82" s="19" t="n">
        <x:v>1</x:v>
      </x:c>
      <x:c r="F82" s="19" t="n">
        <x:v>1</x:v>
      </x:c>
      <x:c r="G82" s="16" t="str"/>
      <x:c r="H82" s="16" t="str">
        <x:v>SRC-103</x:v>
      </x:c>
      <x:c r="I82" s="17" t="str"/>
    </x:row>
    <x:row r="83" ht="37" customHeight="1">
      <x:c r="A83" s="16" t="str">
        <x:v>REC-0077</x:v>
      </x:c>
      <x:c r="B83" s="17" t="str">
        <x:v>是</x:v>
      </x:c>
      <x:c r="C83" s="17" t="str">
        <x:v>Clean, wire brush and repaint purlins. Replace Tek screws.</x:v>
      </x:c>
      <x:c r="D83" s="17" t="str">
        <x:v>Purlins and rafters</x:v>
      </x:c>
      <x:c r="E83" s="19" t="n">
        <x:v>1</x:v>
      </x:c>
      <x:c r="F83" s="19" t="n">
        <x:v>1</x:v>
      </x:c>
      <x:c r="G83" s="16" t="str">
        <x:v>MRG-0293, MRG-0295</x:v>
      </x:c>
      <x:c r="H83" s="16" t="str">
        <x:v>SRC-048</x:v>
      </x:c>
      <x:c r="I83" s="17" t="str"/>
    </x:row>
    <x:row r="84" ht="41" customHeight="1">
      <x:c r="A84" s="16" t="str">
        <x:v>REC-0078</x:v>
      </x:c>
      <x:c r="B84" s="17" t="str">
        <x:v>是</x:v>
      </x:c>
      <x:c r="C84" s="17" t="str">
        <x:v>Clean, wire brush and repaint sheeting and flashing. Replace corroded Tek screws.</x:v>
      </x:c>
      <x:c r="D84" s="17" t="str">
        <x:v>Soffit cladding</x:v>
      </x:c>
      <x:c r="E84" s="19" t="n">
        <x:v>1</x:v>
      </x:c>
      <x:c r="F84" s="19" t="n">
        <x:v>1</x:v>
      </x:c>
      <x:c r="G84" s="16" t="str"/>
      <x:c r="H84" s="16" t="str">
        <x:v>SRC-013</x:v>
      </x:c>
      <x:c r="I84" s="17" t="str"/>
    </x:row>
    <x:row r="85" ht="41" customHeight="1">
      <x:c r="A85" s="16" t="str">
        <x:v>REC-0079</x:v>
      </x:c>
      <x:c r="B85" s="17" t="str">
        <x:v>是</x:v>
      </x:c>
      <x:c r="C85" s="17" t="str">
        <x:v>Clean, wire brush and repaint. Excavate and expose fencing posts and investigate the condition. Undertake appropriate repair stated within Section 3.</x:v>
      </x:c>
      <x:c r="D85" s="17" t="str">
        <x:v>Fencing posts</x:v>
      </x:c>
      <x:c r="E85" s="19" t="n">
        <x:v>1</x:v>
      </x:c>
      <x:c r="F85" s="19" t="n">
        <x:v>1</x:v>
      </x:c>
      <x:c r="G85" s="16" t="str">
        <x:v>MRG-0214, MRG-0223, MRG-0226, MRG-0233, MRG-0242, MRG-0245, MRG-0253, MRG-0256, MRG-0266, MRG-0281, MRG-0285</x:v>
      </x:c>
      <x:c r="H85" s="16" t="str">
        <x:v>SRC-056</x:v>
      </x:c>
      <x:c r="I85" s="17" t="str"/>
    </x:row>
    <x:row r="86" ht="41" customHeight="1">
      <x:c r="A86" s="16" t="str">
        <x:v>REC-0080</x:v>
      </x:c>
      <x:c r="B86" s="17" t="str">
        <x:v>是</x:v>
      </x:c>
      <x:c r="C86" s="17" t="str">
        <x:v>Clean, wire brush and repaint. Expose fencing posts’ base and investigate the condition. Undertake appropriate repair stated within Section 3.</x:v>
      </x:c>
      <x:c r="D86" s="17" t="str">
        <x:v>Fencing post</x:v>
      </x:c>
      <x:c r="E86" s="19" t="n">
        <x:v>1</x:v>
      </x:c>
      <x:c r="F86" s="19" t="n">
        <x:v>1</x:v>
      </x:c>
      <x:c r="G86" s="16" t="str">
        <x:v>MRG-0200, MRG-0207, MRG-0214, MRG-0215, MRG-0221, MRG-0224, MRG-0231, MRG-0238, MRG-0241, MRG-0281, MRG-0285</x:v>
      </x:c>
      <x:c r="H86" s="16" t="str">
        <x:v>SRC-023</x:v>
      </x:c>
      <x:c r="I86" s="17" t="str"/>
    </x:row>
    <x:row r="87" ht="41" customHeight="1">
      <x:c r="A87" s="16" t="str">
        <x:v>REC-0081</x:v>
      </x:c>
      <x:c r="B87" s="17" t="str">
        <x:v>是</x:v>
      </x:c>
      <x:c r="C87" s="17" t="str">
        <x:v>Clean, wire brush and repaint. Expose the base and investigate the condition. Undertake appropriate repair stated within Section 3.</x:v>
      </x:c>
      <x:c r="D87" s="17" t="str">
        <x:v>Fencing posts</x:v>
      </x:c>
      <x:c r="E87" s="19" t="n">
        <x:v>1</x:v>
      </x:c>
      <x:c r="F87" s="19" t="n">
        <x:v>1</x:v>
      </x:c>
      <x:c r="G87" s="16" t="str">
        <x:v>MRG-0197, MRG-0204, MRG-0207, MRG-0218, MRG-0222, MRG-0225, MRG-0233, MRG-0250, MRG-0257, MRG-0281, MRG-0285, MRG-0300</x:v>
      </x:c>
      <x:c r="H87" s="16" t="str">
        <x:v>SRC-026</x:v>
      </x:c>
      <x:c r="I87" s="17" t="str"/>
    </x:row>
    <x:row r="88" ht="37" customHeight="1">
      <x:c r="A88" s="16" t="str">
        <x:v>REC-0082</x:v>
      </x:c>
      <x:c r="B88" s="17" t="str">
        <x:v>是</x:v>
      </x:c>
      <x:c r="C88" s="17" t="str">
        <x:v>Clean, wire brush and repaint. Reattach flashing plate.</x:v>
      </x:c>
      <x:c r="D88" s="17" t="str">
        <x:v>Roof</x:v>
      </x:c>
      <x:c r="E88" s="19" t="n">
        <x:v>1</x:v>
      </x:c>
      <x:c r="F88" s="19" t="n">
        <x:v>1</x:v>
      </x:c>
      <x:c r="G88" s="16" t="str">
        <x:v>MRG-0281</x:v>
      </x:c>
      <x:c r="H88" s="16" t="str">
        <x:v>SRC-010</x:v>
      </x:c>
      <x:c r="I88" s="17" t="str"/>
    </x:row>
    <x:row r="89" ht="37" customHeight="1">
      <x:c r="A89" s="16" t="str">
        <x:v>REC-0083</x:v>
      </x:c>
      <x:c r="B89" s="17" t="str">
        <x:v>是</x:v>
      </x:c>
      <x:c r="C89" s="17" t="str">
        <x:v>Clean, wire brush and repaint. Replace corroded screw.</x:v>
      </x:c>
      <x:c r="D89" s="17" t="str">
        <x:v>Roof</x:v>
      </x:c>
      <x:c r="E89" s="19" t="n">
        <x:v>1</x:v>
      </x:c>
      <x:c r="F89" s="19" t="n">
        <x:v>1</x:v>
      </x:c>
      <x:c r="G89" s="16" t="str">
        <x:v>MRG-0260, MRG-0281</x:v>
      </x:c>
      <x:c r="H89" s="16" t="str">
        <x:v>SRC-010</x:v>
      </x:c>
      <x:c r="I89" s="17" t="str"/>
    </x:row>
    <x:row r="90" ht="37" customHeight="1">
      <x:c r="A90" s="16" t="str">
        <x:v>REC-0084</x:v>
      </x:c>
      <x:c r="B90" s="17" t="str">
        <x:v>是</x:v>
      </x:c>
      <x:c r="C90" s="17" t="str">
        <x:v>Cover hole to prevent water flowing towards wall cladding.</x:v>
      </x:c>
      <x:c r="D90" s="17" t="str">
        <x:v>Purlins and rafters</x:v>
      </x:c>
      <x:c r="E90" s="19" t="n">
        <x:v>1</x:v>
      </x:c>
      <x:c r="F90" s="19" t="n">
        <x:v>1</x:v>
      </x:c>
      <x:c r="G90" s="16" t="str"/>
      <x:c r="H90" s="16" t="str">
        <x:v>SRC-048</x:v>
      </x:c>
      <x:c r="I90" s="17" t="str"/>
    </x:row>
    <x:row r="91" ht="37" customHeight="1">
      <x:c r="A91" s="16" t="str">
        <x:v>REC-0085</x:v>
      </x:c>
      <x:c r="B91" s="17" t="str">
        <x:v>是</x:v>
      </x:c>
      <x:c r="C91" s="17" t="str">
        <x:v>Cover hole to prevent water ingress.</x:v>
      </x:c>
      <x:c r="D91" s="17" t="str">
        <x:v>Columns</x:v>
      </x:c>
      <x:c r="E91" s="19" t="n">
        <x:v>1</x:v>
      </x:c>
      <x:c r="F91" s="19" t="n">
        <x:v>1</x:v>
      </x:c>
      <x:c r="G91" s="16" t="str">
        <x:v>MRG-0299</x:v>
      </x:c>
      <x:c r="H91" s="16" t="str">
        <x:v>SRC-057</x:v>
      </x:c>
      <x:c r="I91" s="17" t="str"/>
    </x:row>
    <x:row r="92" ht="37" customHeight="1">
      <x:c r="A92" s="16" t="str">
        <x:v>REC-0086</x:v>
      </x:c>
      <x:c r="B92" s="17" t="str">
        <x:v>是</x:v>
      </x:c>
      <x:c r="C92" s="17" t="str">
        <x:v>Cover purlin holes to prevent water ingress. Clean all salt staining.</x:v>
      </x:c>
      <x:c r="D92" s="17" t="str">
        <x:v>Purlins and rafters</x:v>
      </x:c>
      <x:c r="E92" s="19" t="n">
        <x:v>1</x:v>
      </x:c>
      <x:c r="F92" s="19" t="n">
        <x:v>1</x:v>
      </x:c>
      <x:c r="G92" s="16" t="str">
        <x:v>MRG-0203, MRG-0289</x:v>
      </x:c>
      <x:c r="H92" s="16" t="str">
        <x:v>SRC-001</x:v>
      </x:c>
      <x:c r="I92" s="17" t="str"/>
    </x:row>
    <x:row r="93" ht="41" customHeight="1">
      <x:c r="A93" s="16" t="str">
        <x:v>REC-0087</x:v>
      </x:c>
      <x:c r="B93" s="17" t="str">
        <x:v>是</x:v>
      </x:c>
      <x:c r="C93" s="17" t="str">
        <x:v>Cut and remove brickwork locally to investigate the cause. Repair by Helifix stainless products to stabilise cracked bricks.</x:v>
      </x:c>
      <x:c r="D93" s="17" t="str">
        <x:v>Back verandah Brick piers</x:v>
      </x:c>
      <x:c r="E93" s="19" t="n">
        <x:v>1</x:v>
      </x:c>
      <x:c r="F93" s="19" t="n">
        <x:v>1</x:v>
      </x:c>
      <x:c r="G93" s="16" t="str">
        <x:v>MRG-0290</x:v>
      </x:c>
      <x:c r="H93" s="16" t="str">
        <x:v>SRC-006</x:v>
      </x:c>
      <x:c r="I93" s="17" t="str"/>
    </x:row>
    <x:row r="94" ht="37" customHeight="1">
      <x:c r="A94" s="16" t="str">
        <x:v>REC-0088</x:v>
      </x:c>
      <x:c r="B94" s="17" t="str">
        <x:v>是</x:v>
      </x:c>
      <x:c r="C94" s="17" t="str">
        <x:v>Cut the existing purlin and replace with a new purlin</x:v>
      </x:c>
      <x:c r="D94" s="17" t="str">
        <x:v>Purlins</x:v>
      </x:c>
      <x:c r="E94" s="19" t="n">
        <x:v>1</x:v>
      </x:c>
      <x:c r="F94" s="19" t="n">
        <x:v>1</x:v>
      </x:c>
      <x:c r="G94" s="16" t="str"/>
      <x:c r="H94" s="16" t="str">
        <x:v>SRC-080</x:v>
      </x:c>
      <x:c r="I94" s="17" t="str"/>
    </x:row>
    <x:row r="95" ht="41" customHeight="1">
      <x:c r="A95" s="16" t="str">
        <x:v>REC-0089</x:v>
      </x:c>
      <x:c r="B95" s="17" t="str">
        <x:v>是</x:v>
      </x:c>
      <x:c r="C95" s="17" t="str">
        <x:v>Cute the end portion of the beam. And repaint the surface. Replacement is not required, as the element is non-structural.</x:v>
      </x:c>
      <x:c r="D95" s="17" t="str">
        <x:v>Multipurpose Building verandah</x:v>
      </x:c>
      <x:c r="E95" s="19" t="n">
        <x:v>1</x:v>
      </x:c>
      <x:c r="F95" s="19" t="n">
        <x:v>1</x:v>
      </x:c>
      <x:c r="G95" s="16" t="str"/>
      <x:c r="H95" s="16" t="str">
        <x:v>SRC-063</x:v>
      </x:c>
      <x:c r="I95" s="17" t="str"/>
    </x:row>
    <x:row r="96" ht="41" customHeight="1">
      <x:c r="A96" s="16" t="str">
        <x:v>REC-0090</x:v>
      </x:c>
      <x:c r="B96" s="17" t="str">
        <x:v>是</x:v>
      </x:c>
      <x:c r="C96" s="17" t="str">
        <x:v>Excavate all columns to the base and investigate the condition. Undertake appropriate repair stated within Section 3.</x:v>
      </x:c>
      <x:c r="D96" s="17" t="str">
        <x:v>Standalone verandah</x:v>
      </x:c>
      <x:c r="E96" s="19" t="n">
        <x:v>1</x:v>
      </x:c>
      <x:c r="F96" s="19" t="n">
        <x:v>1</x:v>
      </x:c>
      <x:c r="G96" s="16" t="str">
        <x:v>MRG-0212, MRG-0248, MRG-0249, MRG-0285</x:v>
      </x:c>
      <x:c r="H96" s="16" t="str">
        <x:v>SRC-012</x:v>
      </x:c>
      <x:c r="I96" s="17" t="str"/>
    </x:row>
    <x:row r="97" ht="41" customHeight="1">
      <x:c r="A97" s="16" t="str">
        <x:v>REC-0091</x:v>
      </x:c>
      <x:c r="B97" s="17" t="str">
        <x:v>是</x:v>
      </x:c>
      <x:c r="C97" s="17" t="str">
        <x:v>Excavate all fencing posts to the base and investigate the condition. Undertake appropriate repair stated within Section 3.</x:v>
      </x:c>
      <x:c r="D97" s="17" t="str">
        <x:v>Fencing post</x:v>
      </x:c>
      <x:c r="E97" s="19" t="n">
        <x:v>1</x:v>
      </x:c>
      <x:c r="F97" s="19" t="n">
        <x:v>1</x:v>
      </x:c>
      <x:c r="G97" s="16" t="str">
        <x:v>MRG-0212, MRG-0217, MRG-0237, MRG-0243, MRG-0246, MRG-0265, MRG-0285, MRG-0287</x:v>
      </x:c>
      <x:c r="H97" s="16" t="str">
        <x:v>SRC-057</x:v>
      </x:c>
      <x:c r="I97" s="17" t="str"/>
    </x:row>
    <x:row r="98" ht="37" customHeight="1">
      <x:c r="A98" s="16" t="str">
        <x:v>REC-0092</x:v>
      </x:c>
      <x:c r="B98" s="17" t="str">
        <x:v>是</x:v>
      </x:c>
      <x:c r="C98" s="17" t="str">
        <x:v>Excavate to base and investigate corrosion. Clean, wire brush and repaint.</x:v>
      </x:c>
      <x:c r="D98" s="17" t="str">
        <x:v>Shade structure columns</x:v>
      </x:c>
      <x:c r="E98" s="19" t="n">
        <x:v>1</x:v>
      </x:c>
      <x:c r="F98" s="19" t="n">
        <x:v>1</x:v>
      </x:c>
      <x:c r="G98" s="16" t="str">
        <x:v>MRG-0247, MRG-0281</x:v>
      </x:c>
      <x:c r="H98" s="16" t="str">
        <x:v>SRC-048</x:v>
      </x:c>
      <x:c r="I98" s="17" t="str"/>
    </x:row>
    <x:row r="99" ht="41" customHeight="1">
      <x:c r="A99" s="16" t="str">
        <x:v>REC-0093</x:v>
      </x:c>
      <x:c r="B99" s="17" t="str">
        <x:v>是</x:v>
      </x:c>
      <x:c r="C99" s="17" t="str">
        <x:v>Excavate to the base and investigate corrosion. Clean, remove corrosion and repaint.</x:v>
      </x:c>
      <x:c r="D99" s="17" t="str">
        <x:v>Shade structure column</x:v>
      </x:c>
      <x:c r="E99" s="19" t="n">
        <x:v>1</x:v>
      </x:c>
      <x:c r="F99" s="19" t="n">
        <x:v>1</x:v>
      </x:c>
      <x:c r="G99" s="16" t="str">
        <x:v>MRG-0247, MRG-0282</x:v>
      </x:c>
      <x:c r="H99" s="16" t="str">
        <x:v>SRC-009</x:v>
      </x:c>
      <x:c r="I99" s="17" t="str"/>
    </x:row>
    <x:row r="100" ht="37" customHeight="1">
      <x:c r="A100" s="16" t="str">
        <x:v>REC-0094</x:v>
      </x:c>
      <x:c r="B100" s="17" t="str">
        <x:v>是</x:v>
      </x:c>
      <x:c r="C100" s="17" t="str">
        <x:v>Excavate to the base of all fencing posts. Clean, remove corrosion and repaint.</x:v>
      </x:c>
      <x:c r="D100" s="17" t="str">
        <x:v>Fencing posts</x:v>
      </x:c>
      <x:c r="E100" s="19" t="n">
        <x:v>1</x:v>
      </x:c>
      <x:c r="F100" s="19" t="n">
        <x:v>1</x:v>
      </x:c>
      <x:c r="G100" s="16" t="str">
        <x:v>MRG-0282</x:v>
      </x:c>
      <x:c r="H100" s="16" t="str">
        <x:v>SRC-063</x:v>
      </x:c>
      <x:c r="I100" s="17" t="str"/>
    </x:row>
    <x:row r="101" ht="37" customHeight="1">
      <x:c r="A101" s="16" t="str">
        <x:v>REC-0095</x:v>
      </x:c>
      <x:c r="B101" s="17" t="str">
        <x:v>是</x:v>
      </x:c>
      <x:c r="C101" s="17" t="str">
        <x:v>Excavate until base is reached. Clean and repaint.</x:v>
      </x:c>
      <x:c r="D101" s="17" t="str">
        <x:v>Shade structure 1</x:v>
      </x:c>
      <x:c r="E101" s="19" t="n">
        <x:v>1</x:v>
      </x:c>
      <x:c r="F101" s="19" t="n">
        <x:v>1</x:v>
      </x:c>
      <x:c r="G101" s="16" t="str">
        <x:v>MRG-0284</x:v>
      </x:c>
      <x:c r="H101" s="16" t="str">
        <x:v>SRC-063</x:v>
      </x:c>
      <x:c r="I101" s="17" t="str"/>
    </x:row>
    <x:row r="102" ht="37" customHeight="1">
      <x:c r="A102" s="16" t="str">
        <x:v>REC-0096</x:v>
      </x:c>
      <x:c r="B102" s="17" t="str">
        <x:v>是</x:v>
      </x:c>
      <x:c r="C102" s="17" t="str">
        <x:v>Excavate until base of strut is reached. Clean, remove corrosion and repaint.</x:v>
      </x:c>
      <x:c r="D102" s="17" t="str">
        <x:v>Swing</x:v>
      </x:c>
      <x:c r="E102" s="19" t="n">
        <x:v>1</x:v>
      </x:c>
      <x:c r="F102" s="19" t="n">
        <x:v>1</x:v>
      </x:c>
      <x:c r="G102" s="16" t="str">
        <x:v>MRG-0282</x:v>
      </x:c>
      <x:c r="H102" s="16" t="str">
        <x:v>SRC-063</x:v>
      </x:c>
      <x:c r="I102" s="17" t="str"/>
    </x:row>
    <x:row r="103" ht="37" customHeight="1">
      <x:c r="A103" s="16" t="str">
        <x:v>REC-0097</x:v>
      </x:c>
      <x:c r="B103" s="17" t="str">
        <x:v>是</x:v>
      </x:c>
      <x:c r="C103" s="17" t="str">
        <x:v>Fill gap with non-permeable grout to prevent water ingress.</x:v>
      </x:c>
      <x:c r="D103" s="17" t="str">
        <x:v>Columns and beams</x:v>
      </x:c>
      <x:c r="E103" s="19" t="n">
        <x:v>1</x:v>
      </x:c>
      <x:c r="F103" s="19" t="n">
        <x:v>1</x:v>
      </x:c>
      <x:c r="G103" s="16" t="str"/>
      <x:c r="H103" s="16" t="str">
        <x:v>SRC-009</x:v>
      </x:c>
      <x:c r="I103" s="17" t="str"/>
    </x:row>
    <x:row r="104" ht="37" customHeight="1">
      <x:c r="A104" s="16" t="str">
        <x:v>REC-0098</x:v>
      </x:c>
      <x:c r="B104" s="17" t="str">
        <x:v>是</x:v>
      </x:c>
      <x:c r="C104" s="17" t="str">
        <x:v>Flexible fill along the column and monitor cracking.</x:v>
      </x:c>
      <x:c r="D104" s="17" t="str">
        <x:v>Brick wall</x:v>
      </x:c>
      <x:c r="E104" s="19" t="n">
        <x:v>1</x:v>
      </x:c>
      <x:c r="F104" s="19" t="n">
        <x:v>1</x:v>
      </x:c>
      <x:c r="G104" s="16" t="str"/>
      <x:c r="H104" s="16" t="str">
        <x:v>SRC-052</x:v>
      </x:c>
      <x:c r="I104" s="17" t="str"/>
    </x:row>
    <x:row r="105" ht="41" customHeight="1">
      <x:c r="A105" s="16" t="str">
        <x:v>REC-0099</x:v>
      </x:c>
      <x:c r="B105" s="17" t="str">
        <x:v>是</x:v>
      </x:c>
      <x:c r="C105" s="17" t="str">
        <x:v>Flexible sealant between steel column and wall. Monitor cracking width and length to detect changes over time.</x:v>
      </x:c>
      <x:c r="D105" s="17" t="str">
        <x:v>Brick wall</x:v>
      </x:c>
      <x:c r="E105" s="19" t="n">
        <x:v>1</x:v>
      </x:c>
      <x:c r="F105" s="19" t="n">
        <x:v>1</x:v>
      </x:c>
      <x:c r="G105" s="16" t="str"/>
      <x:c r="H105" s="16" t="str">
        <x:v>SRC-011</x:v>
      </x:c>
      <x:c r="I105" s="17" t="str"/>
    </x:row>
    <x:row r="106" ht="41" customHeight="1">
      <x:c r="A106" s="16" t="str">
        <x:v>REC-0100</x:v>
      </x:c>
      <x:c r="B106" s="17" t="str">
        <x:v>是</x:v>
      </x:c>
      <x:c r="C106" s="17" t="str">
        <x:v>Flexible sealant fill along the column and monitor the separation of the column between the brickwork and the cracking of the mortar bed.</x:v>
      </x:c>
      <x:c r="D106" s="17" t="str">
        <x:v>Brick wall</x:v>
      </x:c>
      <x:c r="E106" s="19" t="n">
        <x:v>1</x:v>
      </x:c>
      <x:c r="F106" s="19" t="n">
        <x:v>1</x:v>
      </x:c>
      <x:c r="G106" s="16" t="str"/>
      <x:c r="H106" s="16" t="str">
        <x:v>SRC-024</x:v>
      </x:c>
      <x:c r="I106" s="17" t="str"/>
    </x:row>
    <x:row r="107" ht="41" customHeight="1">
      <x:c r="A107" s="16" t="str">
        <x:v>REC-0101</x:v>
      </x:c>
      <x:c r="B107" s="17" t="str">
        <x:v>是</x:v>
      </x:c>
      <x:c r="C107" s="17" t="str">
        <x:v>Further investigation is required to identify the connection between concrete element and supporting member. The connections might be detached.</x:v>
      </x:c>
      <x:c r="D107" s="17" t="str">
        <x:v>Concrete fascia beam</x:v>
      </x:c>
      <x:c r="E107" s="19" t="n">
        <x:v>1</x:v>
      </x:c>
      <x:c r="F107" s="19" t="n">
        <x:v>1</x:v>
      </x:c>
      <x:c r="G107" s="16" t="str"/>
      <x:c r="H107" s="16" t="str">
        <x:v>SRC-096</x:v>
      </x:c>
      <x:c r="I107" s="17" t="str"/>
    </x:row>
    <x:row r="108" ht="41" customHeight="1">
      <x:c r="A108" s="16" t="str">
        <x:v>REC-0102</x:v>
      </x:c>
      <x:c r="B108" s="17" t="str">
        <x:v>是</x:v>
      </x:c>
      <x:c r="C108" s="17" t="str">
        <x:v>In the short term remove light to negate the risk of injury or damage to property. In the long term replace plate and bolts.</x:v>
      </x:c>
      <x:c r="D108" s="17" t="str">
        <x:v>Light post</x:v>
      </x:c>
      <x:c r="E108" s="19" t="n">
        <x:v>1</x:v>
      </x:c>
      <x:c r="F108" s="19" t="n">
        <x:v>1</x:v>
      </x:c>
      <x:c r="G108" s="16" t="str"/>
      <x:c r="H108" s="16" t="str">
        <x:v>SRC-063</x:v>
      </x:c>
      <x:c r="I108" s="17" t="str"/>
    </x:row>
    <x:row r="109" ht="41" customHeight="1">
      <x:c r="A109" s="16" t="str">
        <x:v>REC-0103</x:v>
      </x:c>
      <x:c r="B109" s="17" t="str">
        <x:v>是</x:v>
      </x:c>
      <x:c r="C109" s="17" t="str">
        <x:v>In the short term, light pole should be Propped or removed as there is a risk of collapse. In the long-term baseplate to be replaced.</x:v>
      </x:c>
      <x:c r="D109" s="17" t="str">
        <x:v>Light post</x:v>
      </x:c>
      <x:c r="E109" s="19" t="n">
        <x:v>1</x:v>
      </x:c>
      <x:c r="F109" s="19" t="n">
        <x:v>1</x:v>
      </x:c>
      <x:c r="G109" s="16" t="str"/>
      <x:c r="H109" s="16" t="str">
        <x:v>SRC-063</x:v>
      </x:c>
      <x:c r="I109" s="17" t="str"/>
    </x:row>
    <x:row r="110" ht="37" customHeight="1">
      <x:c r="A110" s="16" t="str">
        <x:v>REC-0104</x:v>
      </x:c>
      <x:c r="B110" s="17" t="str">
        <x:v>是</x:v>
      </x:c>
      <x:c r="C110" s="17" t="str">
        <x:v>In the short term, remove all timber joists. Long term, replace all timer beams.</x:v>
      </x:c>
      <x:c r="D110" s="17" t="str">
        <x:v>Standalone verandah</x:v>
      </x:c>
      <x:c r="E110" s="19" t="n">
        <x:v>1</x:v>
      </x:c>
      <x:c r="F110" s="19" t="n">
        <x:v>1</x:v>
      </x:c>
      <x:c r="G110" s="16" t="str"/>
      <x:c r="H110" s="16" t="str">
        <x:v>SRC-012</x:v>
      </x:c>
      <x:c r="I110" s="17" t="str"/>
    </x:row>
    <x:row r="111" ht="41" customHeight="1">
      <x:c r="A111" s="16" t="str">
        <x:v>REC-0105</x:v>
      </x:c>
      <x:c r="B111" s="17" t="str">
        <x:v>是</x:v>
      </x:c>
      <x:c r="C111" s="17" t="str">
        <x:v>Investigate splitting timber beam by removing any weak sections of timber. If majority of section is lost, full beam replacement is required.</x:v>
      </x:c>
      <x:c r="D111" s="17" t="str">
        <x:v>Verandah tie downs and joists</x:v>
      </x:c>
      <x:c r="E111" s="19" t="n">
        <x:v>1</x:v>
      </x:c>
      <x:c r="F111" s="19" t="n">
        <x:v>1</x:v>
      </x:c>
      <x:c r="G111" s="16" t="str"/>
      <x:c r="H111" s="16" t="str">
        <x:v>SRC-057</x:v>
      </x:c>
      <x:c r="I111" s="17" t="str"/>
    </x:row>
    <x:row r="112" ht="37" customHeight="1">
      <x:c r="A112" s="16" t="str">
        <x:v>REC-0106</x:v>
      </x:c>
      <x:c r="B112" s="17" t="str">
        <x:v>是</x:v>
      </x:c>
      <x:c r="C112" s="17" t="str">
        <x:v>Investigate steel interface.</x:v>
      </x:c>
      <x:c r="D112" s="17" t="str">
        <x:v>Frame connections</x:v>
      </x:c>
      <x:c r="E112" s="19" t="n">
        <x:v>1</x:v>
      </x:c>
      <x:c r="F112" s="19" t="n">
        <x:v>1</x:v>
      </x:c>
      <x:c r="G112" s="16" t="str"/>
      <x:c r="H112" s="16" t="str">
        <x:v>SRC-100</x:v>
      </x:c>
      <x:c r="I112" s="17" t="str"/>
    </x:row>
    <x:row r="113" ht="41" customHeight="1">
      <x:c r="A113" s="16" t="str">
        <x:v>REC-0107</x:v>
      </x:c>
      <x:c r="B113" s="17" t="str">
        <x:v>是</x:v>
      </x:c>
      <x:c r="C113" s="17" t="str">
        <x:v>Investigate whether any equipment with shed is leaking and accelerating corrosion. Clean, remove corrosion and repaint.</x:v>
      </x:c>
      <x:c r="D113" s="17" t="str">
        <x:v>Pool shed column</x:v>
      </x:c>
      <x:c r="E113" s="19" t="n">
        <x:v>1</x:v>
      </x:c>
      <x:c r="F113" s="19" t="n">
        <x:v>1</x:v>
      </x:c>
      <x:c r="G113" s="16" t="str">
        <x:v>MRG-0282</x:v>
      </x:c>
      <x:c r="H113" s="16" t="str">
        <x:v>SRC-009</x:v>
      </x:c>
      <x:c r="I113" s="17" t="str"/>
    </x:row>
    <x:row r="114" ht="37" customHeight="1">
      <x:c r="A114" s="16" t="str">
        <x:v>REC-0108</x:v>
      </x:c>
      <x:c r="B114" s="17" t="str">
        <x:v>是</x:v>
      </x:c>
      <x:c r="C114" s="17" t="str">
        <x:v>Investigate whether connection to footing is structurally sound.</x:v>
      </x:c>
      <x:c r="D114" s="17" t="str">
        <x:v>Lower portion of the welded couple</x:v>
      </x:c>
      <x:c r="E114" s="19" t="n">
        <x:v>1</x:v>
      </x:c>
      <x:c r="F114" s="19" t="n">
        <x:v>1</x:v>
      </x:c>
      <x:c r="G114" s="16" t="str"/>
      <x:c r="H114" s="16" t="str">
        <x:v>SRC-103</x:v>
      </x:c>
      <x:c r="I114" s="17" t="str"/>
    </x:row>
    <x:row r="115" ht="41" customHeight="1">
      <x:c r="A115" s="16" t="str">
        <x:v>REC-0109</x:v>
      </x:c>
      <x:c r="B115" s="17" t="str">
        <x:v>是</x:v>
      </x:c>
      <x:c r="C115" s="17" t="str">
        <x:v>Investigate whether ridge flashing has been correctly installed. Clean, wire brush and repaint corroded areas.</x:v>
      </x:c>
      <x:c r="D115" s="17" t="str">
        <x:v>Roof sheeting</x:v>
      </x:c>
      <x:c r="E115" s="19" t="n">
        <x:v>1</x:v>
      </x:c>
      <x:c r="F115" s="19" t="n">
        <x:v>1</x:v>
      </x:c>
      <x:c r="G115" s="16" t="str">
        <x:v>MRG-0283</x:v>
      </x:c>
      <x:c r="H115" s="16" t="str">
        <x:v>SRC-024</x:v>
      </x:c>
      <x:c r="I115" s="17" t="str"/>
    </x:row>
    <x:row r="116" ht="37" customHeight="1">
      <x:c r="A116" s="16" t="str">
        <x:v>REC-0110</x:v>
      </x:c>
      <x:c r="B116" s="17" t="str">
        <x:v>是</x:v>
      </x:c>
      <x:c r="C116" s="17" t="str">
        <x:v>Lock the service door to protect against public access.</x:v>
      </x:c>
      <x:c r="D116" s="17" t="str">
        <x:v>Terminal box</x:v>
      </x:c>
      <x:c r="E116" s="19" t="n">
        <x:v>1</x:v>
      </x:c>
      <x:c r="F116" s="19" t="n">
        <x:v>1</x:v>
      </x:c>
      <x:c r="G116" s="16" t="str"/>
      <x:c r="H116" s="16" t="str">
        <x:v>SRC-071</x:v>
      </x:c>
      <x:c r="I116" s="17" t="str"/>
    </x:row>
    <x:row r="117" ht="37" customHeight="1">
      <x:c r="A117" s="16" t="str">
        <x:v>REC-0111</x:v>
      </x:c>
      <x:c r="B117" s="17" t="str">
        <x:v>是</x:v>
      </x:c>
      <x:c r="C117" s="17" t="str">
        <x:v>Monitor cracking.</x:v>
      </x:c>
      <x:c r="D117" s="17" t="str">
        <x:v>Footpath</x:v>
      </x:c>
      <x:c r="E117" s="19" t="n">
        <x:v>1</x:v>
      </x:c>
      <x:c r="F117" s="19" t="n">
        <x:v>1</x:v>
      </x:c>
      <x:c r="G117" s="16" t="str">
        <x:v>MRG-0301</x:v>
      </x:c>
      <x:c r="H117" s="16" t="str">
        <x:v>SRC-063</x:v>
      </x:c>
      <x:c r="I117" s="17" t="str"/>
    </x:row>
    <x:row r="118" ht="37" customHeight="1">
      <x:c r="A118" s="16" t="str">
        <x:v>REC-0112</x:v>
      </x:c>
      <x:c r="B118" s="17" t="str">
        <x:v>是</x:v>
      </x:c>
      <x:c r="C118" s="17" t="str">
        <x:v>Monitor splitting.</x:v>
      </x:c>
      <x:c r="D118" s="17" t="str">
        <x:v>Timber beam</x:v>
      </x:c>
      <x:c r="E118" s="19" t="n">
        <x:v>1</x:v>
      </x:c>
      <x:c r="F118" s="19" t="n">
        <x:v>1</x:v>
      </x:c>
      <x:c r="G118" s="16" t="str"/>
      <x:c r="H118" s="16" t="str">
        <x:v>SRC-092</x:v>
      </x:c>
      <x:c r="I118" s="17" t="str"/>
    </x:row>
    <x:row r="119" ht="37" customHeight="1">
      <x:c r="A119" s="16" t="str">
        <x:v>REC-0113</x:v>
      </x:c>
      <x:c r="B119" s="17" t="str">
        <x:v>是</x:v>
      </x:c>
      <x:c r="C119" s="17" t="str">
        <x:v>Monitor the crack width using Avongard crack width gauge.</x:v>
      </x:c>
      <x:c r="D119" s="17" t="str">
        <x:v>Brick wall</x:v>
      </x:c>
      <x:c r="E119" s="19" t="n">
        <x:v>1</x:v>
      </x:c>
      <x:c r="F119" s="19" t="n">
        <x:v>1</x:v>
      </x:c>
      <x:c r="G119" s="16" t="str"/>
      <x:c r="H119" s="16" t="str">
        <x:v>SRC-006</x:v>
      </x:c>
      <x:c r="I119" s="17" t="str"/>
    </x:row>
    <x:row r="120" ht="37" customHeight="1">
      <x:c r="A120" s="16" t="str">
        <x:v>REC-0114</x:v>
      </x:c>
      <x:c r="B120" s="17" t="str">
        <x:v>是</x:v>
      </x:c>
      <x:c r="C120" s="17" t="str">
        <x:v>Monitor the level of deterioration In long term, replace the window frame.</x:v>
      </x:c>
      <x:c r="D120" s="17" t="str">
        <x:v>Cladding and framing</x:v>
      </x:c>
      <x:c r="E120" s="19" t="n">
        <x:v>1</x:v>
      </x:c>
      <x:c r="F120" s="19" t="n">
        <x:v>1</x:v>
      </x:c>
      <x:c r="G120" s="16" t="str"/>
      <x:c r="H120" s="16" t="str">
        <x:v>SRC-001</x:v>
      </x:c>
      <x:c r="I120" s="17" t="str"/>
    </x:row>
    <x:row r="121" ht="41" customHeight="1">
      <x:c r="A121" s="16" t="str">
        <x:v>REC-0115</x:v>
      </x:c>
      <x:c r="B121" s="17" t="str">
        <x:v>是</x:v>
      </x:c>
      <x:c r="C121" s="17" t="str">
        <x:v>Patch it up and make it good. Raise ground level to a minimum 100mm above the bottom of the slab to protect the new slab.</x:v>
      </x:c>
      <x:c r="D121" s="17" t="str">
        <x:v>Slab</x:v>
      </x:c>
      <x:c r="E121" s="19" t="n">
        <x:v>1</x:v>
      </x:c>
      <x:c r="F121" s="19" t="n">
        <x:v>1</x:v>
      </x:c>
      <x:c r="G121" s="16" t="str">
        <x:v>MRG-0302</x:v>
      </x:c>
      <x:c r="H121" s="16" t="str">
        <x:v>SRC-006</x:v>
      </x:c>
      <x:c r="I121" s="17" t="str"/>
    </x:row>
    <x:row r="122" ht="37" customHeight="1">
      <x:c r="A122" s="16" t="str">
        <x:v>REC-0116</x:v>
      </x:c>
      <x:c r="B122" s="17" t="str">
        <x:v>是</x:v>
      </x:c>
      <x:c r="C122" s="17" t="str">
        <x:v>Rafter to be replaced.</x:v>
      </x:c>
      <x:c r="D122" s="17" t="str">
        <x:v>Purlins and rafters</x:v>
      </x:c>
      <x:c r="E122" s="19" t="n">
        <x:v>1</x:v>
      </x:c>
      <x:c r="F122" s="19" t="n">
        <x:v>1</x:v>
      </x:c>
      <x:c r="G122" s="16" t="str"/>
      <x:c r="H122" s="16" t="str">
        <x:v>SRC-048</x:v>
      </x:c>
      <x:c r="I122" s="17" t="str"/>
    </x:row>
    <x:row r="123" ht="37" customHeight="1">
      <x:c r="A123" s="16" t="str">
        <x:v>REC-0117</x:v>
      </x:c>
      <x:c r="B123" s="17" t="str">
        <x:v>是</x:v>
      </x:c>
      <x:c r="C123" s="17" t="str">
        <x:v>Reattach fencing to frame.</x:v>
      </x:c>
      <x:c r="D123" s="17" t="str">
        <x:v>Fence</x:v>
      </x:c>
      <x:c r="E123" s="19" t="n">
        <x:v>1</x:v>
      </x:c>
      <x:c r="F123" s="19" t="n">
        <x:v>1</x:v>
      </x:c>
      <x:c r="G123" s="16" t="str"/>
      <x:c r="H123" s="16" t="str">
        <x:v>SRC-092</x:v>
      </x:c>
      <x:c r="I123" s="17" t="str"/>
    </x:row>
    <x:row r="124" ht="37" customHeight="1">
      <x:c r="A124" s="16" t="str">
        <x:v>REC-0118</x:v>
      </x:c>
      <x:c r="B124" s="17" t="str">
        <x:v>是</x:v>
      </x:c>
      <x:c r="C124" s="17" t="str">
        <x:v>Reattach sheeting to purlin.</x:v>
      </x:c>
      <x:c r="D124" s="17" t="str">
        <x:v>Multipurpose Building verandah</x:v>
      </x:c>
      <x:c r="E124" s="19" t="n">
        <x:v>1</x:v>
      </x:c>
      <x:c r="F124" s="19" t="n">
        <x:v>1</x:v>
      </x:c>
      <x:c r="G124" s="16" t="str"/>
      <x:c r="H124" s="16" t="str">
        <x:v>SRC-063</x:v>
      </x:c>
      <x:c r="I124" s="17" t="str"/>
    </x:row>
    <x:row r="125" ht="37" customHeight="1">
      <x:c r="A125" s="16" t="str">
        <x:v>REC-0119</x:v>
      </x:c>
      <x:c r="B125" s="17" t="str">
        <x:v>是</x:v>
      </x:c>
      <x:c r="C125" s="17" t="str">
        <x:v>Reattach to fencing post.</x:v>
      </x:c>
      <x:c r="D125" s="17" t="str">
        <x:v>Fencing</x:v>
      </x:c>
      <x:c r="E125" s="19" t="n">
        <x:v>1</x:v>
      </x:c>
      <x:c r="F125" s="19" t="n">
        <x:v>1</x:v>
      </x:c>
      <x:c r="G125" s="16" t="str"/>
      <x:c r="H125" s="16" t="str">
        <x:v>SRC-013</x:v>
      </x:c>
      <x:c r="I125" s="17" t="str"/>
    </x:row>
    <x:row r="126" ht="37" customHeight="1">
      <x:c r="A126" s="16" t="str">
        <x:v>REC-0120</x:v>
      </x:c>
      <x:c r="B126" s="17" t="str">
        <x:v>是</x:v>
      </x:c>
      <x:c r="C126" s="17" t="str">
        <x:v>Reattach.</x:v>
      </x:c>
      <x:c r="D126" s="17" t="str">
        <x:v>Soffit edge flashing</x:v>
      </x:c>
      <x:c r="E126" s="19" t="n">
        <x:v>1</x:v>
      </x:c>
      <x:c r="F126" s="19" t="n">
        <x:v>1</x:v>
      </x:c>
      <x:c r="G126" s="16" t="str"/>
      <x:c r="H126" s="16" t="str">
        <x:v>SRC-092</x:v>
      </x:c>
      <x:c r="I126" s="17" t="str"/>
    </x:row>
    <x:row r="127" ht="37" customHeight="1">
      <x:c r="A127" s="16" t="str">
        <x:v>REC-0121</x:v>
      </x:c>
      <x:c r="B127" s="17" t="str">
        <x:v>是</x:v>
      </x:c>
      <x:c r="C127" s="17" t="str">
        <x:v>Refer to Section 3 for repair methodology.</x:v>
      </x:c>
      <x:c r="D127" s="17" t="str">
        <x:v>Brick piers</x:v>
      </x:c>
      <x:c r="E127" s="19" t="n">
        <x:v>1</x:v>
      </x:c>
      <x:c r="F127" s="19" t="n">
        <x:v>1</x:v>
      </x:c>
      <x:c r="G127" s="16" t="str">
        <x:v>MRG-0303</x:v>
      </x:c>
      <x:c r="H127" s="16" t="str">
        <x:v>SRC-096</x:v>
      </x:c>
      <x:c r="I127" s="17" t="str"/>
    </x:row>
    <x:row r="128" ht="41" customHeight="1">
      <x:c r="A128" s="16" t="str">
        <x:v>REC-0122</x:v>
      </x:c>
      <x:c r="B128" s="17" t="str">
        <x:v>是</x:v>
      </x:c>
      <x:c r="C128" s="17" t="str">
        <x:v>Refer to Section 3 for repair methodology. Monitor crack length and width periodically.</x:v>
      </x:c>
      <x:c r="D128" s="17" t="str">
        <x:v>Concrete slab</x:v>
      </x:c>
      <x:c r="E128" s="19" t="n">
        <x:v>1</x:v>
      </x:c>
      <x:c r="F128" s="19" t="n">
        <x:v>1</x:v>
      </x:c>
      <x:c r="G128" s="16" t="str">
        <x:v>MRG-0292, MRG-0303</x:v>
      </x:c>
      <x:c r="H128" s="16" t="str">
        <x:v>SRC-096</x:v>
      </x:c>
      <x:c r="I128" s="17" t="str"/>
    </x:row>
    <x:row r="129" ht="41" customHeight="1">
      <x:c r="A129" s="16" t="str">
        <x:v>REC-0123</x:v>
      </x:c>
      <x:c r="B129" s="17" t="str">
        <x:v>是</x:v>
      </x:c>
      <x:c r="C129" s="17" t="str">
        <x:v>Remove all Tek screws. Clean and repaint sheeting. Reinstate Tek screws with rubber seals.</x:v>
      </x:c>
      <x:c r="D129" s="17" t="str">
        <x:v>Roof sheeting</x:v>
      </x:c>
      <x:c r="E129" s="19" t="n">
        <x:v>1</x:v>
      </x:c>
      <x:c r="F129" s="19" t="n">
        <x:v>1</x:v>
      </x:c>
      <x:c r="G129" s="16" t="str"/>
      <x:c r="H129" s="16" t="str">
        <x:v>SRC-080</x:v>
      </x:c>
      <x:c r="I129" s="17" t="str"/>
    </x:row>
    <x:row r="130" ht="37" customHeight="1">
      <x:c r="A130" s="16" t="str">
        <x:v>REC-0124</x:v>
      </x:c>
      <x:c r="B130" s="17" t="str">
        <x:v>是</x:v>
      </x:c>
      <x:c r="C130" s="17" t="str">
        <x:v>Remove any corroded damp proof course and repaint any sections that are cut.</x:v>
      </x:c>
      <x:c r="D130" s="17" t="str">
        <x:v>Damp proof course</x:v>
      </x:c>
      <x:c r="E130" s="19" t="n">
        <x:v>1</x:v>
      </x:c>
      <x:c r="F130" s="19" t="n">
        <x:v>1</x:v>
      </x:c>
      <x:c r="G130" s="16" t="str"/>
      <x:c r="H130" s="16" t="str">
        <x:v>SRC-012</x:v>
      </x:c>
      <x:c r="I130" s="17" t="str"/>
    </x:row>
    <x:row r="131" ht="37" customHeight="1">
      <x:c r="A131" s="16" t="str">
        <x:v>REC-0125</x:v>
      </x:c>
      <x:c r="B131" s="17" t="str">
        <x:v>是</x:v>
      </x:c>
      <x:c r="C131" s="17" t="str">
        <x:v>Remove bolt and fill void if the bolt has been redundant.</x:v>
      </x:c>
      <x:c r="D131" s="17" t="str">
        <x:v>Garage</x:v>
      </x:c>
      <x:c r="E131" s="19" t="n">
        <x:v>1</x:v>
      </x:c>
      <x:c r="F131" s="19" t="n">
        <x:v>1</x:v>
      </x:c>
      <x:c r="G131" s="16" t="str"/>
      <x:c r="H131" s="16" t="str">
        <x:v>SRC-006</x:v>
      </x:c>
      <x:c r="I131" s="17" t="str"/>
    </x:row>
    <x:row r="132" ht="37" customHeight="1">
      <x:c r="A132" s="16" t="str">
        <x:v>REC-0126</x:v>
      </x:c>
      <x:c r="B132" s="17" t="str">
        <x:v>是</x:v>
      </x:c>
      <x:c r="C132" s="17" t="str">
        <x:v>Remove corroded section and seal.</x:v>
      </x:c>
      <x:c r="D132" s="17" t="str">
        <x:v>Damp proof coursing</x:v>
      </x:c>
      <x:c r="E132" s="19" t="n">
        <x:v>1</x:v>
      </x:c>
      <x:c r="F132" s="19" t="n">
        <x:v>1</x:v>
      </x:c>
      <x:c r="G132" s="16" t="str"/>
      <x:c r="H132" s="16" t="str">
        <x:v>SRC-006</x:v>
      </x:c>
      <x:c r="I132" s="17" t="str"/>
    </x:row>
    <x:row r="133" ht="41" customHeight="1">
      <x:c r="A133" s="16" t="str">
        <x:v>REC-0127</x:v>
      </x:c>
      <x:c r="B133" s="17" t="str">
        <x:v>是</x:v>
      </x:c>
      <x:c r="C133" s="17" t="str">
        <x:v>Remove corroded wall ties and replace cracked bricks. Install Helifix.and fill up the cracks</x:v>
      </x:c>
      <x:c r="D133" s="17" t="str">
        <x:v>Brickwork and framing</x:v>
      </x:c>
      <x:c r="E133" s="19" t="n">
        <x:v>1</x:v>
      </x:c>
      <x:c r="F133" s="19" t="n">
        <x:v>1</x:v>
      </x:c>
      <x:c r="G133" s="16" t="str"/>
      <x:c r="H133" s="16" t="str">
        <x:v>SRC-057</x:v>
      </x:c>
      <x:c r="I133" s="17" t="str"/>
    </x:row>
    <x:row r="134" ht="37" customHeight="1">
      <x:c r="A134" s="16" t="str">
        <x:v>REC-0128</x:v>
      </x:c>
      <x:c r="B134" s="17" t="str">
        <x:v>是</x:v>
      </x:c>
      <x:c r="C134" s="17" t="str">
        <x:v>Remove debris from drainage holes to allow for proper drainage.</x:v>
      </x:c>
      <x:c r="D134" s="17" t="str">
        <x:v>Drainage holes</x:v>
      </x:c>
      <x:c r="E134" s="19" t="n">
        <x:v>1</x:v>
      </x:c>
      <x:c r="F134" s="19" t="n">
        <x:v>1</x:v>
      </x:c>
      <x:c r="G134" s="16" t="str"/>
      <x:c r="H134" s="16" t="str">
        <x:v>SRC-096</x:v>
      </x:c>
      <x:c r="I134" s="17" t="str"/>
    </x:row>
    <x:row r="135" ht="37" customHeight="1">
      <x:c r="A135" s="16" t="str">
        <x:v>REC-0129</x:v>
      </x:c>
      <x:c r="B135" s="17" t="str">
        <x:v>是</x:v>
      </x:c>
      <x:c r="C135" s="17" t="str">
        <x:v>Remove debris from the drain.</x:v>
      </x:c>
      <x:c r="D135" s="17" t="str">
        <x:v>Drain</x:v>
      </x:c>
      <x:c r="E135" s="19" t="n">
        <x:v>1</x:v>
      </x:c>
      <x:c r="F135" s="19" t="n">
        <x:v>1</x:v>
      </x:c>
      <x:c r="G135" s="16" t="str"/>
      <x:c r="H135" s="16" t="str">
        <x:v>SRC-063</x:v>
      </x:c>
      <x:c r="I135" s="17" t="str"/>
    </x:row>
    <x:row r="136" ht="37" customHeight="1">
      <x:c r="A136" s="16" t="str">
        <x:v>REC-0130</x:v>
      </x:c>
      <x:c r="B136" s="17" t="str">
        <x:v>是</x:v>
      </x:c>
      <x:c r="C136" s="17" t="str">
        <x:v>Remove it or restraint access to it.</x:v>
      </x:c>
      <x:c r="D136" s="17" t="str">
        <x:v>Sculpture B</x:v>
      </x:c>
      <x:c r="E136" s="19" t="n">
        <x:v>1</x:v>
      </x:c>
      <x:c r="F136" s="19" t="n">
        <x:v>1</x:v>
      </x:c>
      <x:c r="G136" s="16" t="str"/>
      <x:c r="H136" s="16" t="str">
        <x:v>SRC-094</x:v>
      </x:c>
      <x:c r="I136" s="17" t="str"/>
    </x:row>
    <x:row r="137" ht="37" customHeight="1">
      <x:c r="A137" s="16" t="str">
        <x:v>REC-0131</x:v>
      </x:c>
      <x:c r="B137" s="17" t="str">
        <x:v>是</x:v>
      </x:c>
      <x:c r="C137" s="17" t="str">
        <x:v>Remove nail and repoint.</x:v>
      </x:c>
      <x:c r="D137" s="17" t="str">
        <x:v>Brickwork and framing</x:v>
      </x:c>
      <x:c r="E137" s="19" t="n">
        <x:v>1</x:v>
      </x:c>
      <x:c r="F137" s="19" t="n">
        <x:v>1</x:v>
      </x:c>
      <x:c r="G137" s="16" t="str"/>
      <x:c r="H137" s="16" t="str">
        <x:v>SRC-057</x:v>
      </x:c>
      <x:c r="I137" s="17" t="str"/>
    </x:row>
    <x:row r="138" ht="41" customHeight="1">
      <x:c r="A138" s="16" t="str">
        <x:v>REC-0132</x:v>
      </x:c>
      <x:c r="B138" s="17" t="str">
        <x:v>是</x:v>
      </x:c>
      <x:c r="C138" s="17" t="str">
        <x:v>Remove sharp mortar joints so it sits flush with block. Eventually block will require replacement.</x:v>
      </x:c>
      <x:c r="D138" s="17" t="str">
        <x:v>Pool retaining wall</x:v>
      </x:c>
      <x:c r="E138" s="19" t="n">
        <x:v>1</x:v>
      </x:c>
      <x:c r="F138" s="19" t="n">
        <x:v>1</x:v>
      </x:c>
      <x:c r="G138" s="16" t="str"/>
      <x:c r="H138" s="16" t="str">
        <x:v>SRC-009</x:v>
      </x:c>
      <x:c r="I138" s="17" t="str"/>
    </x:row>
    <x:row r="139" ht="37" customHeight="1">
      <x:c r="A139" s="16" t="str">
        <x:v>REC-0133</x:v>
      </x:c>
      <x:c r="B139" s="17" t="str">
        <x:v>是</x:v>
      </x:c>
      <x:c r="C139" s="17" t="str">
        <x:v>Remove staining.</x:v>
      </x:c>
      <x:c r="D139" s="17" t="str">
        <x:v>Cladding and framing</x:v>
      </x:c>
      <x:c r="E139" s="19" t="n">
        <x:v>1</x:v>
      </x:c>
      <x:c r="F139" s="19" t="n">
        <x:v>1</x:v>
      </x:c>
      <x:c r="G139" s="16" t="str">
        <x:v>MRG-0255</x:v>
      </x:c>
      <x:c r="H139" s="16" t="str">
        <x:v>SRC-024</x:v>
      </x:c>
      <x:c r="I139" s="17" t="str"/>
    </x:row>
    <x:row r="140" ht="41" customHeight="1">
      <x:c r="A140" s="16" t="str">
        <x:v>REC-0134</x:v>
      </x:c>
      <x:c r="B140" s="17" t="str">
        <x:v>是</x:v>
      </x:c>
      <x:c r="C140" s="17" t="str">
        <x:v>Remove the footpath and construct new path. Raise ground level to a minimum 100mm above the bottom of the slab to protect the new slab.</x:v>
      </x:c>
      <x:c r="D140" s="17" t="str">
        <x:v>Concrete footpath</x:v>
      </x:c>
      <x:c r="E140" s="19" t="n">
        <x:v>1</x:v>
      </x:c>
      <x:c r="F140" s="19" t="n">
        <x:v>1</x:v>
      </x:c>
      <x:c r="G140" s="16" t="str">
        <x:v>MRG-0302</x:v>
      </x:c>
      <x:c r="H140" s="16" t="str">
        <x:v>SRC-006</x:v>
      </x:c>
      <x:c r="I140" s="17" t="str"/>
    </x:row>
    <x:row r="141" ht="37" customHeight="1">
      <x:c r="A141" s="16" t="str">
        <x:v>REC-0135</x:v>
      </x:c>
      <x:c r="B141" s="17" t="str">
        <x:v>是</x:v>
      </x:c>
      <x:c r="C141" s="17" t="str">
        <x:v>Remove the rust. Cover hole to prevent water ingress.</x:v>
      </x:c>
      <x:c r="D141" s="17" t="str">
        <x:v>Shade structure 3 column</x:v>
      </x:c>
      <x:c r="E141" s="19" t="n">
        <x:v>1</x:v>
      </x:c>
      <x:c r="F141" s="19" t="n">
        <x:v>1</x:v>
      </x:c>
      <x:c r="G141" s="16" t="str">
        <x:v>MRG-0299</x:v>
      </x:c>
      <x:c r="H141" s="16" t="str">
        <x:v>SRC-092</x:v>
      </x:c>
      <x:c r="I141" s="17" t="str"/>
    </x:row>
    <x:row r="142" ht="37" customHeight="1">
      <x:c r="A142" s="16" t="str">
        <x:v>REC-0136</x:v>
      </x:c>
      <x:c r="B142" s="17" t="str">
        <x:v>是</x:v>
      </x:c>
      <x:c r="C142" s="17" t="str">
        <x:v>Repaint all sections that have paint deterioration.</x:v>
      </x:c>
      <x:c r="D142" s="17" t="str">
        <x:v>Columns</x:v>
      </x:c>
      <x:c r="E142" s="19" t="n">
        <x:v>1</x:v>
      </x:c>
      <x:c r="F142" s="19" t="n">
        <x:v>1</x:v>
      </x:c>
      <x:c r="G142" s="16" t="str"/>
      <x:c r="H142" s="16" t="str">
        <x:v>SRC-003</x:v>
      </x:c>
      <x:c r="I142" s="17" t="str"/>
    </x:row>
    <x:row r="143" ht="37" customHeight="1">
      <x:c r="A143" s="16" t="str">
        <x:v>REC-0137</x:v>
      </x:c>
      <x:c r="B143" s="17" t="str">
        <x:v>是</x:v>
      </x:c>
      <x:c r="C143" s="17" t="str">
        <x:v>Repaint.</x:v>
      </x:c>
      <x:c r="D143" s="17" t="str">
        <x:v>Cladding and framing</x:v>
      </x:c>
      <x:c r="E143" s="19" t="n">
        <x:v>1</x:v>
      </x:c>
      <x:c r="F143" s="19" t="n">
        <x:v>1</x:v>
      </x:c>
      <x:c r="G143" s="16" t="str"/>
      <x:c r="H143" s="16" t="str">
        <x:v>SRC-060</x:v>
      </x:c>
      <x:c r="I143" s="17" t="str"/>
    </x:row>
    <x:row r="144" ht="41" customHeight="1">
      <x:c r="A144" s="16" t="str">
        <x:v>REC-0138</x:v>
      </x:c>
      <x:c r="B144" s="17" t="str">
        <x:v>是</x:v>
      </x:c>
      <x:c r="C144" s="17" t="str">
        <x:v>Repair fencing to restrict access to the train. Remove rusted steel sheeting from site.</x:v>
      </x:c>
      <x:c r="D144" s="17" t="str">
        <x:v>Historical train steel sheeting</x:v>
      </x:c>
      <x:c r="E144" s="19" t="n">
        <x:v>1</x:v>
      </x:c>
      <x:c r="F144" s="19" t="n">
        <x:v>1</x:v>
      </x:c>
      <x:c r="G144" s="16" t="str"/>
      <x:c r="H144" s="16" t="str">
        <x:v>SRC-071</x:v>
      </x:c>
      <x:c r="I144" s="17" t="str"/>
    </x:row>
    <x:row r="145" ht="37" customHeight="1">
      <x:c r="A145" s="16" t="str">
        <x:v>REC-0139</x:v>
      </x:c>
      <x:c r="B145" s="17" t="str">
        <x:v>是</x:v>
      </x:c>
      <x:c r="C145" s="17" t="str">
        <x:v>Replace Tek screws.</x:v>
      </x:c>
      <x:c r="D145" s="17" t="str">
        <x:v>Tek screws</x:v>
      </x:c>
      <x:c r="E145" s="19" t="n">
        <x:v>1</x:v>
      </x:c>
      <x:c r="F145" s="19" t="n">
        <x:v>1</x:v>
      </x:c>
      <x:c r="G145" s="16" t="str">
        <x:v>MRG-0293</x:v>
      </x:c>
      <x:c r="H145" s="16" t="str">
        <x:v>SRC-014</x:v>
      </x:c>
      <x:c r="I145" s="17" t="str"/>
    </x:row>
    <x:row r="146" ht="37" customHeight="1">
      <x:c r="A146" s="16" t="str">
        <x:v>REC-0140</x:v>
      </x:c>
      <x:c r="B146" s="17" t="str">
        <x:v>是</x:v>
      </x:c>
      <x:c r="C146" s="17" t="str">
        <x:v>Replace all corroded tie downs.</x:v>
      </x:c>
      <x:c r="D146" s="17" t="str">
        <x:v>Verandah tie downs and joists</x:v>
      </x:c>
      <x:c r="E146" s="19" t="n">
        <x:v>1</x:v>
      </x:c>
      <x:c r="F146" s="19" t="n">
        <x:v>1</x:v>
      </x:c>
      <x:c r="G146" s="16" t="str"/>
      <x:c r="H146" s="16" t="str">
        <x:v>SRC-057</x:v>
      </x:c>
      <x:c r="I146" s="17" t="str"/>
    </x:row>
    <x:row r="147" ht="37" customHeight="1">
      <x:c r="A147" s="16" t="str">
        <x:v>REC-0141</x:v>
      </x:c>
      <x:c r="B147" s="17" t="str">
        <x:v>是</x:v>
      </x:c>
      <x:c r="C147" s="17" t="str">
        <x:v>Replace all strap bracing.</x:v>
      </x:c>
      <x:c r="D147" s="17" t="str">
        <x:v>Carport strap bracing</x:v>
      </x:c>
      <x:c r="E147" s="19" t="n">
        <x:v>1</x:v>
      </x:c>
      <x:c r="F147" s="19" t="n">
        <x:v>1</x:v>
      </x:c>
      <x:c r="G147" s="16" t="str"/>
      <x:c r="H147" s="16" t="str">
        <x:v>SRC-029</x:v>
      </x:c>
      <x:c r="I147" s="17" t="str"/>
    </x:row>
    <x:row r="148" ht="37" customHeight="1">
      <x:c r="A148" s="16" t="str">
        <x:v>REC-0142</x:v>
      </x:c>
      <x:c r="B148" s="17" t="str">
        <x:v>是</x:v>
      </x:c>
      <x:c r="C148" s="17" t="str">
        <x:v>Replace bolts like for like.</x:v>
      </x:c>
      <x:c r="D148" s="17" t="str">
        <x:v>Sculpture A</x:v>
      </x:c>
      <x:c r="E148" s="19" t="n">
        <x:v>1</x:v>
      </x:c>
      <x:c r="F148" s="19" t="n">
        <x:v>1</x:v>
      </x:c>
      <x:c r="G148" s="16" t="str"/>
      <x:c r="H148" s="16" t="str">
        <x:v>SRC-094</x:v>
      </x:c>
      <x:c r="I148" s="17" t="str"/>
    </x:row>
    <x:row r="149" ht="37" customHeight="1">
      <x:c r="A149" s="16" t="str">
        <x:v>REC-0143</x:v>
      </x:c>
      <x:c r="B149" s="17" t="str">
        <x:v>是</x:v>
      </x:c>
      <x:c r="C149" s="17" t="str">
        <x:v>Replace bracing.</x:v>
      </x:c>
      <x:c r="D149" s="17" t="str">
        <x:v>Bracing of back verandah</x:v>
      </x:c>
      <x:c r="E149" s="19" t="n">
        <x:v>1</x:v>
      </x:c>
      <x:c r="F149" s="19" t="n">
        <x:v>1</x:v>
      </x:c>
      <x:c r="G149" s="16" t="str"/>
      <x:c r="H149" s="16" t="str">
        <x:v>SRC-092</x:v>
      </x:c>
      <x:c r="I149" s="17" t="str"/>
    </x:row>
    <x:row r="150" ht="37" customHeight="1">
      <x:c r="A150" s="16" t="str">
        <x:v>REC-0144</x:v>
      </x:c>
      <x:c r="B150" s="17" t="str">
        <x:v>是</x:v>
      </x:c>
      <x:c r="C150" s="17" t="str">
        <x:v>Replace brick.</x:v>
      </x:c>
      <x:c r="D150" s="17" t="str">
        <x:v>Multipurpose Building – brick wall</x:v>
      </x:c>
      <x:c r="E150" s="19" t="n">
        <x:v>1</x:v>
      </x:c>
      <x:c r="F150" s="19" t="n">
        <x:v>1</x:v>
      </x:c>
      <x:c r="G150" s="16" t="str"/>
      <x:c r="H150" s="16" t="str">
        <x:v>SRC-063</x:v>
      </x:c>
      <x:c r="I150" s="17" t="str"/>
    </x:row>
    <x:row r="151" ht="37" customHeight="1">
      <x:c r="A151" s="16" t="str">
        <x:v>REC-0145</x:v>
      </x:c>
      <x:c r="B151" s="17" t="str">
        <x:v>是</x:v>
      </x:c>
      <x:c r="C151" s="17" t="str">
        <x:v>Replace columns to match existing.</x:v>
      </x:c>
      <x:c r="D151" s="17" t="str">
        <x:v>Verandah columns</x:v>
      </x:c>
      <x:c r="E151" s="19" t="n">
        <x:v>1</x:v>
      </x:c>
      <x:c r="F151" s="19" t="n">
        <x:v>1</x:v>
      </x:c>
      <x:c r="G151" s="16" t="str">
        <x:v>MRG-0209, MRG-0220</x:v>
      </x:c>
      <x:c r="H151" s="16" t="str">
        <x:v>SRC-029</x:v>
      </x:c>
      <x:c r="I151" s="17" t="str"/>
    </x:row>
    <x:row r="152" ht="37" customHeight="1">
      <x:c r="A152" s="16" t="str">
        <x:v>REC-0146</x:v>
      </x:c>
      <x:c r="B152" s="17" t="str">
        <x:v>是</x:v>
      </x:c>
      <x:c r="C152" s="17" t="str">
        <x:v>Replace end cap.</x:v>
      </x:c>
      <x:c r="D152" s="17" t="str">
        <x:v>Verandah cladding</x:v>
      </x:c>
      <x:c r="E152" s="19" t="n">
        <x:v>1</x:v>
      </x:c>
      <x:c r="F152" s="19" t="n">
        <x:v>1</x:v>
      </x:c>
      <x:c r="G152" s="16" t="str"/>
      <x:c r="H152" s="16" t="str">
        <x:v>SRC-002</x:v>
      </x:c>
      <x:c r="I152" s="17" t="str"/>
    </x:row>
    <x:row r="153" ht="37" customHeight="1">
      <x:c r="A153" s="16" t="str">
        <x:v>REC-0147</x:v>
      </x:c>
      <x:c r="B153" s="17" t="str">
        <x:v>是</x:v>
      </x:c>
      <x:c r="C153" s="17" t="str">
        <x:v>Replace panel.</x:v>
      </x:c>
      <x:c r="D153" s="17" t="str">
        <x:v>Informational Panel 1</x:v>
      </x:c>
      <x:c r="E153" s="19" t="n">
        <x:v>1</x:v>
      </x:c>
      <x:c r="F153" s="19" t="n">
        <x:v>1</x:v>
      </x:c>
      <x:c r="G153" s="16" t="str"/>
      <x:c r="H153" s="16" t="str">
        <x:v>SRC-071</x:v>
      </x:c>
      <x:c r="I153" s="17" t="str"/>
    </x:row>
    <x:row r="154" ht="37" customHeight="1">
      <x:c r="A154" s="16" t="str">
        <x:v>REC-0148</x:v>
      </x:c>
      <x:c r="B154" s="17" t="str">
        <x:v>是</x:v>
      </x:c>
      <x:c r="C154" s="17" t="str">
        <x:v>Replace post to match existing as soon as possible.</x:v>
      </x:c>
      <x:c r="D154" s="17" t="str">
        <x:v>Verandah column</x:v>
      </x:c>
      <x:c r="E154" s="19" t="n">
        <x:v>1</x:v>
      </x:c>
      <x:c r="F154" s="19" t="n">
        <x:v>1</x:v>
      </x:c>
      <x:c r="G154" s="16" t="str"/>
      <x:c r="H154" s="16" t="str">
        <x:v>SRC-015</x:v>
      </x:c>
      <x:c r="I154" s="17" t="str"/>
    </x:row>
    <x:row r="155" ht="37" customHeight="1">
      <x:c r="A155" s="16" t="str">
        <x:v>REC-0149</x:v>
      </x:c>
      <x:c r="B155" s="17" t="str">
        <x:v>是</x:v>
      </x:c>
      <x:c r="C155" s="17" t="str">
        <x:v>Replace protective wrap.</x:v>
      </x:c>
      <x:c r="D155" s="17" t="str">
        <x:v>Shade structure column</x:v>
      </x:c>
      <x:c r="E155" s="19" t="n">
        <x:v>1</x:v>
      </x:c>
      <x:c r="F155" s="19" t="n">
        <x:v>1</x:v>
      </x:c>
      <x:c r="G155" s="16" t="str"/>
      <x:c r="H155" s="16" t="str">
        <x:v>SRC-092</x:v>
      </x:c>
      <x:c r="I155" s="17" t="str"/>
    </x:row>
    <x:row r="156" ht="37" customHeight="1">
      <x:c r="A156" s="16" t="str">
        <x:v>REC-0150</x:v>
      </x:c>
      <x:c r="B156" s="17" t="str">
        <x:v>是</x:v>
      </x:c>
      <x:c r="C156" s="17" t="str">
        <x:v>Replace rafter and cracked bricks.</x:v>
      </x:c>
      <x:c r="D156" s="17" t="str">
        <x:v>Rafters</x:v>
      </x:c>
      <x:c r="E156" s="19" t="n">
        <x:v>1</x:v>
      </x:c>
      <x:c r="F156" s="19" t="n">
        <x:v>1</x:v>
      </x:c>
      <x:c r="G156" s="16" t="str">
        <x:v>MRG-0210</x:v>
      </x:c>
      <x:c r="H156" s="16" t="str">
        <x:v>SRC-006</x:v>
      </x:c>
      <x:c r="I156" s="17" t="str"/>
    </x:row>
    <x:row r="157" ht="37" customHeight="1">
      <x:c r="A157" s="16" t="str">
        <x:v>REC-0151</x:v>
      </x:c>
      <x:c r="B157" s="17" t="str">
        <x:v>是</x:v>
      </x:c>
      <x:c r="C157" s="17" t="str">
        <x:v>Replace rafter.</x:v>
      </x:c>
      <x:c r="D157" s="17" t="str">
        <x:v>Rafters</x:v>
      </x:c>
      <x:c r="E157" s="19" t="n">
        <x:v>1</x:v>
      </x:c>
      <x:c r="F157" s="19" t="n">
        <x:v>1</x:v>
      </x:c>
      <x:c r="G157" s="16" t="str"/>
      <x:c r="H157" s="16" t="str">
        <x:v>SRC-006</x:v>
      </x:c>
      <x:c r="I157" s="17" t="str"/>
    </x:row>
    <x:row r="158" ht="37" customHeight="1">
      <x:c r="A158" s="16" t="str">
        <x:v>REC-0152</x:v>
      </x:c>
      <x:c r="B158" s="17" t="str">
        <x:v>是</x:v>
      </x:c>
      <x:c r="C158" s="17" t="str">
        <x:v>Replace sign.</x:v>
      </x:c>
      <x:c r="D158" s="17" t="str">
        <x:v>Informational Panel</x:v>
      </x:c>
      <x:c r="E158" s="19" t="n">
        <x:v>1</x:v>
      </x:c>
      <x:c r="F158" s="19" t="n">
        <x:v>1</x:v>
      </x:c>
      <x:c r="G158" s="16" t="str"/>
      <x:c r="H158" s="16" t="str">
        <x:v>SRC-094</x:v>
      </x:c>
      <x:c r="I158" s="17" t="str"/>
    </x:row>
    <x:row r="159" ht="37" customHeight="1">
      <x:c r="A159" s="16" t="str">
        <x:v>REC-0153</x:v>
      </x:c>
      <x:c r="B159" s="17" t="str">
        <x:v>是</x:v>
      </x:c>
      <x:c r="C159" s="17" t="str">
        <x:v>Replace supports.</x:v>
      </x:c>
      <x:c r="D159" s="17" t="str">
        <x:v>Seat supports</x:v>
      </x:c>
      <x:c r="E159" s="19" t="n">
        <x:v>1</x:v>
      </x:c>
      <x:c r="F159" s="19" t="n">
        <x:v>1</x:v>
      </x:c>
      <x:c r="G159" s="16" t="str"/>
      <x:c r="H159" s="16" t="str">
        <x:v>SRC-094</x:v>
      </x:c>
      <x:c r="I159" s="17" t="str"/>
    </x:row>
    <x:row r="160" ht="41" customHeight="1">
      <x:c r="A160" s="16" t="str">
        <x:v>REC-0154</x:v>
      </x:c>
      <x:c r="B160" s="17" t="str">
        <x:v>是</x:v>
      </x:c>
      <x:c r="C160" s="17" t="str">
        <x:v>Replace the end portion of this cantilever reweld &amp; bolted the members and repaint.</x:v>
      </x:c>
      <x:c r="D160" s="17" t="str">
        <x:v>Childhood Centre verandah</x:v>
      </x:c>
      <x:c r="E160" s="19" t="n">
        <x:v>1</x:v>
      </x:c>
      <x:c r="F160" s="19" t="n">
        <x:v>1</x:v>
      </x:c>
      <x:c r="G160" s="16" t="str"/>
      <x:c r="H160" s="16" t="str">
        <x:v>SRC-063</x:v>
      </x:c>
      <x:c r="I160" s="17" t="str"/>
    </x:row>
    <x:row r="161" ht="37" customHeight="1">
      <x:c r="A161" s="16" t="str">
        <x:v>REC-0155</x:v>
      </x:c>
      <x:c r="B161" s="17" t="str">
        <x:v>是</x:v>
      </x:c>
      <x:c r="C161" s="17" t="str">
        <x:v>Replace the locally damaged roof sheeting .</x:v>
      </x:c>
      <x:c r="D161" s="17" t="str">
        <x:v>Roof sheeting</x:v>
      </x:c>
      <x:c r="E161" s="19" t="n">
        <x:v>1</x:v>
      </x:c>
      <x:c r="F161" s="19" t="n">
        <x:v>1</x:v>
      </x:c>
      <x:c r="G161" s="16" t="str"/>
      <x:c r="H161" s="16" t="str">
        <x:v>SRC-029</x:v>
      </x:c>
      <x:c r="I161" s="17" t="str"/>
    </x:row>
    <x:row r="162" ht="37" customHeight="1">
      <x:c r="A162" s="16" t="str">
        <x:v>REC-0156</x:v>
      </x:c>
      <x:c r="B162" s="17" t="str">
        <x:v>是</x:v>
      </x:c>
      <x:c r="C162" s="17" t="str">
        <x:v>Replace the purlin.</x:v>
      </x:c>
      <x:c r="D162" s="17" t="str">
        <x:v>Dragonfly shade structure</x:v>
      </x:c>
      <x:c r="E162" s="19" t="n">
        <x:v>1</x:v>
      </x:c>
      <x:c r="F162" s="19" t="n">
        <x:v>1</x:v>
      </x:c>
      <x:c r="G162" s="16" t="str"/>
      <x:c r="H162" s="16" t="str">
        <x:v>SRC-080</x:v>
      </x:c>
      <x:c r="I162" s="17" t="str"/>
    </x:row>
    <x:row r="163" ht="41" customHeight="1">
      <x:c r="A163" s="16" t="str">
        <x:v>REC-0157</x:v>
      </x:c>
      <x:c r="B163" s="17" t="str">
        <x:v>是</x:v>
      </x:c>
      <x:c r="C163" s="17" t="str">
        <x:v>Replace the purlins and severely rusted tapered section at the end of the rafters.</x:v>
      </x:c>
      <x:c r="D163" s="17" t="str">
        <x:v>Purlins</x:v>
      </x:c>
      <x:c r="E163" s="19" t="n">
        <x:v>1</x:v>
      </x:c>
      <x:c r="F163" s="19" t="n">
        <x:v>1</x:v>
      </x:c>
      <x:c r="G163" s="16" t="str"/>
      <x:c r="H163" s="16" t="str">
        <x:v>SRC-080</x:v>
      </x:c>
      <x:c r="I163" s="17" t="str"/>
    </x:row>
    <x:row r="164" ht="41" customHeight="1">
      <x:c r="A164" s="16" t="str">
        <x:v>REC-0158</x:v>
      </x:c>
      <x:c r="B164" s="17" t="str">
        <x:v>是</x:v>
      </x:c>
      <x:c r="C164" s="17" t="str">
        <x:v>Replace the purlins, cut the end tapered section, remove the corrosion, weld new taped section and install new purlins.</x:v>
      </x:c>
      <x:c r="D164" s="17" t="str">
        <x:v>Purlins</x:v>
      </x:c>
      <x:c r="E164" s="19" t="n">
        <x:v>1</x:v>
      </x:c>
      <x:c r="F164" s="19" t="n">
        <x:v>1</x:v>
      </x:c>
      <x:c r="G164" s="16" t="str"/>
      <x:c r="H164" s="16" t="str">
        <x:v>SRC-080</x:v>
      </x:c>
      <x:c r="I164" s="17" t="str"/>
    </x:row>
    <x:row r="165" ht="37" customHeight="1">
      <x:c r="A165" s="16" t="str">
        <x:v>REC-0159</x:v>
      </x:c>
      <x:c r="B165" s="17" t="str">
        <x:v>是</x:v>
      </x:c>
      <x:c r="C165" s="17" t="str">
        <x:v>Replace the purlins.</x:v>
      </x:c>
      <x:c r="D165" s="17" t="str">
        <x:v>Dragonfly shade structure</x:v>
      </x:c>
      <x:c r="E165" s="19" t="n">
        <x:v>1</x:v>
      </x:c>
      <x:c r="F165" s="19" t="n">
        <x:v>1</x:v>
      </x:c>
      <x:c r="G165" s="16" t="str"/>
      <x:c r="H165" s="16" t="str">
        <x:v>SRC-080</x:v>
      </x:c>
      <x:c r="I165" s="17" t="str"/>
    </x:row>
    <x:row r="166" ht="37" customHeight="1">
      <x:c r="A166" s="16" t="str">
        <x:v>REC-0160</x:v>
      </x:c>
      <x:c r="B166" s="17" t="str">
        <x:v>是</x:v>
      </x:c>
      <x:c r="C166" s="17" t="str">
        <x:v>Replacement of lower portion to match existing.</x:v>
      </x:c>
      <x:c r="D166" s="17" t="str">
        <x:v>Miner statue</x:v>
      </x:c>
      <x:c r="E166" s="19" t="n">
        <x:v>1</x:v>
      </x:c>
      <x:c r="F166" s="19" t="n">
        <x:v>1</x:v>
      </x:c>
      <x:c r="G166" s="16" t="str"/>
      <x:c r="H166" s="16" t="str">
        <x:v>SRC-071</x:v>
      </x:c>
      <x:c r="I166" s="17" t="str"/>
    </x:row>
    <x:row r="167" ht="37" customHeight="1">
      <x:c r="A167" s="16" t="str">
        <x:v>REC-0161</x:v>
      </x:c>
      <x:c r="B167" s="17" t="str">
        <x:v>是</x:v>
      </x:c>
      <x:c r="C167" s="17" t="str">
        <x:v>Repoint mortar around the brick. Monitor cracking.</x:v>
      </x:c>
      <x:c r="D167" s="17" t="str">
        <x:v>Multipurpose Building – brick wall</x:v>
      </x:c>
      <x:c r="E167" s="19" t="n">
        <x:v>1</x:v>
      </x:c>
      <x:c r="F167" s="19" t="n">
        <x:v>1</x:v>
      </x:c>
      <x:c r="G167" s="16" t="str">
        <x:v>MRG-0301</x:v>
      </x:c>
      <x:c r="H167" s="16" t="str">
        <x:v>SRC-063</x:v>
      </x:c>
      <x:c r="I167" s="17" t="str"/>
    </x:row>
    <x:row r="168" ht="37" customHeight="1">
      <x:c r="A168" s="16" t="str">
        <x:v>REC-0162</x:v>
      </x:c>
      <x:c r="B168" s="17" t="str">
        <x:v>是</x:v>
      </x:c>
      <x:c r="C168" s="17" t="str">
        <x:v>Repoint mortar.</x:v>
      </x:c>
      <x:c r="D168" s="17" t="str">
        <x:v>Brickwork and framing</x:v>
      </x:c>
      <x:c r="E168" s="19" t="n">
        <x:v>1</x:v>
      </x:c>
      <x:c r="F168" s="19" t="n">
        <x:v>1</x:v>
      </x:c>
      <x:c r="G168" s="16" t="str"/>
      <x:c r="H168" s="16" t="str">
        <x:v>SRC-057</x:v>
      </x:c>
      <x:c r="I168" s="17" t="str"/>
    </x:row>
    <x:row r="169" ht="37" customHeight="1">
      <x:c r="A169" s="16" t="str">
        <x:v>REC-0163</x:v>
      </x:c>
      <x:c r="B169" s="17" t="str">
        <x:v>是</x:v>
      </x:c>
      <x:c r="C169" s="17" t="str">
        <x:v>Short term: Clean, remove corrosion and patch-up.</x:v>
      </x:c>
      <x:c r="D169" s="17" t="str">
        <x:v>Service lid</x:v>
      </x:c>
      <x:c r="E169" s="19" t="n">
        <x:v>1</x:v>
      </x:c>
      <x:c r="F169" s="19" t="n">
        <x:v>1</x:v>
      </x:c>
      <x:c r="G169" s="16" t="str"/>
      <x:c r="H169" s="16" t="str">
        <x:v>SRC-009</x:v>
      </x:c>
      <x:c r="I169" s="17" t="str"/>
    </x:row>
    <x:row r="170" ht="37" customHeight="1">
      <x:c r="A170" s="16" t="str">
        <x:v>REC-0164</x:v>
      </x:c>
      <x:c r="B170" s="17" t="str">
        <x:v>是</x:v>
      </x:c>
      <x:c r="C170" s="17" t="str">
        <x:v>Strengthen lower section with steel plate or monitor its condition.</x:v>
      </x:c>
      <x:c r="D170" s="17" t="str">
        <x:v>Sculpture D</x:v>
      </x:c>
      <x:c r="E170" s="19" t="n">
        <x:v>1</x:v>
      </x:c>
      <x:c r="F170" s="19" t="n">
        <x:v>1</x:v>
      </x:c>
      <x:c r="G170" s="16" t="str"/>
      <x:c r="H170" s="16" t="str">
        <x:v>SRC-094</x:v>
      </x:c>
      <x:c r="I170" s="17" t="str"/>
    </x:row>
    <x:row r="171" ht="37" customHeight="1">
      <x:c r="A171" s="16" t="str">
        <x:v>REC-0165</x:v>
      </x:c>
      <x:c r="B171" s="17" t="str">
        <x:v>是</x:v>
      </x:c>
      <x:c r="C171" s="17" t="str">
        <x:v>Strengthen lower section with steel plate.</x:v>
      </x:c>
      <x:c r="D171" s="17" t="str">
        <x:v>Sculpture C</x:v>
      </x:c>
      <x:c r="E171" s="19" t="n">
        <x:v>1</x:v>
      </x:c>
      <x:c r="F171" s="19" t="n">
        <x:v>1</x:v>
      </x:c>
      <x:c r="G171" s="16" t="str"/>
      <x:c r="H171" s="16" t="str">
        <x:v>SRC-094</x:v>
      </x:c>
      <x:c r="I171" s="17" t="str"/>
    </x:row>
    <x:row r="172" ht="41" customHeight="1">
      <x:c r="A172" s="16" t="str">
        <x:v>REC-0166</x:v>
      </x:c>
      <x:c r="B172" s="17" t="str">
        <x:v>是</x:v>
      </x:c>
      <x:c r="C172" s="17" t="str">
        <x:v>Temporarily barricade structure with construction fencing all around until failed members are replaced.</x:v>
      </x:c>
      <x:c r="D172" s="17" t="str">
        <x:v>Purlins</x:v>
      </x:c>
      <x:c r="E172" s="19" t="n">
        <x:v>1</x:v>
      </x:c>
      <x:c r="F172" s="19" t="n">
        <x:v>1</x:v>
      </x:c>
      <x:c r="G172" s="16" t="str"/>
      <x:c r="H172" s="16" t="str">
        <x:v>SRC-080</x:v>
      </x:c>
      <x:c r="I172" s="17" t="str"/>
    </x:row>
    <x:row r="173" ht="41" customHeight="1">
      <x:c r="A173" s="16" t="str">
        <x:v>REC-0167</x:v>
      </x:c>
      <x:c r="B173" s="17" t="str">
        <x:v>是</x:v>
      </x:c>
      <x:c r="C173" s="17" t="str">
        <x:v>Temporarily barricade the dragon shelter. Remove all failed purlins. Clean, remove corrosion and repaint all structural elements.</x:v>
      </x:c>
      <x:c r="D173" s="17" t="str">
        <x:v>Dragonfly shade structure</x:v>
      </x:c>
      <x:c r="E173" s="19" t="n">
        <x:v>1</x:v>
      </x:c>
      <x:c r="F173" s="19" t="n">
        <x:v>1</x:v>
      </x:c>
      <x:c r="G173" s="16" t="str"/>
      <x:c r="H173" s="16" t="str">
        <x:v>SRC-080</x:v>
      </x:c>
      <x:c r="I173" s="17" t="str"/>
    </x:row>
    <x:row r="174" ht="37" customHeight="1">
      <x:c r="A174" s="16" t="str">
        <x:v>REC-0168</x:v>
      </x:c>
      <x:c r="B174" s="17" t="str">
        <x:v>是</x:v>
      </x:c>
      <x:c r="C174" s="17" t="str">
        <x:v>Tighten bolts.</x:v>
      </x:c>
      <x:c r="D174" s="17" t="str">
        <x:v>Antenna</x:v>
      </x:c>
      <x:c r="E174" s="19" t="n">
        <x:v>1</x:v>
      </x:c>
      <x:c r="F174" s="19" t="n">
        <x:v>1</x:v>
      </x:c>
      <x:c r="G174" s="16" t="str"/>
      <x:c r="H174" s="16" t="str">
        <x:v>SRC-060</x:v>
      </x:c>
      <x:c r="I174" s="17" t="str"/>
    </x:row>
    <x:row r="175" ht="37" customHeight="1">
      <x:c r="A175" s="16" t="str">
        <x:v>REC-0169</x:v>
      </x:c>
      <x:c r="B175" s="17" t="str">
        <x:v>是</x:v>
      </x:c>
      <x:c r="C175" s="17" t="str">
        <x:v>Top hat purlin to be replaced.</x:v>
      </x:c>
      <x:c r="D175" s="17" t="str">
        <x:v>Purlins and rafters</x:v>
      </x:c>
      <x:c r="E175" s="19" t="n">
        <x:v>1</x:v>
      </x:c>
      <x:c r="F175" s="19" t="n">
        <x:v>1</x:v>
      </x:c>
      <x:c r="G175" s="16" t="str"/>
      <x:c r="H175" s="16" t="str">
        <x:v>SRC-048</x:v>
      </x:c>
      <x:c r="I175" s="17" t="str"/>
    </x:row>
    <x:row r="176" ht="37" customHeight="1">
      <x:c r="A176" s="16" t="str">
        <x:v>REC-0170</x:v>
      </x:c>
      <x:c r="B176" s="17" t="str">
        <x:v>是</x:v>
      </x:c>
      <x:c r="C176" s="17" t="str">
        <x:v>Weld on cover plate.</x:v>
      </x:c>
      <x:c r="D176" s="17" t="str">
        <x:v>Front verandah beams</x:v>
      </x:c>
      <x:c r="E176" s="19" t="n">
        <x:v>1</x:v>
      </x:c>
      <x:c r="F176" s="19" t="n">
        <x:v>1</x:v>
      </x:c>
      <x:c r="G176" s="16" t="str"/>
      <x:c r="H176" s="16" t="str">
        <x:v>SRC-012</x:v>
      </x:c>
      <x:c r="I176" s="17" t="str"/>
    </x:row>
    <x:row r="177" ht="37" customHeight="1">
      <x:c r="A177" s="16" t="str">
        <x:v>REC-0171</x:v>
      </x:c>
      <x:c r="B177" s="17" t="str">
        <x:v>是</x:v>
      </x:c>
      <x:c r="C177" s="17" t="str">
        <x:v>Wire brush and apply cold galvanising paint any surface corrosion.</x:v>
      </x:c>
      <x:c r="D177" s="17" t="str">
        <x:v>Purlins and rafters</x:v>
      </x:c>
      <x:c r="E177" s="19" t="n">
        <x:v>1</x:v>
      </x:c>
      <x:c r="F177" s="19" t="n">
        <x:v>1</x:v>
      </x:c>
      <x:c r="G177" s="16" t="str"/>
      <x:c r="H177" s="16" t="str">
        <x:v>SRC-003</x:v>
      </x:c>
      <x:c r="I177" s="17" t="str"/>
    </x:row>
    <x:row r="178" ht="37" customHeight="1">
      <x:c r="A178" s="16" t="str">
        <x:v>REC-0172</x:v>
      </x:c>
      <x:c r="B178" s="17" t="str">
        <x:v>是</x:v>
      </x:c>
      <x:c r="C178" s="17" t="str">
        <x:v>flexible fill and monitor the cracks.</x:v>
      </x:c>
      <x:c r="D178" s="17" t="str">
        <x:v>Carport brickwork</x:v>
      </x:c>
      <x:c r="E178" s="19" t="n">
        <x:v>1</x:v>
      </x:c>
      <x:c r="F178" s="19" t="n">
        <x:v>1</x:v>
      </x:c>
      <x:c r="G178" s="16" t="str"/>
      <x:c r="H178" s="16" t="str">
        <x:v>SRC-050</x:v>
      </x:c>
      <x:c r="I178" s="17" t="str"/>
    </x:row>
    <x:row r="179" ht="37" customHeight="1">
      <x:c r="A179" s="16" t="str">
        <x:v>REC-0173</x:v>
      </x:c>
      <x:c r="B179" s="17" t="str">
        <x:v>是</x:v>
      </x:c>
      <x:c r="C179" s="17" t="str">
        <x:v>monitor the timber condition</x:v>
      </x:c>
      <x:c r="D179" s="17" t="str">
        <x:v>Childhood Centre - timber rafters</x:v>
      </x:c>
      <x:c r="E179" s="19" t="n">
        <x:v>1</x:v>
      </x:c>
      <x:c r="F179" s="19" t="n">
        <x:v>1</x:v>
      </x:c>
      <x:c r="G179" s="16" t="str"/>
      <x:c r="H179" s="16" t="str">
        <x:v>SRC-063</x:v>
      </x:c>
      <x:c r="I179" s="17" t="str"/>
    </x:row>
    <x:row r="180" ht="37" customHeight="1">
      <x:c r="A180" s="16" t="str">
        <x:v>REC-0174</x:v>
      </x:c>
      <x:c r="B180" s="17" t="str">
        <x:v>是</x:v>
      </x:c>
      <x:c r="C180" s="17" t="str">
        <x:v>replace this seat</x:v>
      </x:c>
      <x:c r="D180" s="17" t="str">
        <x:v>Table and seating</x:v>
      </x:c>
      <x:c r="E180" s="19" t="n">
        <x:v>1</x:v>
      </x:c>
      <x:c r="F180" s="19" t="n">
        <x:v>1</x:v>
      </x:c>
      <x:c r="G180" s="16" t="str"/>
      <x:c r="H180" s="16" t="str">
        <x:v>SRC-071</x:v>
      </x:c>
      <x:c r="I180" s="17" t="str"/>
    </x:row>
    <x:row r="181" ht="37" customHeight="1">
      <x:c r="A181" s="16" t="str">
        <x:v>REC-0175</x:v>
      </x:c>
      <x:c r="B181" s="17" t="str">
        <x:v>是</x:v>
      </x:c>
      <x:c r="C181" s="17" t="str">
        <x:v>repoint mortar around brick.</x:v>
      </x:c>
      <x:c r="D181" s="17" t="str">
        <x:v>Multipurpose Building – brick wall</x:v>
      </x:c>
      <x:c r="E181" s="19" t="n">
        <x:v>1</x:v>
      </x:c>
      <x:c r="F181" s="19" t="n">
        <x:v>1</x:v>
      </x:c>
      <x:c r="G181" s="16" t="str"/>
      <x:c r="H181" s="16" t="str">
        <x:v>SRC-063</x:v>
      </x:c>
      <x:c r="I181" s="17" t="str"/>
    </x:row>
  </x:sheetData>
  <x:dataValidations count="1">
    <x:dataValidation type="list" sqref="B7:B181">
      <x:formula1>"是,否"</x:formula1>
    </x:dataValidation>
  </x:dataValidations>
  <x:pageMargins left="0.7" right="0.7" top="0.75" bottom="0.75" header="0.3" footer="0.3"/>
  <x:tableParts count="1">
    <x:tablePart xmlns:r="http://schemas.openxmlformats.org/officeDocument/2006/relationships" r:id="R31cafaff8604454e"/>
  </x:tableParts>
</x:worksheet>
</file>

<file path=xl/worksheets/sheet3.xml><?xml version="1.0" encoding="utf-8"?>
<x:worksheet xmlns:x="http://schemas.openxmlformats.org/spreadsheetml/2006/main">
  <x:sheetPr>
    <x:tabColor rgb="FFB7791F"/>
  </x:sheetPr>
  <x:sheetViews>
    <x:sheetView showGridLines="0" workbookViewId="0">
      <x:pane xSplit="2" ySplit="6" topLeftCell="C7" activePane="bottomRight" state="frozen"/>
    </x:sheetView>
  </x:sheetViews>
  <x:sheetFormatPr defaultRowHeight="15"/>
  <x:cols>
    <x:col min="1" max="1" width="15" hidden="0" customWidth="1"/>
    <x:col min="2" max="2" width="18" hidden="0" customWidth="1"/>
    <x:col min="3" max="3" width="16" hidden="0" customWidth="1"/>
    <x:col min="4" max="4" width="86" hidden="0" customWidth="1"/>
    <x:col min="5" max="5" width="21" hidden="0" customWidth="1"/>
    <x:col min="6" max="6" width="55" hidden="0" customWidth="1"/>
    <x:col min="7" max="7" width="42" hidden="0" customWidth="1"/>
    <x:col min="8" max="8" width="82" hidden="0" customWidth="1"/>
    <x:col min="9" max="9" width="82" hidden="0" customWidth="1"/>
    <x:col min="10" max="10" width="35" hidden="0" customWidth="1"/>
    <x:col min="11" max="11" width="40" hidden="0" customWidth="1"/>
    <x:col min="12" max="12" width="45" hidden="0" customWidth="1"/>
    <x:col min="13" max="13" width="19" hidden="0" customWidth="1"/>
  </x:cols>
  <x:sheetData>
    <x:row r="2" ht="27" customHeight="1">
      <x:c r="A2" s="5" t="str">
        <x:v>待确认合并项</x:v>
      </x:c>
      <x:c r="B2" s="2"/>
      <x:c r="C2" s="2"/>
      <x:c r="D2" s="2"/>
      <x:c r="E2" s="2"/>
      <x:c r="F2" s="2"/>
      <x:c r="G2" s="2"/>
      <x:c r="H2" s="2"/>
      <x:c r="I2" s="2"/>
      <x:c r="J2" s="2"/>
      <x:c r="K2" s="2"/>
      <x:c r="L2" s="2"/>
      <x:c r="M2" s="2"/>
    </x:row>
    <x:row r="3" ht="23" customHeight="1">
      <x:c r="A3" s="6" t="str">
        <x:v>填写确认结果和最终标准文字。确认不会自动删除或合并文字库；全部变体可按合并项编号在确认项明细中查找。</x:v>
      </x:c>
      <x:c r="B3" s="2"/>
      <x:c r="C3" s="2"/>
      <x:c r="D3" s="2"/>
      <x:c r="E3" s="2"/>
      <x:c r="F3" s="2"/>
      <x:c r="G3" s="2"/>
      <x:c r="H3" s="2"/>
      <x:c r="I3" s="2"/>
      <x:c r="J3" s="2"/>
      <x:c r="K3" s="2"/>
      <x:c r="L3" s="2"/>
      <x:c r="M3" s="2"/>
    </x:row>
    <x:row r="4" ht="23" customHeight="1">
      <x:c r="A4" s="7" t="str">
        <x:f>"确认项 "&amp;COUNTA(A7:A309)&amp;"；已确认 "&amp;COUNTIF(M7:M309,"已确认")&amp;"；待处理 "&amp;(COUNTA(A7:A309)-COUNTIF(M7:M309,"已确认"))</x:f>
        <x:v>确认项 303；已确认 0；待处理 303</x:v>
      </x:c>
      <x:c r="B4" s="2"/>
      <x:c r="C4" s="2"/>
      <x:c r="D4" s="2"/>
      <x:c r="E4" s="2"/>
      <x:c r="F4" s="2"/>
      <x:c r="G4" s="2"/>
      <x:c r="H4" s="2"/>
      <x:c r="I4" s="2"/>
      <x:c r="J4" s="2"/>
      <x:c r="K4" s="2"/>
      <x:c r="L4" s="2"/>
      <x:c r="M4" s="2"/>
    </x:row>
    <x:row r="5" ht="8" customHeight="1">
      <x:c r="A5" s="2"/>
      <x:c r="B5" s="2"/>
      <x:c r="C5" s="2"/>
      <x:c r="D5" s="2"/>
      <x:c r="E5" s="2"/>
      <x:c r="F5" s="2"/>
      <x:c r="G5" s="2"/>
      <x:c r="H5" s="2"/>
      <x:c r="I5" s="2"/>
      <x:c r="J5" s="2"/>
      <x:c r="K5" s="2"/>
      <x:c r="L5" s="2"/>
      <x:c r="M5" s="2"/>
    </x:row>
    <x:row r="6" ht="34" customHeight="1">
      <x:c r="A6" s="12" t="str">
        <x:v>合并项编号</x:v>
      </x:c>
      <x:c r="B6" s="13" t="str">
        <x:v>类别</x:v>
      </x:c>
      <x:c r="C6" s="13" t="str">
        <x:v>确认结果</x:v>
      </x:c>
      <x:c r="D6" s="13" t="str">
        <x:v>最终标准文字（可编辑）</x:v>
      </x:c>
      <x:c r="E6" s="13" t="str">
        <x:v>整理方式</x:v>
      </x:c>
      <x:c r="F6" s="13" t="str">
        <x:v>差异与建议</x:v>
      </x:c>
      <x:c r="G6" s="13" t="str">
        <x:v>关联词条编号</x:v>
      </x:c>
      <x:c r="H6" s="13" t="str">
        <x:v>描述 A</x:v>
      </x:c>
      <x:c r="I6" s="13" t="str">
        <x:v>描述 B 或样例</x:v>
      </x:c>
      <x:c r="J6" s="13" t="str">
        <x:v>保留变量（可编辑）</x:v>
      </x:c>
      <x:c r="K6" s="13" t="str">
        <x:v>备注（可编辑）</x:v>
      </x:c>
      <x:c r="L6" s="13" t="str">
        <x:v>来源编号</x:v>
      </x:c>
      <x:c r="M6" s="14" t="str">
        <x:v>处理状态</x:v>
      </x:c>
    </x:row>
    <x:row r="7" ht="41" customHeight="1">
      <x:c r="A7" s="16" t="str">
        <x:v>MRG-0001</x:v>
      </x:c>
      <x:c r="B7" s="16" t="str">
        <x:v>Observation</x:v>
      </x:c>
      <x:c r="C7" s="17" t="str">
        <x:v>待确认</x:v>
      </x:c>
      <x:c r="D7" s="17" t="str">
        <x:v>Front of property. Cladding and framing in good condition. Discolouration of paint in some areas.</x:v>
      </x:c>
      <x:c r="E7" s="16" t="str">
        <x:v>近似描述核对</x:v>
      </x:c>
      <x:c r="F7" s="16" t="str">
        <x:v>美式与澳式拼写不同，建议统一为 discolouration。</x:v>
      </x:c>
      <x:c r="G7" s="16" t="str">
        <x:v>OBS-0275, OBS-0276</x:v>
      </x:c>
      <x:c r="H7" s="16" t="str">
        <x:v>Front of property. Cladding and framing in good condition. Discoloration of paint in some areas.</x:v>
      </x:c>
      <x:c r="I7" s="16" t="str">
        <x:v>Front of property. Cladding and framing in good condition. Discolouration of paint in some areas.</x:v>
      </x:c>
      <x:c r="J7" s="17" t="str"/>
      <x:c r="K7" s="17" t="str"/>
      <x:c r="L7" s="16" t="str">
        <x:v>SRC-028, SRC-050</x:v>
      </x:c>
      <x:c r="M7" s="16" t="str">
        <x:f>IF(C7="待确认","待确认",IF(C7="需修改","需修改",IF(C7="保持独立","已确认",IF(OR(C7="同意合并",C7="使用模板",C7="提取短句"),IF(LEN(TRIM(D7))=0,"缺少标准文字","已确认"),"无效选择"))))</x:f>
        <x:v>待确认</x:v>
      </x:c>
    </x:row>
    <x:row r="8" ht="41" customHeight="1">
      <x:c r="A8" s="16" t="str">
        <x:v>MRG-0002</x:v>
      </x:c>
      <x:c r="B8" s="16" t="str">
        <x:v>Observation</x:v>
      </x:c>
      <x:c r="C8" s="17" t="str">
        <x:v>待确认</x:v>
      </x:c>
      <x:c r="D8" s="17" t="str">
        <x:v>Minor Cracking of mortar. Crack originates from ground level and tapers towards column.</x:v>
      </x:c>
      <x:c r="E8" s="16" t="str">
        <x:v>近似描述核对</x:v>
      </x:c>
      <x:c r="F8" s="16" t="str">
        <x:v>措辞近似，需确认含义和适用范围是否一致。</x:v>
      </x:c>
      <x:c r="G8" s="16" t="str">
        <x:v>OBS-0374, OBS-0375</x:v>
      </x:c>
      <x:c r="H8" s="16" t="str">
        <x:v>Minor Cracking of mortar. Crack originates from ground level and tapers towards column.</x:v>
      </x:c>
      <x:c r="I8" s="16" t="str">
        <x:v>Minor Cracking of mortar. Crack originates from ground level and tapers towards columns.</x:v>
      </x:c>
      <x:c r="J8" s="17" t="str"/>
      <x:c r="K8" s="17" t="str"/>
      <x:c r="L8" s="16" t="str">
        <x:v>SRC-011</x:v>
      </x:c>
      <x:c r="M8" s="16" t="str">
        <x:f>IF(C8="待确认","待确认",IF(C8="需修改","需修改",IF(C8="保持独立","已确认",IF(OR(C8="同意合并",C8="使用模板",C8="提取短句"),IF(LEN(TRIM(D8))=0,"缺少标准文字","已确认"),"无效选择"))))</x:f>
        <x:v>待确认</x:v>
      </x:c>
    </x:row>
    <x:row r="9" ht="41" customHeight="1">
      <x:c r="A9" s="16" t="str">
        <x:v>MRG-0003</x:v>
      </x:c>
      <x:c r="B9" s="16" t="str">
        <x:v>Observation</x:v>
      </x:c>
      <x:c r="C9" s="17" t="str">
        <x:v>待确认</x:v>
      </x:c>
      <x:c r="D9" s="17" t="str"/>
      <x:c r="E9" s="16" t="str">
        <x:v>近似描述核对</x:v>
      </x:c>
      <x:c r="F9" s="16" t="str">
        <x:v>程度、范围、处理方法、条件或编号存在差异，建议保持独立；如仅编号不同可改为模板。 数值或章节引用需保留。</x:v>
      </x:c>
      <x:c r="G9" s="16" t="str">
        <x:v>OBS-0457, OBS-0459</x:v>
      </x:c>
      <x:c r="H9" s="16" t="str">
        <x:v>Pier 7. Severe corrosion at support location. Expansion of steel due to corrosion causing brickwork to crack.</x:v>
      </x:c>
      <x:c r="I9" s="16" t="str">
        <x:v>Pier 8. Severe corrosion at support location. Expansion of steel due to corrosion causing brickwork to crack.</x:v>
      </x:c>
      <x:c r="J9" s="17" t="str"/>
      <x:c r="K9" s="17" t="str"/>
      <x:c r="L9" s="16" t="str">
        <x:v>SRC-006</x:v>
      </x:c>
      <x:c r="M9" s="16" t="str">
        <x:f>IF(C9="待确认","待确认",IF(C9="需修改","需修改",IF(C9="保持独立","已确认",IF(OR(C9="同意合并",C9="使用模板",C9="提取短句"),IF(LEN(TRIM(D9))=0,"缺少标准文字","已确认"),"无效选择"))))</x:f>
        <x:v>待确认</x:v>
      </x:c>
    </x:row>
    <x:row r="10" ht="37" customHeight="1">
      <x:c r="A10" s="16" t="str">
        <x:v>MRG-0004</x:v>
      </x:c>
      <x:c r="B10" s="16" t="str">
        <x:v>Observation</x:v>
      </x:c>
      <x:c r="C10" s="17" t="str">
        <x:v>待确认</x:v>
      </x:c>
      <x:c r="D10" s="17" t="str">
        <x:v>Back verandah columns in good condition.</x:v>
      </x:c>
      <x:c r="E10" s="16" t="str">
        <x:v>近似描述核对</x:v>
      </x:c>
      <x:c r="F10" s="16" t="str">
        <x:v>措辞近似，需确认含义和适用范围是否一致。</x:v>
      </x:c>
      <x:c r="G10" s="16" t="str">
        <x:v>OBS-0021, OBS-0109</x:v>
      </x:c>
      <x:c r="H10" s="16" t="str">
        <x:v>Back verandah columns in good condition.</x:v>
      </x:c>
      <x:c r="I10" s="16" t="str">
        <x:v>Back verandah column in good condition.</x:v>
      </x:c>
      <x:c r="J10" s="17" t="str"/>
      <x:c r="K10" s="17" t="str"/>
      <x:c r="L10" s="16" t="str">
        <x:v>SRC-011, SRC-026, SRC-052, SRC-060</x:v>
      </x:c>
      <x:c r="M10" s="16" t="str">
        <x:f>IF(C10="待确认","待确认",IF(C10="需修改","需修改",IF(C10="保持独立","已确认",IF(OR(C10="同意合并",C10="使用模板",C10="提取短句"),IF(LEN(TRIM(D10))=0,"缺少标准文字","已确认"),"无效选择"))))</x:f>
        <x:v>待确认</x:v>
      </x:c>
    </x:row>
    <x:row r="11" ht="37" customHeight="1">
      <x:c r="A11" s="16" t="str">
        <x:v>MRG-0005</x:v>
      </x:c>
      <x:c r="B11" s="16" t="str">
        <x:v>Observation</x:v>
      </x:c>
      <x:c r="C11" s="17" t="str">
        <x:v>待确认</x:v>
      </x:c>
      <x:c r="D11" s="17" t="str">
        <x:v>Front verandah column in good condition.</x:v>
      </x:c>
      <x:c r="E11" s="16" t="str">
        <x:v>近似描述核对</x:v>
      </x:c>
      <x:c r="F11" s="16" t="str">
        <x:v>措辞近似，需确认含义和适用范围是否一致。</x:v>
      </x:c>
      <x:c r="G11" s="16" t="str">
        <x:v>OBS-0051, OBS-0299</x:v>
      </x:c>
      <x:c r="H11" s="16" t="str">
        <x:v>Front verandah column in good condition.</x:v>
      </x:c>
      <x:c r="I11" s="16" t="str">
        <x:v>Front verandah. Columns in good condition.</x:v>
      </x:c>
      <x:c r="J11" s="17" t="str"/>
      <x:c r="K11" s="17" t="str"/>
      <x:c r="L11" s="16" t="str">
        <x:v>SRC-050, SRC-053, SRC-052</x:v>
      </x:c>
      <x:c r="M11" s="16" t="str">
        <x:f>IF(C11="待确认","待确认",IF(C11="需修改","需修改",IF(C11="保持独立","已确认",IF(OR(C11="同意合并",C11="使用模板",C11="提取短句"),IF(LEN(TRIM(D11))=0,"缺少标准文字","已确认"),"无效选择"))))</x:f>
        <x:v>待确认</x:v>
      </x:c>
    </x:row>
    <x:row r="12" ht="41" customHeight="1">
      <x:c r="A12" s="16" t="str">
        <x:v>MRG-0006</x:v>
      </x:c>
      <x:c r="B12" s="16" t="str">
        <x:v>Observation</x:v>
      </x:c>
      <x:c r="C12" s="17" t="str">
        <x:v>待确认</x:v>
      </x:c>
      <x:c r="D12" s="17" t="str"/>
      <x:c r="E12" s="16" t="str">
        <x:v>近似描述核对</x:v>
      </x:c>
      <x:c r="F12" s="16" t="str">
        <x:v>程度、范围、处理方法、条件或编号存在差异，建议保持独立；如仅编号不同可改为模板。 数值或章节引用需保留。</x:v>
      </x:c>
      <x:c r="G12" s="16" t="str">
        <x:v>OBS-0523, OBS-0529</x:v>
      </x:c>
      <x:c r="H12" s="16" t="str">
        <x:v>Row 1 Column 2. Minor corrosion and salt staining at lower portion of column.</x:v>
      </x:c>
      <x:c r="I12" s="16" t="str">
        <x:v>Row 2 Column 2. Minor corrosion and salt staining at lower portion of column.</x:v>
      </x:c>
      <x:c r="J12" s="17" t="str"/>
      <x:c r="K12" s="17" t="str"/>
      <x:c r="L12" s="16" t="str">
        <x:v>SRC-055, SRC-059</x:v>
      </x:c>
      <x:c r="M12" s="16" t="str">
        <x:f>IF(C12="待确认","待确认",IF(C12="需修改","需修改",IF(C12="保持独立","已确认",IF(OR(C12="同意合并",C12="使用模板",C12="提取短句"),IF(LEN(TRIM(D12))=0,"缺少标准文字","已确认"),"无效选择"))))</x:f>
        <x:v>待确认</x:v>
      </x:c>
    </x:row>
    <x:row r="13" ht="41" customHeight="1">
      <x:c r="A13" s="16" t="str">
        <x:v>MRG-0007</x:v>
      </x:c>
      <x:c r="B13" s="16" t="str">
        <x:v>Observation</x:v>
      </x:c>
      <x:c r="C13" s="17" t="str">
        <x:v>待确认</x:v>
      </x:c>
      <x:c r="D13" s="17" t="str"/>
      <x:c r="E13" s="16" t="str">
        <x:v>近似描述核对</x:v>
      </x:c>
      <x:c r="F13" s="16" t="str">
        <x:v>程度、范围、处理方法、条件或编号存在差异，建议保持独立；如仅编号不同可改为模板。 数值或章节引用需保留。</x:v>
      </x:c>
      <x:c r="G13" s="16" t="str">
        <x:v>OBS-0590, OBS-0591</x:v>
      </x:c>
      <x:c r="H13" s="16" t="str">
        <x:v>Table 1. Images below. Typical severe corrosion to all tables and baseplates.</x:v>
      </x:c>
      <x:c r="I13" s="16" t="str">
        <x:v>Table 2. Images below. Typical severe corrosion to all tables and baseplates.</x:v>
      </x:c>
      <x:c r="J13" s="17" t="str"/>
      <x:c r="K13" s="17" t="str"/>
      <x:c r="L13" s="16" t="str">
        <x:v>SRC-092</x:v>
      </x:c>
      <x:c r="M13" s="16" t="str">
        <x:f>IF(C13="待确认","待确认",IF(C13="需修改","需修改",IF(C13="保持独立","已确认",IF(OR(C13="同意合并",C13="使用模板",C13="提取短句"),IF(LEN(TRIM(D13))=0,"缺少标准文字","已确认"),"无效选择"))))</x:f>
        <x:v>待确认</x:v>
      </x:c>
    </x:row>
    <x:row r="14" ht="41" customHeight="1">
      <x:c r="A14" s="16" t="str">
        <x:v>MRG-0008</x:v>
      </x:c>
      <x:c r="B14" s="16" t="str">
        <x:v>Observation</x:v>
      </x:c>
      <x:c r="C14" s="17" t="str">
        <x:v>待确认</x:v>
      </x:c>
      <x:c r="D14" s="17" t="str"/>
      <x:c r="E14" s="16" t="str">
        <x:v>近似描述核对</x:v>
      </x:c>
      <x:c r="F14" s="16" t="str">
        <x:v>程度、范围、处理方法、条件或编号存在差异，建议保持独立；如仅编号不同可改为模板。 数值或章节引用需保留。</x:v>
      </x:c>
      <x:c r="G14" s="16" t="str">
        <x:v>OBS-0193, OBS-0198</x:v>
      </x:c>
      <x:c r="H14" s="16" t="str">
        <x:v>Column 2. Corrosion delamination towards the lower section of column.</x:v>
      </x:c>
      <x:c r="I14" s="16" t="str">
        <x:v>Column 3. Corrosion delamination towards the lower section of column.</x:v>
      </x:c>
      <x:c r="J14" s="17" t="str"/>
      <x:c r="K14" s="17" t="str"/>
      <x:c r="L14" s="16" t="str">
        <x:v>SRC-092</x:v>
      </x:c>
      <x:c r="M14" s="16" t="str">
        <x:f>IF(C14="待确认","待确认",IF(C14="需修改","需修改",IF(C14="保持独立","已确认",IF(OR(C14="同意合并",C14="使用模板",C14="提取短句"),IF(LEN(TRIM(D14))=0,"缺少标准文字","已确认"),"无效选择"))))</x:f>
        <x:v>待确认</x:v>
      </x:c>
    </x:row>
    <x:row r="15" ht="41" customHeight="1">
      <x:c r="A15" s="16" t="str">
        <x:v>MRG-0009</x:v>
      </x:c>
      <x:c r="B15" s="16" t="str">
        <x:v>Observation</x:v>
      </x:c>
      <x:c r="C15" s="17" t="str">
        <x:v>待确认</x:v>
      </x:c>
      <x:c r="D15" s="17" t="str"/>
      <x:c r="E15" s="16" t="str">
        <x:v>近似描述核对</x:v>
      </x:c>
      <x:c r="F15" s="16" t="str">
        <x:v>程度、范围、处理方法、条件或编号存在差异，建议保持独立；如仅编号不同可改为模板。 数值或章节引用需保留。</x:v>
      </x:c>
      <x:c r="G15" s="16" t="str">
        <x:v>OBS-0205, OBS-0206</x:v>
      </x:c>
      <x:c r="H15" s="16" t="str">
        <x:v>Column 5 from the left-hand side. Staining and paint deterioration.</x:v>
      </x:c>
      <x:c r="I15" s="16" t="str">
        <x:v>Column 6 from the left-hand side. Staining and paint deterioration.</x:v>
      </x:c>
      <x:c r="J15" s="17" t="str"/>
      <x:c r="K15" s="17" t="str"/>
      <x:c r="L15" s="16" t="str">
        <x:v>SRC-015</x:v>
      </x:c>
      <x:c r="M15" s="16" t="str">
        <x:f>IF(C15="待确认","待确认",IF(C15="需修改","需修改",IF(C15="保持独立","已确认",IF(OR(C15="同意合并",C15="使用模板",C15="提取短句"),IF(LEN(TRIM(D15))=0,"缺少标准文字","已确认"),"无效选择"))))</x:f>
        <x:v>待确认</x:v>
      </x:c>
    </x:row>
    <x:row r="16" ht="41" customHeight="1">
      <x:c r="A16" s="16" t="str">
        <x:v>MRG-0010</x:v>
      </x:c>
      <x:c r="B16" s="16" t="str">
        <x:v>Observation</x:v>
      </x:c>
      <x:c r="C16" s="17" t="str">
        <x:v>待确认</x:v>
      </x:c>
      <x:c r="D16" s="17" t="str"/>
      <x:c r="E16" s="16" t="str">
        <x:v>近似描述核对</x:v>
      </x:c>
      <x:c r="F16" s="16" t="str">
        <x:v>程度、范围、处理方法、条件或编号存在差异，建议保持独立；如仅编号不同可改为模板。 数值或章节引用需保留。</x:v>
      </x:c>
      <x:c r="G16" s="16" t="str">
        <x:v>OBS-0287, OBS-0288</x:v>
      </x:c>
      <x:c r="H16" s="16" t="str">
        <x:v>Front verandah Column 1. Minor corrosion at the top column connection.</x:v>
      </x:c>
      <x:c r="I16" s="16" t="str">
        <x:v>Front verandah Column 2. Minor corrosion at the top column connection.</x:v>
      </x:c>
      <x:c r="J16" s="17" t="str"/>
      <x:c r="K16" s="17" t="str"/>
      <x:c r="L16" s="16" t="str">
        <x:v>SRC-009</x:v>
      </x:c>
      <x:c r="M16" s="16" t="str">
        <x:f>IF(C16="待确认","待确认",IF(C16="需修改","需修改",IF(C16="保持独立","已确认",IF(OR(C16="同意合并",C16="使用模板",C16="提取短句"),IF(LEN(TRIM(D16))=0,"缺少标准文字","已确认"),"无效选择"))))</x:f>
        <x:v>待确认</x:v>
      </x:c>
    </x:row>
    <x:row r="17" ht="41" customHeight="1">
      <x:c r="A17" s="16" t="str">
        <x:v>MRG-0011</x:v>
      </x:c>
      <x:c r="B17" s="16" t="str">
        <x:v>Observation</x:v>
      </x:c>
      <x:c r="C17" s="17" t="str">
        <x:v>待确认</x:v>
      </x:c>
      <x:c r="D17" s="17" t="str"/>
      <x:c r="E17" s="16" t="str">
        <x:v>近似描述核对</x:v>
      </x:c>
      <x:c r="F17" s="16" t="str">
        <x:v>程度、范围、处理方法、条件或编号存在差异，建议保持独立；如仅编号不同可改为模板。 数值或章节引用需保留。</x:v>
      </x:c>
      <x:c r="G17" s="16" t="str">
        <x:v>OBS-0287, OBS-0289</x:v>
      </x:c>
      <x:c r="H17" s="16" t="str">
        <x:v>Front verandah Column 1. Minor corrosion at the top column connection.</x:v>
      </x:c>
      <x:c r="I17" s="16" t="str">
        <x:v>Front verandah Column 3. Minor corrosion at the top column connection.</x:v>
      </x:c>
      <x:c r="J17" s="17" t="str"/>
      <x:c r="K17" s="17" t="str"/>
      <x:c r="L17" s="16" t="str">
        <x:v>SRC-009</x:v>
      </x:c>
      <x:c r="M17" s="16" t="str">
        <x:f>IF(C17="待确认","待确认",IF(C17="需修改","需修改",IF(C17="保持独立","已确认",IF(OR(C17="同意合并",C17="使用模板",C17="提取短句"),IF(LEN(TRIM(D17))=0,"缺少标准文字","已确认"),"无效选择"))))</x:f>
        <x:v>待确认</x:v>
      </x:c>
    </x:row>
    <x:row r="18" ht="41" customHeight="1">
      <x:c r="A18" s="16" t="str">
        <x:v>MRG-0012</x:v>
      </x:c>
      <x:c r="B18" s="16" t="str">
        <x:v>Observation</x:v>
      </x:c>
      <x:c r="C18" s="17" t="str">
        <x:v>待确认</x:v>
      </x:c>
      <x:c r="D18" s="17" t="str"/>
      <x:c r="E18" s="16" t="str">
        <x:v>近似描述核对</x:v>
      </x:c>
      <x:c r="F18" s="16" t="str">
        <x:v>程度、范围、处理方法、条件或编号存在差异，建议保持独立；如仅编号不同可改为模板。 数值或章节引用需保留。</x:v>
      </x:c>
      <x:c r="G18" s="16" t="str">
        <x:v>OBS-0288, OBS-0289</x:v>
      </x:c>
      <x:c r="H18" s="16" t="str">
        <x:v>Front verandah Column 2. Minor corrosion at the top column connection.</x:v>
      </x:c>
      <x:c r="I18" s="16" t="str">
        <x:v>Front verandah Column 3. Minor corrosion at the top column connection.</x:v>
      </x:c>
      <x:c r="J18" s="17" t="str"/>
      <x:c r="K18" s="17" t="str"/>
      <x:c r="L18" s="16" t="str">
        <x:v>SRC-009</x:v>
      </x:c>
      <x:c r="M18" s="16" t="str">
        <x:f>IF(C18="待确认","待确认",IF(C18="需修改","需修改",IF(C18="保持独立","已确认",IF(OR(C18="同意合并",C18="使用模板",C18="提取短句"),IF(LEN(TRIM(D18))=0,"缺少标准文字","已确认"),"无效选择"))))</x:f>
        <x:v>待确认</x:v>
      </x:c>
    </x:row>
    <x:row r="19" ht="41" customHeight="1">
      <x:c r="A19" s="16" t="str">
        <x:v>MRG-0013</x:v>
      </x:c>
      <x:c r="B19" s="16" t="str">
        <x:v>Observation</x:v>
      </x:c>
      <x:c r="C19" s="17" t="str">
        <x:v>待确认</x:v>
      </x:c>
      <x:c r="D19" s="17" t="str"/>
      <x:c r="E19" s="16" t="str">
        <x:v>近似描述核对</x:v>
      </x:c>
      <x:c r="F19" s="16" t="str">
        <x:v>程度、范围、处理方法、条件或编号存在差异，建议保持独立；如仅编号不同可改为模板。 数值或章节引用需保留。</x:v>
      </x:c>
      <x:c r="G19" s="16" t="str">
        <x:v>OBS-0151, OBS-0152</x:v>
      </x:c>
      <x:c r="H19" s="16" t="str">
        <x:v>Carport column 1. Minor corrosion at the top column connection.</x:v>
      </x:c>
      <x:c r="I19" s="16" t="str">
        <x:v>Carport column 2. Minor corrosion at the top column connection.</x:v>
      </x:c>
      <x:c r="J19" s="17" t="str"/>
      <x:c r="K19" s="17" t="str"/>
      <x:c r="L19" s="16" t="str">
        <x:v>SRC-009</x:v>
      </x:c>
      <x:c r="M19" s="16" t="str">
        <x:f>IF(C19="待确认","待确认",IF(C19="需修改","需修改",IF(C19="保持独立","已确认",IF(OR(C19="同意合并",C19="使用模板",C19="提取短句"),IF(LEN(TRIM(D19))=0,"缺少标准文字","已确认"),"无效选择"))))</x:f>
        <x:v>待确认</x:v>
      </x:c>
    </x:row>
    <x:row r="20" ht="41" customHeight="1">
      <x:c r="A20" s="16" t="str">
        <x:v>MRG-0014</x:v>
      </x:c>
      <x:c r="B20" s="16" t="str">
        <x:v>Observation</x:v>
      </x:c>
      <x:c r="C20" s="17" t="str">
        <x:v>待确认</x:v>
      </x:c>
      <x:c r="D20" s="17" t="str"/>
      <x:c r="E20" s="16" t="str">
        <x:v>近似描述核对</x:v>
      </x:c>
      <x:c r="F20" s="16" t="str">
        <x:v>程度、范围、处理方法、条件或编号存在差异，建议保持独立；如仅编号不同可改为模板。 数值或章节引用需保留。</x:v>
      </x:c>
      <x:c r="G20" s="16" t="str">
        <x:v>OBS-0151, OBS-0153</x:v>
      </x:c>
      <x:c r="H20" s="16" t="str">
        <x:v>Carport column 1. Minor corrosion at the top column connection.</x:v>
      </x:c>
      <x:c r="I20" s="16" t="str">
        <x:v>Carport column 3. Minor corrosion at the top column connection.</x:v>
      </x:c>
      <x:c r="J20" s="17" t="str"/>
      <x:c r="K20" s="17" t="str"/>
      <x:c r="L20" s="16" t="str">
        <x:v>SRC-009</x:v>
      </x:c>
      <x:c r="M20" s="16" t="str">
        <x:f>IF(C20="待确认","待确认",IF(C20="需修改","需修改",IF(C20="保持独立","已确认",IF(OR(C20="同意合并",C20="使用模板",C20="提取短句"),IF(LEN(TRIM(D20))=0,"缺少标准文字","已确认"),"无效选择"))))</x:f>
        <x:v>待确认</x:v>
      </x:c>
    </x:row>
    <x:row r="21" ht="41" customHeight="1">
      <x:c r="A21" s="16" t="str">
        <x:v>MRG-0015</x:v>
      </x:c>
      <x:c r="B21" s="16" t="str">
        <x:v>Observation</x:v>
      </x:c>
      <x:c r="C21" s="17" t="str">
        <x:v>待确认</x:v>
      </x:c>
      <x:c r="D21" s="17" t="str"/>
      <x:c r="E21" s="16" t="str">
        <x:v>近似描述核对</x:v>
      </x:c>
      <x:c r="F21" s="16" t="str">
        <x:v>程度、范围、处理方法、条件或编号存在差异，建议保持独立；如仅编号不同可改为模板。 数值或章节引用需保留。</x:v>
      </x:c>
      <x:c r="G21" s="16" t="str">
        <x:v>OBS-0152, OBS-0153</x:v>
      </x:c>
      <x:c r="H21" s="16" t="str">
        <x:v>Carport column 2. Minor corrosion at the top column connection.</x:v>
      </x:c>
      <x:c r="I21" s="16" t="str">
        <x:v>Carport column 3. Minor corrosion at the top column connection.</x:v>
      </x:c>
      <x:c r="J21" s="17" t="str"/>
      <x:c r="K21" s="17" t="str"/>
      <x:c r="L21" s="16" t="str">
        <x:v>SRC-009</x:v>
      </x:c>
      <x:c r="M21" s="16" t="str">
        <x:f>IF(C21="待确认","待确认",IF(C21="需修改","需修改",IF(C21="保持独立","已确认",IF(OR(C21="同意合并",C21="使用模板",C21="提取短句"),IF(LEN(TRIM(D21))=0,"缺少标准文字","已确认"),"无效选择"))))</x:f>
        <x:v>待确认</x:v>
      </x:c>
    </x:row>
    <x:row r="22" ht="41" customHeight="1">
      <x:c r="A22" s="16" t="str">
        <x:v>MRG-0016</x:v>
      </x:c>
      <x:c r="B22" s="16" t="str">
        <x:v>Observation</x:v>
      </x:c>
      <x:c r="C22" s="17" t="str">
        <x:v>待确认</x:v>
      </x:c>
      <x:c r="D22" s="17" t="str"/>
      <x:c r="E22" s="16" t="str">
        <x:v>近似描述核对</x:v>
      </x:c>
      <x:c r="F22" s="16" t="str">
        <x:v>程度、范围、处理方法、条件或编号存在差异，建议保持独立；如仅编号不同可改为模板。 数值或章节引用需保留。</x:v>
      </x:c>
      <x:c r="G22" s="16" t="str">
        <x:v>OBS-0521, OBS-0524</x:v>
      </x:c>
      <x:c r="H22" s="16" t="str">
        <x:v>Row 1 Column 1. Minor corrosion at lower portion of column.</x:v>
      </x:c>
      <x:c r="I22" s="16" t="str">
        <x:v>Row 1 Column 2. Minor corrosion at lower portion of column.</x:v>
      </x:c>
      <x:c r="J22" s="17" t="str"/>
      <x:c r="K22" s="17" t="str"/>
      <x:c r="L22" s="16" t="str">
        <x:v>SRC-055, SRC-059</x:v>
      </x:c>
      <x:c r="M22" s="16" t="str">
        <x:f>IF(C22="待确认","待确认",IF(C22="需修改","需修改",IF(C22="保持独立","已确认",IF(OR(C22="同意合并",C22="使用模板",C22="提取短句"),IF(LEN(TRIM(D22))=0,"缺少标准文字","已确认"),"无效选择"))))</x:f>
        <x:v>待确认</x:v>
      </x:c>
    </x:row>
    <x:row r="23" ht="41" customHeight="1">
      <x:c r="A23" s="16" t="str">
        <x:v>MRG-0017</x:v>
      </x:c>
      <x:c r="B23" s="16" t="str">
        <x:v>Observation</x:v>
      </x:c>
      <x:c r="C23" s="17" t="str">
        <x:v>待确认</x:v>
      </x:c>
      <x:c r="D23" s="17" t="str">
        <x:v>Carport front window. Minor corrosion at corner of window, typical to most windows. Salt staining on wall cladding at bolted connection.</x:v>
      </x:c>
      <x:c r="E23" s="16" t="str">
        <x:v>近似描述核对</x:v>
      </x:c>
      <x:c r="F23" s="16" t="str">
        <x:v>措辞近似，需确认含义和适用范围是否一致。</x:v>
      </x:c>
      <x:c r="G23" s="16" t="str">
        <x:v>OBS-0161, OBS-0162</x:v>
      </x:c>
      <x:c r="H23" s="16" t="str">
        <x:v>Carport front window. Minor corrosion at corner of window, typical to most windows. Salt staining on wall cladding at bolted connection.</x:v>
      </x:c>
      <x:c r="I23" s="16" t="str">
        <x:v>Carport front window. Minor corrosion at corner of window, typical to most windows. Staining on wall cladding at bolted connection.</x:v>
      </x:c>
      <x:c r="J23" s="17" t="str"/>
      <x:c r="K23" s="17" t="str"/>
      <x:c r="L23" s="16" t="str">
        <x:v>SRC-023, SRC-025</x:v>
      </x:c>
      <x:c r="M23" s="16" t="str">
        <x:f>IF(C23="待确认","待确认",IF(C23="需修改","需修改",IF(C23="保持独立","已确认",IF(OR(C23="同意合并",C23="使用模板",C23="提取短句"),IF(LEN(TRIM(D23))=0,"缺少标准文字","已确认"),"无效选择"))))</x:f>
        <x:v>待确认</x:v>
      </x:c>
    </x:row>
    <x:row r="24" ht="41" customHeight="1">
      <x:c r="A24" s="16" t="str">
        <x:v>MRG-0018</x:v>
      </x:c>
      <x:c r="B24" s="16" t="str">
        <x:v>Observation</x:v>
      </x:c>
      <x:c r="C24" s="17" t="str">
        <x:v>待确认</x:v>
      </x:c>
      <x:c r="D24" s="17" t="str"/>
      <x:c r="E24" s="16" t="str">
        <x:v>近似描述核对</x:v>
      </x:c>
      <x:c r="F24" s="16" t="str">
        <x:v>程度、范围、处理方法、条件或编号存在差异，建议保持独立；如仅编号不同可改为模板。 数值或章节引用需保留。</x:v>
      </x:c>
      <x:c r="G24" s="16" t="str">
        <x:v>OBS-0195, OBS-0200</x:v>
      </x:c>
      <x:c r="H24" s="16" t="str">
        <x:v>Column 2. Salt staining at the lower section of column.</x:v>
      </x:c>
      <x:c r="I24" s="16" t="str">
        <x:v>Column 3. Salt staining at the lower section of column.</x:v>
      </x:c>
      <x:c r="J24" s="17" t="str"/>
      <x:c r="K24" s="17" t="str"/>
      <x:c r="L24" s="16" t="str">
        <x:v>SRC-002</x:v>
      </x:c>
      <x:c r="M24" s="16" t="str">
        <x:f>IF(C24="待确认","待确认",IF(C24="需修改","需修改",IF(C24="保持独立","已确认",IF(OR(C24="同意合并",C24="使用模板",C24="提取短句"),IF(LEN(TRIM(D24))=0,"缺少标准文字","已确认"),"无效选择"))))</x:f>
        <x:v>待确认</x:v>
      </x:c>
    </x:row>
    <x:row r="25" ht="41" customHeight="1">
      <x:c r="A25" s="16" t="str">
        <x:v>MRG-0019</x:v>
      </x:c>
      <x:c r="B25" s="16" t="str">
        <x:v>Observation</x:v>
      </x:c>
      <x:c r="C25" s="17" t="str">
        <x:v>待确认</x:v>
      </x:c>
      <x:c r="D25" s="17" t="str"/>
      <x:c r="E25" s="16" t="str">
        <x:v>近似描述核对</x:v>
      </x:c>
      <x:c r="F25" s="16" t="str">
        <x:v>程度、范围、处理方法、条件或编号存在差异，建议保持独立；如仅编号不同可改为模板。 数值或章节引用需保留。</x:v>
      </x:c>
      <x:c r="G25" s="16" t="str">
        <x:v>OBS-0527, OBS-0535</x:v>
      </x:c>
      <x:c r="H25" s="16" t="str">
        <x:v>Row 2 Column 1. Minor corrosion of bolt and washer.</x:v>
      </x:c>
      <x:c r="I25" s="16" t="str">
        <x:v>Row 3 Column 1. Minor corrosion of bolt and washer.</x:v>
      </x:c>
      <x:c r="J25" s="17" t="str"/>
      <x:c r="K25" s="17" t="str"/>
      <x:c r="L25" s="16" t="str">
        <x:v>SRC-063</x:v>
      </x:c>
      <x:c r="M25" s="16" t="str">
        <x:f>IF(C25="待确认","待确认",IF(C25="需修改","需修改",IF(C25="保持独立","已确认",IF(OR(C25="同意合并",C25="使用模板",C25="提取短句"),IF(LEN(TRIM(D25))=0,"缺少标准文字","已确认"),"无效选择"))))</x:f>
        <x:v>待确认</x:v>
      </x:c>
    </x:row>
    <x:row r="26" ht="41" customHeight="1">
      <x:c r="A26" s="16" t="str">
        <x:v>MRG-0020</x:v>
      </x:c>
      <x:c r="B26" s="16" t="str">
        <x:v>Observation</x:v>
      </x:c>
      <x:c r="C26" s="17" t="str">
        <x:v>待确认</x:v>
      </x:c>
      <x:c r="D26" s="17" t="str"/>
      <x:c r="E26" s="16" t="str">
        <x:v>近似描述核对</x:v>
      </x:c>
      <x:c r="F26" s="16" t="str">
        <x:v>程度、范围、处理方法、条件或编号存在差异，建议保持独立；如仅编号不同可改为模板。 数值或章节引用需保留。</x:v>
      </x:c>
      <x:c r="G26" s="16" t="str">
        <x:v>OBS-0527, OBS-0539</x:v>
      </x:c>
      <x:c r="H26" s="16" t="str">
        <x:v>Row 2 Column 1. Minor corrosion of bolt and washer.</x:v>
      </x:c>
      <x:c r="I26" s="16" t="str">
        <x:v>Row 4 Column 1. Minor corrosion of bolt and washer.</x:v>
      </x:c>
      <x:c r="J26" s="17" t="str"/>
      <x:c r="K26" s="17" t="str"/>
      <x:c r="L26" s="16" t="str">
        <x:v>SRC-063</x:v>
      </x:c>
      <x:c r="M26" s="16" t="str">
        <x:f>IF(C26="待确认","待确认",IF(C26="需修改","需修改",IF(C26="保持独立","已确认",IF(OR(C26="同意合并",C26="使用模板",C26="提取短句"),IF(LEN(TRIM(D26))=0,"缺少标准文字","已确认"),"无效选择"))))</x:f>
        <x:v>待确认</x:v>
      </x:c>
    </x:row>
    <x:row r="27" ht="41" customHeight="1">
      <x:c r="A27" s="16" t="str">
        <x:v>MRG-0021</x:v>
      </x:c>
      <x:c r="B27" s="16" t="str">
        <x:v>Observation</x:v>
      </x:c>
      <x:c r="C27" s="17" t="str">
        <x:v>待确认</x:v>
      </x:c>
      <x:c r="D27" s="17" t="str"/>
      <x:c r="E27" s="16" t="str">
        <x:v>近似描述核对</x:v>
      </x:c>
      <x:c r="F27" s="16" t="str">
        <x:v>程度、范围、处理方法、条件或编号存在差异，建议保持独立；如仅编号不同可改为模板。 数值或章节引用需保留。</x:v>
      </x:c>
      <x:c r="G27" s="16" t="str">
        <x:v>OBS-0535, OBS-0539</x:v>
      </x:c>
      <x:c r="H27" s="16" t="str">
        <x:v>Row 3 Column 1. Minor corrosion of bolt and washer.</x:v>
      </x:c>
      <x:c r="I27" s="16" t="str">
        <x:v>Row 4 Column 1. Minor corrosion of bolt and washer.</x:v>
      </x:c>
      <x:c r="J27" s="17" t="str"/>
      <x:c r="K27" s="17" t="str"/>
      <x:c r="L27" s="16" t="str">
        <x:v>SRC-063</x:v>
      </x:c>
      <x:c r="M27" s="16" t="str">
        <x:f>IF(C27="待确认","待确认",IF(C27="需修改","需修改",IF(C27="保持独立","已确认",IF(OR(C27="同意合并",C27="使用模板",C27="提取短句"),IF(LEN(TRIM(D27))=0,"缺少标准文字","已确认"),"无效选择"))))</x:f>
        <x:v>待确认</x:v>
      </x:c>
    </x:row>
    <x:row r="28" ht="41" customHeight="1">
      <x:c r="A28" s="16" t="str">
        <x:v>MRG-0022</x:v>
      </x:c>
      <x:c r="B28" s="16" t="str">
        <x:v>Observation</x:v>
      </x:c>
      <x:c r="C28" s="17" t="str">
        <x:v>待确认</x:v>
      </x:c>
      <x:c r="D28" s="17" t="str"/>
      <x:c r="E28" s="16" t="str">
        <x:v>近似描述核对</x:v>
      </x:c>
      <x:c r="F28" s="16" t="str">
        <x:v>程度、范围、处理方法、条件或编号存在差异，建议保持独立；如仅编号不同可改为模板。 数值或章节引用需保留。</x:v>
      </x:c>
      <x:c r="G28" s="16" t="str">
        <x:v>OBS-0189, OBS-0197</x:v>
      </x:c>
      <x:c r="H28" s="16" t="str">
        <x:v>Column 1 strut. Paint deterioration and corrosion.</x:v>
      </x:c>
      <x:c r="I28" s="16" t="str">
        <x:v>Column 3 strut. Paint deterioration and corrosion.</x:v>
      </x:c>
      <x:c r="J28" s="17" t="str"/>
      <x:c r="K28" s="17" t="str"/>
      <x:c r="L28" s="16" t="str">
        <x:v>SRC-092</x:v>
      </x:c>
      <x:c r="M28" s="16" t="str">
        <x:f>IF(C28="待确认","待确认",IF(C28="需修改","需修改",IF(C28="保持独立","已确认",IF(OR(C28="同意合并",C28="使用模板",C28="提取短句"),IF(LEN(TRIM(D28))=0,"缺少标准文字","已确认"),"无效选择"))))</x:f>
        <x:v>待确认</x:v>
      </x:c>
    </x:row>
    <x:row r="29" ht="41" customHeight="1">
      <x:c r="A29" s="16" t="str">
        <x:v>MRG-0023</x:v>
      </x:c>
      <x:c r="B29" s="16" t="str">
        <x:v>Observation</x:v>
      </x:c>
      <x:c r="C29" s="17" t="str">
        <x:v>待确认</x:v>
      </x:c>
      <x:c r="D29" s="17" t="str"/>
      <x:c r="E29" s="16" t="str">
        <x:v>近似描述核对</x:v>
      </x:c>
      <x:c r="F29" s="16" t="str">
        <x:v>程度、范围、处理方法、条件或编号存在差异，建议保持独立；如仅编号不同可改为模板。 数值或章节引用需保留。</x:v>
      </x:c>
      <x:c r="G29" s="16" t="str">
        <x:v>OBS-0540, OBS-0542</x:v>
      </x:c>
      <x:c r="H29" s="16" t="str">
        <x:v>Row 4 Column 2. Blistering corrosion and holes.</x:v>
      </x:c>
      <x:c r="I29" s="16" t="str">
        <x:v>Row 5 Column 2. Blistering corrosion and holes.</x:v>
      </x:c>
      <x:c r="J29" s="17" t="str"/>
      <x:c r="K29" s="17" t="str"/>
      <x:c r="L29" s="16" t="str">
        <x:v>SRC-100</x:v>
      </x:c>
      <x:c r="M29" s="16" t="str">
        <x:f>IF(C29="待确认","待确认",IF(C29="需修改","需修改",IF(C29="保持独立","已确认",IF(OR(C29="同意合并",C29="使用模板",C29="提取短句"),IF(LEN(TRIM(D29))=0,"缺少标准文字","已确认"),"无效选择"))))</x:f>
        <x:v>待确认</x:v>
      </x:c>
    </x:row>
    <x:row r="30" ht="41" customHeight="1">
      <x:c r="A30" s="16" t="str">
        <x:v>MRG-0024</x:v>
      </x:c>
      <x:c r="B30" s="16" t="str">
        <x:v>Observation</x:v>
      </x:c>
      <x:c r="C30" s="17" t="str">
        <x:v>待确认</x:v>
      </x:c>
      <x:c r="D30" s="17" t="str"/>
      <x:c r="E30" s="16" t="str">
        <x:v>近似描述核对</x:v>
      </x:c>
      <x:c r="F30" s="16" t="str">
        <x:v>程度、范围、处理方法、条件或编号存在差异，建议保持独立；如仅编号不同可改为模板。 数值或章节引用需保留。</x:v>
      </x:c>
      <x:c r="G30" s="16" t="str">
        <x:v>OBS-0188, OBS-0201</x:v>
      </x:c>
      <x:c r="H30" s="16" t="str">
        <x:v>Column 1 baseplate has blistering corrosion.</x:v>
      </x:c>
      <x:c r="I30" s="16" t="str">
        <x:v>Column 4 baseplate has blistering corrosion.</x:v>
      </x:c>
      <x:c r="J30" s="17" t="str"/>
      <x:c r="K30" s="17" t="str"/>
      <x:c r="L30" s="16" t="str">
        <x:v>SRC-057</x:v>
      </x:c>
      <x:c r="M30" s="16" t="str">
        <x:f>IF(C30="待确认","待确认",IF(C30="需修改","需修改",IF(C30="保持独立","已确认",IF(OR(C30="同意合并",C30="使用模板",C30="提取短句"),IF(LEN(TRIM(D30))=0,"缺少标准文字","已确认"),"无效选择"))))</x:f>
        <x:v>待确认</x:v>
      </x:c>
    </x:row>
    <x:row r="31" ht="41" customHeight="1">
      <x:c r="A31" s="16" t="str">
        <x:v>MRG-0025</x:v>
      </x:c>
      <x:c r="B31" s="16" t="str">
        <x:v>Observation</x:v>
      </x:c>
      <x:c r="C31" s="17" t="str">
        <x:v>待确认</x:v>
      </x:c>
      <x:c r="D31" s="17" t="str"/>
      <x:c r="E31" s="16" t="str">
        <x:v>近似描述核对</x:v>
      </x:c>
      <x:c r="F31" s="16" t="str">
        <x:v>程度、范围、处理方法、条件或编号存在差异，建议保持独立；如仅编号不同可改为模板。 数值或章节引用需保留。</x:v>
      </x:c>
      <x:c r="G31" s="16" t="str">
        <x:v>OBS-0458, OBS-0460</x:v>
      </x:c>
      <x:c r="H31" s="16" t="str">
        <x:v>Pier 7. Vertical crack at lower section.</x:v>
      </x:c>
      <x:c r="I31" s="16" t="str">
        <x:v>Pier 8. Vertical crack at lower section.</x:v>
      </x:c>
      <x:c r="J31" s="17" t="str"/>
      <x:c r="K31" s="17" t="str"/>
      <x:c r="L31" s="16" t="str">
        <x:v>SRC-006</x:v>
      </x:c>
      <x:c r="M31" s="16" t="str">
        <x:f>IF(C31="待确认","待确认",IF(C31="需修改","需修改",IF(C31="保持独立","已确认",IF(OR(C31="同意合并",C31="使用模板",C31="提取短句"),IF(LEN(TRIM(D31))=0,"缺少标准文字","已确认"),"无效选择"))))</x:f>
        <x:v>待确认</x:v>
      </x:c>
    </x:row>
    <x:row r="32" ht="41" customHeight="1">
      <x:c r="A32" s="16" t="str">
        <x:v>MRG-0026</x:v>
      </x:c>
      <x:c r="B32" s="16" t="str">
        <x:v>Observation</x:v>
      </x:c>
      <x:c r="C32" s="17" t="str">
        <x:v>待确认</x:v>
      </x:c>
      <x:c r="D32" s="17" t="str"/>
      <x:c r="E32" s="16" t="str">
        <x:v>近似描述核对</x:v>
      </x:c>
      <x:c r="F32" s="16" t="str">
        <x:v>程度、范围、处理方法、条件或编号存在差异，建议保持独立；如仅编号不同可改为模板。 数值或章节引用需保留。</x:v>
      </x:c>
      <x:c r="G32" s="16" t="str">
        <x:v>OBS-0458, OBS-0462</x:v>
      </x:c>
      <x:c r="H32" s="16" t="str">
        <x:v>Pier 7. Vertical crack at lower section.</x:v>
      </x:c>
      <x:c r="I32" s="16" t="str">
        <x:v>Pier 9. Vertical crack at lower section.</x:v>
      </x:c>
      <x:c r="J32" s="17" t="str"/>
      <x:c r="K32" s="17" t="str"/>
      <x:c r="L32" s="16" t="str">
        <x:v>SRC-006</x:v>
      </x:c>
      <x:c r="M32" s="16" t="str">
        <x:f>IF(C32="待确认","待确认",IF(C32="需修改","需修改",IF(C32="保持独立","已确认",IF(OR(C32="同意合并",C32="使用模板",C32="提取短句"),IF(LEN(TRIM(D32))=0,"缺少标准文字","已确认"),"无效选择"))))</x:f>
        <x:v>待确认</x:v>
      </x:c>
    </x:row>
    <x:row r="33" ht="41" customHeight="1">
      <x:c r="A33" s="16" t="str">
        <x:v>MRG-0027</x:v>
      </x:c>
      <x:c r="B33" s="16" t="str">
        <x:v>Observation</x:v>
      </x:c>
      <x:c r="C33" s="17" t="str">
        <x:v>待确认</x:v>
      </x:c>
      <x:c r="D33" s="17" t="str"/>
      <x:c r="E33" s="16" t="str">
        <x:v>近似描述核对</x:v>
      </x:c>
      <x:c r="F33" s="16" t="str">
        <x:v>程度、范围、处理方法、条件或编号存在差异，建议保持独立；如仅编号不同可改为模板。 数值或章节引用需保留。</x:v>
      </x:c>
      <x:c r="G33" s="16" t="str">
        <x:v>OBS-0460, OBS-0462</x:v>
      </x:c>
      <x:c r="H33" s="16" t="str">
        <x:v>Pier 8. Vertical crack at lower section.</x:v>
      </x:c>
      <x:c r="I33" s="16" t="str">
        <x:v>Pier 9. Vertical crack at lower section.</x:v>
      </x:c>
      <x:c r="J33" s="17" t="str"/>
      <x:c r="K33" s="17" t="str"/>
      <x:c r="L33" s="16" t="str">
        <x:v>SRC-006</x:v>
      </x:c>
      <x:c r="M33" s="16" t="str">
        <x:f>IF(C33="待确认","待确认",IF(C33="需修改","需修改",IF(C33="保持独立","已确认",IF(OR(C33="同意合并",C33="使用模板",C33="提取短句"),IF(LEN(TRIM(D33))=0,"缺少标准文字","已确认"),"无效选择"))))</x:f>
        <x:v>待确认</x:v>
      </x:c>
    </x:row>
    <x:row r="34" ht="41" customHeight="1">
      <x:c r="A34" s="16" t="str">
        <x:v>MRG-0028</x:v>
      </x:c>
      <x:c r="B34" s="16" t="str">
        <x:v>Observation</x:v>
      </x:c>
      <x:c r="C34" s="17" t="str">
        <x:v>待确认</x:v>
      </x:c>
      <x:c r="D34" s="17" t="str"/>
      <x:c r="E34" s="16" t="str">
        <x:v>近似描述核对</x:v>
      </x:c>
      <x:c r="F34" s="16" t="str">
        <x:v>程度、范围、处理方法、条件或编号存在差异，建议保持独立；如仅编号不同可改为模板。 数值或章节引用需保留。</x:v>
      </x:c>
      <x:c r="G34" s="16" t="str">
        <x:v>OBS-0607, OBS-0608</x:v>
      </x:c>
      <x:c r="H34" s="16" t="str">
        <x:v>Window 1. Minor corrosion of lintel.</x:v>
      </x:c>
      <x:c r="I34" s="16" t="str">
        <x:v>Window 2. Minor corrosion of lintel.</x:v>
      </x:c>
      <x:c r="J34" s="17" t="str"/>
      <x:c r="K34" s="17" t="str"/>
      <x:c r="L34" s="16" t="str">
        <x:v>SRC-057</x:v>
      </x:c>
      <x:c r="M34" s="16" t="str">
        <x:f>IF(C34="待确认","待确认",IF(C34="需修改","需修改",IF(C34="保持独立","已确认",IF(OR(C34="同意合并",C34="使用模板",C34="提取短句"),IF(LEN(TRIM(D34))=0,"缺少标准文字","已确认"),"无效选择"))))</x:f>
        <x:v>待确认</x:v>
      </x:c>
    </x:row>
    <x:row r="35" ht="41" customHeight="1">
      <x:c r="A35" s="16" t="str">
        <x:v>MRG-0029</x:v>
      </x:c>
      <x:c r="B35" s="16" t="str">
        <x:v>Observation</x:v>
      </x:c>
      <x:c r="C35" s="17" t="str">
        <x:v>待确认</x:v>
      </x:c>
      <x:c r="D35" s="17" t="str">
        <x:v>Left hand side of house facing the entrance. Minor corrosion to rafters and purlins. Salt staining on purlins.</x:v>
      </x:c>
      <x:c r="E35" s="16" t="str">
        <x:v>近似描述核对</x:v>
      </x:c>
      <x:c r="F35" s="16" t="str">
        <x:v>措辞近似，需确认含义和适用范围是否一致。</x:v>
      </x:c>
      <x:c r="G35" s="16" t="str">
        <x:v>OBS-0015, OBS-0029</x:v>
      </x:c>
      <x:c r="H35" s="16" t="str">
        <x:v>Left hand side of house facing the entrance. Minor corrosion to rafters and purlins. Salt staining on purlins.</x:v>
      </x:c>
      <x:c r="I35" s="16" t="str">
        <x:v>Right hand side of house facing the entrance. Minor corrosion to rafters and purlins. Salt staining on purlins.</x:v>
      </x:c>
      <x:c r="J35" s="17" t="str"/>
      <x:c r="K35" s="17" t="str"/>
      <x:c r="L35" s="16" t="str">
        <x:v>SRC-027, SRC-049, SRC-051, SRC-055</x:v>
      </x:c>
      <x:c r="M35" s="16" t="str">
        <x:f>IF(C35="待确认","待确认",IF(C35="需修改","需修改",IF(C35="保持独立","已确认",IF(OR(C35="同意合并",C35="使用模板",C35="提取短句"),IF(LEN(TRIM(D35))=0,"缺少标准文字","已确认"),"无效选择"))))</x:f>
        <x:v>待确认</x:v>
      </x:c>
    </x:row>
    <x:row r="36" ht="41" customHeight="1">
      <x:c r="A36" s="16" t="str">
        <x:v>MRG-0030</x:v>
      </x:c>
      <x:c r="B36" s="16" t="str">
        <x:v>Observation</x:v>
      </x:c>
      <x:c r="C36" s="17" t="str">
        <x:v>待确认</x:v>
      </x:c>
      <x:c r="D36" s="17" t="str"/>
      <x:c r="E36" s="16" t="str">
        <x:v>近似描述核对</x:v>
      </x:c>
      <x:c r="F36" s="16" t="str">
        <x:v>程度、范围、处理方法、条件或编号存在差异，建议保持独立；如仅编号不同可改为模板。 数值或章节引用需保留。</x:v>
      </x:c>
      <x:c r="G36" s="16" t="str">
        <x:v>OBS-0042, OBS-0191</x:v>
      </x:c>
      <x:c r="H36" s="16" t="str">
        <x:v>Column 2. Paint deterioration.</x:v>
      </x:c>
      <x:c r="I36" s="16" t="str">
        <x:v>Column 1. Paint deterioration.</x:v>
      </x:c>
      <x:c r="J36" s="17" t="str"/>
      <x:c r="K36" s="17" t="str"/>
      <x:c r="L36" s="16" t="str">
        <x:v>SRC-092</x:v>
      </x:c>
      <x:c r="M36" s="16" t="str">
        <x:f>IF(C36="待确认","待确认",IF(C36="需修改","需修改",IF(C36="保持独立","已确认",IF(OR(C36="同意合并",C36="使用模板",C36="提取短句"),IF(LEN(TRIM(D36))=0,"缺少标准文字","已确认"),"无效选择"))))</x:f>
        <x:v>待确认</x:v>
      </x:c>
    </x:row>
    <x:row r="37" ht="37" customHeight="1">
      <x:c r="A37" s="16" t="str">
        <x:v>MRG-0031</x:v>
      </x:c>
      <x:c r="B37" s="16" t="str">
        <x:v>Observation</x:v>
      </x:c>
      <x:c r="C37" s="17" t="str">
        <x:v>待确认</x:v>
      </x:c>
      <x:c r="D37" s="17" t="str">
        <x:v>Front verandah has salt staining on purlins and rafters.</x:v>
      </x:c>
      <x:c r="E37" s="16" t="str">
        <x:v>近似描述核对</x:v>
      </x:c>
      <x:c r="F37" s="16" t="str">
        <x:v>措辞近似，需确认含义和适用范围是否一致。</x:v>
      </x:c>
      <x:c r="G37" s="16" t="str">
        <x:v>OBS-0053, OBS-0309</x:v>
      </x:c>
      <x:c r="H37" s="16" t="str">
        <x:v>Front verandah has salt staining on purlins and rafters.</x:v>
      </x:c>
      <x:c r="I37" s="16" t="str">
        <x:v>Front verandah. Salt staining on purlins and rafters.</x:v>
      </x:c>
      <x:c r="J37" s="17" t="str"/>
      <x:c r="K37" s="17" t="str"/>
      <x:c r="L37" s="16" t="str">
        <x:v>SRC-002, SRC-053</x:v>
      </x:c>
      <x:c r="M37" s="16" t="str">
        <x:f>IF(C37="待确认","待确认",IF(C37="需修改","需修改",IF(C37="保持独立","已确认",IF(OR(C37="同意合并",C37="使用模板",C37="提取短句"),IF(LEN(TRIM(D37))=0,"缺少标准文字","已确认"),"无效选择"))))</x:f>
        <x:v>待确认</x:v>
      </x:c>
    </x:row>
    <x:row r="38" ht="41" customHeight="1">
      <x:c r="A38" s="16" t="str">
        <x:v>MRG-0032</x:v>
      </x:c>
      <x:c r="B38" s="16" t="str">
        <x:v>Observation</x:v>
      </x:c>
      <x:c r="C38" s="17" t="str">
        <x:v>待确认</x:v>
      </x:c>
      <x:c r="D38" s="17" t="str">
        <x:v>Left hand side of house facing the entrance. Minor corrosion of purlins and rafters.</x:v>
      </x:c>
      <x:c r="E38" s="16" t="str">
        <x:v>近似描述核对</x:v>
      </x:c>
      <x:c r="F38" s="16" t="str">
        <x:v>措辞近似，需确认含义和适用范围是否一致。</x:v>
      </x:c>
      <x:c r="G38" s="16" t="str">
        <x:v>OBS-0350, OBS-0491</x:v>
      </x:c>
      <x:c r="H38" s="16" t="str">
        <x:v>Left hand side of house facing the entrance. Minor corrosion of purlins and rafters.</x:v>
      </x:c>
      <x:c r="I38" s="16" t="str">
        <x:v>Right hand side of house facing the entrance. Minor corrosion of purlins and rafters.</x:v>
      </x:c>
      <x:c r="J38" s="17" t="str"/>
      <x:c r="K38" s="17" t="str"/>
      <x:c r="L38" s="16" t="str">
        <x:v>SRC-025</x:v>
      </x:c>
      <x:c r="M38" s="16" t="str">
        <x:f>IF(C38="待确认","待确认",IF(C38="需修改","需修改",IF(C38="保持独立","已确认",IF(OR(C38="同意合并",C38="使用模板",C38="提取短句"),IF(LEN(TRIM(D38))=0,"缺少标准文字","已确认"),"无效选择"))))</x:f>
        <x:v>待确认</x:v>
      </x:c>
    </x:row>
    <x:row r="39" ht="41" customHeight="1">
      <x:c r="A39" s="16" t="str">
        <x:v>MRG-0033</x:v>
      </x:c>
      <x:c r="B39" s="16" t="str">
        <x:v>Observation</x:v>
      </x:c>
      <x:c r="C39" s="17" t="str">
        <x:v>待确认</x:v>
      </x:c>
      <x:c r="D39" s="17" t="str">
        <x:v>Left hand side of property facing the front entrance. Minor corrosion of steel post.</x:v>
      </x:c>
      <x:c r="E39" s="16" t="str">
        <x:v>近似描述核对</x:v>
      </x:c>
      <x:c r="F39" s="16" t="str">
        <x:v>措辞近似，需确认含义和适用范围是否一致。</x:v>
      </x:c>
      <x:c r="G39" s="16" t="str">
        <x:v>OBS-0358, OBS-0502</x:v>
      </x:c>
      <x:c r="H39" s="16" t="str">
        <x:v>Left hand side of property facing the front entrance. Minor corrosion of steel post.</x:v>
      </x:c>
      <x:c r="I39" s="16" t="str">
        <x:v>Right hand side of property facing the front entrance. Minor corrosion of steel post.</x:v>
      </x:c>
      <x:c r="J39" s="17" t="str"/>
      <x:c r="K39" s="17" t="str"/>
      <x:c r="L39" s="16" t="str">
        <x:v>SRC-054</x:v>
      </x:c>
      <x:c r="M39" s="16" t="str">
        <x:f>IF(C39="待确认","待确认",IF(C39="需修改","需修改",IF(C39="保持独立","已确认",IF(OR(C39="同意合并",C39="使用模板",C39="提取短句"),IF(LEN(TRIM(D39))=0,"缺少标准文字","已确认"),"无效选择"))))</x:f>
        <x:v>待确认</x:v>
      </x:c>
    </x:row>
    <x:row r="40" ht="41" customHeight="1">
      <x:c r="A40" s="16" t="str">
        <x:v>MRG-0034</x:v>
      </x:c>
      <x:c r="B40" s="16" t="str">
        <x:v>Observation</x:v>
      </x:c>
      <x:c r="C40" s="17" t="str">
        <x:v>待确认</x:v>
      </x:c>
      <x:c r="D40" s="17" t="str">
        <x:v>Left hand side of house facing the entrance. Salt staining on purlins and rafters.</x:v>
      </x:c>
      <x:c r="E40" s="16" t="str">
        <x:v>近似描述核对</x:v>
      </x:c>
      <x:c r="F40" s="16" t="str">
        <x:v>措辞近似，需确认含义和适用范围是否一致。</x:v>
      </x:c>
      <x:c r="G40" s="16" t="str">
        <x:v>OBS-0354, OBS-0496</x:v>
      </x:c>
      <x:c r="H40" s="16" t="str">
        <x:v>Left hand side of house facing the entrance. Salt staining on purlins and rafters.</x:v>
      </x:c>
      <x:c r="I40" s="16" t="str">
        <x:v>Right hand side of house facing the entrance. Salt staining on purlins and rafters.</x:v>
      </x:c>
      <x:c r="J40" s="17" t="str"/>
      <x:c r="K40" s="17" t="str"/>
      <x:c r="L40" s="16" t="str">
        <x:v>SRC-053</x:v>
      </x:c>
      <x:c r="M40" s="16" t="str">
        <x:f>IF(C40="待确认","待确认",IF(C40="需修改","需修改",IF(C40="保持独立","已确认",IF(OR(C40="同意合并",C40="使用模板",C40="提取短句"),IF(LEN(TRIM(D40))=0,"缺少标准文字","已确认"),"无效选择"))))</x:f>
        <x:v>待确认</x:v>
      </x:c>
    </x:row>
    <x:row r="41" ht="41" customHeight="1">
      <x:c r="A41" s="16" t="str">
        <x:v>MRG-0035</x:v>
      </x:c>
      <x:c r="B41" s="16" t="str">
        <x:v>Observation</x:v>
      </x:c>
      <x:c r="C41" s="17" t="str">
        <x:v>待确认</x:v>
      </x:c>
      <x:c r="D41" s="17" t="str"/>
      <x:c r="E41" s="16" t="str">
        <x:v>近似描述核对</x:v>
      </x:c>
      <x:c r="F41" s="16" t="str">
        <x:v>程度、范围、处理方法、条件或编号存在差异，建议保持独立；如仅编号不同可改为模板。 数值或章节引用需保留。</x:v>
      </x:c>
      <x:c r="G41" s="16" t="str">
        <x:v>OBS-0534, OBS-0540</x:v>
      </x:c>
      <x:c r="H41" s="16" t="str">
        <x:v>Row 3 Column 1. Blistering corrosion and holes.</x:v>
      </x:c>
      <x:c r="I41" s="16" t="str">
        <x:v>Row 4 Column 2. Blistering corrosion and holes.</x:v>
      </x:c>
      <x:c r="J41" s="17" t="str"/>
      <x:c r="K41" s="17" t="str"/>
      <x:c r="L41" s="16" t="str">
        <x:v>SRC-100</x:v>
      </x:c>
      <x:c r="M41" s="16" t="str">
        <x:f>IF(C41="待确认","待确认",IF(C41="需修改","需修改",IF(C41="保持独立","已确认",IF(OR(C41="同意合并",C41="使用模板",C41="提取短句"),IF(LEN(TRIM(D41))=0,"缺少标准文字","已确认"),"无效选择"))))</x:f>
        <x:v>待确认</x:v>
      </x:c>
    </x:row>
    <x:row r="42" ht="41" customHeight="1">
      <x:c r="A42" s="16" t="str">
        <x:v>MRG-0036</x:v>
      </x:c>
      <x:c r="B42" s="16" t="str">
        <x:v>Observation</x:v>
      </x:c>
      <x:c r="C42" s="17" t="str">
        <x:v>待确认</x:v>
      </x:c>
      <x:c r="D42" s="17" t="str"/>
      <x:c r="E42" s="16" t="str">
        <x:v>近似描述核对</x:v>
      </x:c>
      <x:c r="F42" s="16" t="str">
        <x:v>程度、范围、处理方法、条件或编号存在差异，建议保持独立；如仅编号不同可改为模板。 数值或章节引用需保留。</x:v>
      </x:c>
      <x:c r="G42" s="16" t="str">
        <x:v>OBS-0534, OBS-0542</x:v>
      </x:c>
      <x:c r="H42" s="16" t="str">
        <x:v>Row 3 Column 1. Blistering corrosion and holes.</x:v>
      </x:c>
      <x:c r="I42" s="16" t="str">
        <x:v>Row 5 Column 2. Blistering corrosion and holes.</x:v>
      </x:c>
      <x:c r="J42" s="17" t="str"/>
      <x:c r="K42" s="17" t="str"/>
      <x:c r="L42" s="16" t="str">
        <x:v>SRC-100</x:v>
      </x:c>
      <x:c r="M42" s="16" t="str">
        <x:f>IF(C42="待确认","待确认",IF(C42="需修改","需修改",IF(C42="保持独立","已确认",IF(OR(C42="同意合并",C42="使用模板",C42="提取短句"),IF(LEN(TRIM(D42))=0,"缺少标准文字","已确认"),"无效选择"))))</x:f>
        <x:v>待确认</x:v>
      </x:c>
    </x:row>
    <x:row r="43" ht="41" customHeight="1">
      <x:c r="A43" s="16" t="str">
        <x:v>MRG-0037</x:v>
      </x:c>
      <x:c r="B43" s="16" t="str">
        <x:v>Observation</x:v>
      </x:c>
      <x:c r="C43" s="17" t="str">
        <x:v>待确认</x:v>
      </x:c>
      <x:c r="D43" s="17" t="str"/>
      <x:c r="E43" s="16" t="str">
        <x:v>近似描述核对</x:v>
      </x:c>
      <x:c r="F43" s="16" t="str">
        <x:v>程度、范围、处理方法、条件或编号存在差异，建议保持独立；如仅编号不同可改为模板。</x:v>
      </x:c>
      <x:c r="G43" s="16" t="str">
        <x:v>OBS-0127, OBS-0128</x:v>
      </x:c>
      <x:c r="H43" s="16" t="str">
        <x:v>Backyard fencing post. Bitumen Paint deterioration and flaking corrosion.</x:v>
      </x:c>
      <x:c r="I43" s="16" t="str">
        <x:v>Backyard fencing post. Bitumen Paint deterioration and severe flaking corrosion.</x:v>
      </x:c>
      <x:c r="J43" s="17" t="str"/>
      <x:c r="K43" s="17" t="str"/>
      <x:c r="L43" s="16" t="str">
        <x:v>SRC-026, SRC-052</x:v>
      </x:c>
      <x:c r="M43" s="16" t="str">
        <x:f>IF(C43="待确认","待确认",IF(C43="需修改","需修改",IF(C43="保持独立","已确认",IF(OR(C43="同意合并",C43="使用模板",C43="提取短句"),IF(LEN(TRIM(D43))=0,"缺少标准文字","已确认"),"无效选择"))))</x:f>
        <x:v>待确认</x:v>
      </x:c>
    </x:row>
    <x:row r="44" ht="41" customHeight="1">
      <x:c r="A44" s="16" t="str">
        <x:v>MRG-0038</x:v>
      </x:c>
      <x:c r="B44" s="16" t="str">
        <x:v>Observation</x:v>
      </x:c>
      <x:c r="C44" s="17" t="str">
        <x:v>待确认</x:v>
      </x:c>
      <x:c r="D44" s="17" t="str"/>
      <x:c r="E44" s="16" t="str">
        <x:v>近似描述核对</x:v>
      </x:c>
      <x:c r="F44" s="16" t="str">
        <x:v>程度、范围、处理方法、条件或编号存在差异，建议保持独立；如仅编号不同可改为模板。 数值或章节引用需保留。</x:v>
      </x:c>
      <x:c r="G44" s="16" t="str">
        <x:v>OBS-0453, OBS-0457</x:v>
      </x:c>
      <x:c r="H44" s="16" t="str">
        <x:v>Pier 10. Corrosion at support location. Expansion of steel due to corrosion causing brickwork to crack.</x:v>
      </x:c>
      <x:c r="I44" s="16" t="str">
        <x:v>Pier 7. Severe corrosion at support location. Expansion of steel due to corrosion causing brickwork to crack.</x:v>
      </x:c>
      <x:c r="J44" s="17" t="str"/>
      <x:c r="K44" s="17" t="str"/>
      <x:c r="L44" s="16" t="str">
        <x:v>SRC-006</x:v>
      </x:c>
      <x:c r="M44" s="16" t="str">
        <x:f>IF(C44="待确认","待确认",IF(C44="需修改","需修改",IF(C44="保持独立","已确认",IF(OR(C44="同意合并",C44="使用模板",C44="提取短句"),IF(LEN(TRIM(D44))=0,"缺少标准文字","已确认"),"无效选择"))))</x:f>
        <x:v>待确认</x:v>
      </x:c>
    </x:row>
    <x:row r="45" ht="41" customHeight="1">
      <x:c r="A45" s="16" t="str">
        <x:v>MRG-0039</x:v>
      </x:c>
      <x:c r="B45" s="16" t="str">
        <x:v>Observation</x:v>
      </x:c>
      <x:c r="C45" s="17" t="str">
        <x:v>待确认</x:v>
      </x:c>
      <x:c r="D45" s="17" t="str"/>
      <x:c r="E45" s="16" t="str">
        <x:v>近似描述核对</x:v>
      </x:c>
      <x:c r="F45" s="16" t="str">
        <x:v>程度、范围、处理方法、条件或编号存在差异，建议保持独立；如仅编号不同可改为模板。 数值或章节引用需保留。</x:v>
      </x:c>
      <x:c r="G45" s="16" t="str">
        <x:v>OBS-0453, OBS-0459</x:v>
      </x:c>
      <x:c r="H45" s="16" t="str">
        <x:v>Pier 10. Corrosion at support location. Expansion of steel due to corrosion causing brickwork to crack.</x:v>
      </x:c>
      <x:c r="I45" s="16" t="str">
        <x:v>Pier 8. Severe corrosion at support location. Expansion of steel due to corrosion causing brickwork to crack.</x:v>
      </x:c>
      <x:c r="J45" s="17" t="str"/>
      <x:c r="K45" s="17" t="str"/>
      <x:c r="L45" s="16" t="str">
        <x:v>SRC-006</x:v>
      </x:c>
      <x:c r="M45" s="16" t="str">
        <x:f>IF(C45="待确认","待确认",IF(C45="需修改","需修改",IF(C45="保持独立","已确认",IF(OR(C45="同意合并",C45="使用模板",C45="提取短句"),IF(LEN(TRIM(D45))=0,"缺少标准文字","已确认"),"无效选择"))))</x:f>
        <x:v>待确认</x:v>
      </x:c>
    </x:row>
    <x:row r="46" ht="41" customHeight="1">
      <x:c r="A46" s="16" t="str">
        <x:v>MRG-0040</x:v>
      </x:c>
      <x:c r="B46" s="16" t="str">
        <x:v>Observation</x:v>
      </x:c>
      <x:c r="C46" s="17" t="str">
        <x:v>待确认</x:v>
      </x:c>
      <x:c r="D46" s="17" t="str"/>
      <x:c r="E46" s="16" t="str">
        <x:v>近似描述核对</x:v>
      </x:c>
      <x:c r="F46" s="16" t="str">
        <x:v>程度、范围、处理方法、条件或编号存在差异，建议保持独立；如仅编号不同可改为模板。 数值或章节引用需保留。</x:v>
      </x:c>
      <x:c r="G46" s="16" t="str">
        <x:v>OBS-0474, OBS-0475</x:v>
      </x:c>
      <x:c r="H46" s="16" t="str">
        <x:v>Rafter at the top of Pier 6. Severe corrosion at support location. Expansion of steel rafter due to corrosion causing brickwork to crack</x:v>
      </x:c>
      <x:c r="I46" s="16" t="str">
        <x:v>Rafter at the top of pier 5. Severe corrosion at support location. Expansion of steel due to corrosion causing the brickwork to crack.</x:v>
      </x:c>
      <x:c r="J46" s="17" t="str"/>
      <x:c r="K46" s="17" t="str"/>
      <x:c r="L46" s="16" t="str">
        <x:v>SRC-006</x:v>
      </x:c>
      <x:c r="M46" s="16" t="str">
        <x:f>IF(C46="待确认","待确认",IF(C46="需修改","需修改",IF(C46="保持独立","已确认",IF(OR(C46="同意合并",C46="使用模板",C46="提取短句"),IF(LEN(TRIM(D46))=0,"缺少标准文字","已确认"),"无效选择"))))</x:f>
        <x:v>待确认</x:v>
      </x:c>
    </x:row>
    <x:row r="47" ht="37" customHeight="1">
      <x:c r="A47" s="16" t="str">
        <x:v>MRG-0041</x:v>
      </x:c>
      <x:c r="B47" s="16" t="str">
        <x:v>Observation</x:v>
      </x:c>
      <x:c r="C47" s="17" t="str">
        <x:v>待确认</x:v>
      </x:c>
      <x:c r="D47" s="17" t="str">
        <x:v>Front verandah. Minor corrosion underside of beam.</x:v>
      </x:c>
      <x:c r="E47" s="16" t="str">
        <x:v>近似描述核对</x:v>
      </x:c>
      <x:c r="F47" s="16" t="str">
        <x:v>措辞近似，需确认含义和适用范围是否一致。</x:v>
      </x:c>
      <x:c r="G47" s="16" t="str">
        <x:v>OBS-0304, OBS-0317</x:v>
      </x:c>
      <x:c r="H47" s="16" t="str">
        <x:v>Front verandah. Minor corrosion underside of beam.</x:v>
      </x:c>
      <x:c r="I47" s="16" t="str">
        <x:v>Front yard verandah. Minor corrosion underside of beam.</x:v>
      </x:c>
      <x:c r="J47" s="17" t="str"/>
      <x:c r="K47" s="17" t="str"/>
      <x:c r="L47" s="16" t="str">
        <x:v>SRC-061</x:v>
      </x:c>
      <x:c r="M47" s="16" t="str">
        <x:f>IF(C47="待确认","待确认",IF(C47="需修改","需修改",IF(C47="保持独立","已确认",IF(OR(C47="同意合并",C47="使用模板",C47="提取短句"),IF(LEN(TRIM(D47))=0,"缺少标准文字","已确认"),"无效选择"))))</x:f>
        <x:v>待确认</x:v>
      </x:c>
    </x:row>
    <x:row r="48" ht="37" customHeight="1">
      <x:c r="A48" s="16" t="str">
        <x:v>MRG-0042</x:v>
      </x:c>
      <x:c r="B48" s="16" t="str">
        <x:v>Observation</x:v>
      </x:c>
      <x:c r="C48" s="17" t="str">
        <x:v>待确认</x:v>
      </x:c>
      <x:c r="D48" s="17" t="str">
        <x:v>Minor corrosion of door frame corner, typical to all windows.</x:v>
      </x:c>
      <x:c r="E48" s="16" t="str">
        <x:v>近似描述核对</x:v>
      </x:c>
      <x:c r="F48" s="16" t="str">
        <x:v>措辞近似，需确认含义和适用范围是否一致。</x:v>
      </x:c>
      <x:c r="G48" s="16" t="str">
        <x:v>OBS-0388, OBS-0394</x:v>
      </x:c>
      <x:c r="H48" s="16" t="str">
        <x:v>Minor corrosion of door frame corner, typical to all windows.</x:v>
      </x:c>
      <x:c r="I48" s="16" t="str">
        <x:v>Minor corrosion of window frame corner, typical to all windows.</x:v>
      </x:c>
      <x:c r="J48" s="17" t="str"/>
      <x:c r="K48" s="17" t="str"/>
      <x:c r="L48" s="16" t="str">
        <x:v>SRC-062</x:v>
      </x:c>
      <x:c r="M48" s="16" t="str">
        <x:f>IF(C48="待确认","待确认",IF(C48="需修改","需修改",IF(C48="保持独立","已确认",IF(OR(C48="同意合并",C48="使用模板",C48="提取短句"),IF(LEN(TRIM(D48))=0,"缺少标准文字","已确认"),"无效选择"))))</x:f>
        <x:v>待确认</x:v>
      </x:c>
    </x:row>
    <x:row r="49" ht="41" customHeight="1">
      <x:c r="A49" s="16" t="str">
        <x:v>MRG-0043</x:v>
      </x:c>
      <x:c r="B49" s="16" t="str">
        <x:v>Observation</x:v>
      </x:c>
      <x:c r="C49" s="17" t="str">
        <x:v>待确认</x:v>
      </x:c>
      <x:c r="D49" s="17" t="str">
        <x:v>Back verandah in good condition.</x:v>
      </x:c>
      <x:c r="E49" s="16" t="str">
        <x:v>近似描述核对</x:v>
      </x:c>
      <x:c r="F49" s="16" t="str">
        <x:v>措辞近似，需确认含义和适用范围是否一致。</x:v>
      </x:c>
      <x:c r="G49" s="16" t="str">
        <x:v>OBS-0007, OBS-0138</x:v>
      </x:c>
      <x:c r="H49" s="16" t="str">
        <x:v>Back verandah in good condition.</x:v>
      </x:c>
      <x:c r="I49" s="16" t="str">
        <x:v>Backyard verandah. In good condition.</x:v>
      </x:c>
      <x:c r="J49" s="17" t="str"/>
      <x:c r="K49" s="17" t="str"/>
      <x:c r="L49" s="16" t="str">
        <x:v>SRC-011, SRC-012, SRC-024, SRC-026, SRC-052, SRC-060</x:v>
      </x:c>
      <x:c r="M49" s="16" t="str">
        <x:f>IF(C49="待确认","待确认",IF(C49="需修改","需修改",IF(C49="保持独立","已确认",IF(OR(C49="同意合并",C49="使用模板",C49="提取短句"),IF(LEN(TRIM(D49))=0,"缺少标准文字","已确认"),"无效选择"))))</x:f>
        <x:v>待确认</x:v>
      </x:c>
    </x:row>
    <x:row r="50" ht="37" customHeight="1">
      <x:c r="A50" s="16" t="str">
        <x:v>MRG-0044</x:v>
      </x:c>
      <x:c r="B50" s="16" t="str">
        <x:v>Observation</x:v>
      </x:c>
      <x:c r="C50" s="17" t="str">
        <x:v>待确认</x:v>
      </x:c>
      <x:c r="D50" s="17" t="str">
        <x:v>Timber splitting and rotting towards the lower section.</x:v>
      </x:c>
      <x:c r="E50" s="16" t="str">
        <x:v>近似描述核对</x:v>
      </x:c>
      <x:c r="F50" s="16" t="str">
        <x:v>措辞近似，需确认含义和适用范围是否一致。</x:v>
      </x:c>
      <x:c r="G50" s="16" t="str">
        <x:v>OBS-0087, OBS-0594</x:v>
      </x:c>
      <x:c r="H50" s="16" t="str">
        <x:v>Timber splitting and rotting towards the lower section.</x:v>
      </x:c>
      <x:c r="I50" s="16" t="str">
        <x:v>Timber splitting and rotting towards the lower section. Timber</x:v>
      </x:c>
      <x:c r="J50" s="17" t="str"/>
      <x:c r="K50" s="17" t="str"/>
      <x:c r="L50" s="16" t="str">
        <x:v>SRC-094</x:v>
      </x:c>
      <x:c r="M50" s="16" t="str">
        <x:f>IF(C50="待确认","待确认",IF(C50="需修改","需修改",IF(C50="保持独立","已确认",IF(OR(C50="同意合并",C50="使用模板",C50="提取短句"),IF(LEN(TRIM(D50))=0,"缺少标准文字","已确认"),"无效选择"))))</x:f>
        <x:v>待确认</x:v>
      </x:c>
    </x:row>
    <x:row r="51" ht="37" customHeight="1">
      <x:c r="A51" s="16" t="str">
        <x:v>MRG-0045</x:v>
      </x:c>
      <x:c r="B51" s="16" t="str">
        <x:v>Observation</x:v>
      </x:c>
      <x:c r="C51" s="17" t="str">
        <x:v>待确认</x:v>
      </x:c>
      <x:c r="D51" s="17" t="str">
        <x:v>Salt staining to back wall cladding at bolted connections.</x:v>
      </x:c>
      <x:c r="E51" s="16" t="str">
        <x:v>近似描述核对</x:v>
      </x:c>
      <x:c r="F51" s="16" t="str">
        <x:v>措辞近似，需确认含义和适用范围是否一致。</x:v>
      </x:c>
      <x:c r="G51" s="16" t="str">
        <x:v>OBS-0082, OBS-0552</x:v>
      </x:c>
      <x:c r="H51" s="16" t="str">
        <x:v>Salt staining to back wall cladding at bolted connections.</x:v>
      </x:c>
      <x:c r="I51" s="16" t="str">
        <x:v>Salt staining on wall cladding at bolted connections.</x:v>
      </x:c>
      <x:c r="J51" s="17" t="str"/>
      <x:c r="K51" s="17" t="str"/>
      <x:c r="L51" s="16" t="str">
        <x:v>SRC-049, SRC-055, SRC-059</x:v>
      </x:c>
      <x:c r="M51" s="16" t="str">
        <x:f>IF(C51="待确认","待确认",IF(C51="需修改","需修改",IF(C51="保持独立","已确认",IF(OR(C51="同意合并",C51="使用模板",C51="提取短句"),IF(LEN(TRIM(D51))=0,"缺少标准文字","已确认"),"无效选择"))))</x:f>
        <x:v>待确认</x:v>
      </x:c>
    </x:row>
    <x:row r="52" ht="41" customHeight="1">
      <x:c r="A52" s="16" t="str">
        <x:v>MRG-0046</x:v>
      </x:c>
      <x:c r="B52" s="16" t="str">
        <x:v>Observation</x:v>
      </x:c>
      <x:c r="C52" s="17" t="str">
        <x:v>待确认</x:v>
      </x:c>
      <x:c r="D52" s="17" t="str"/>
      <x:c r="E52" s="16" t="str">
        <x:v>近似描述核对</x:v>
      </x:c>
      <x:c r="F52" s="16" t="str">
        <x:v>程度、范围、处理方法、条件或编号存在差异，建议保持独立；如仅编号不同可改为模板。</x:v>
      </x:c>
      <x:c r="G52" s="16" t="str">
        <x:v>OBS-0118, OBS-0119</x:v>
      </x:c>
      <x:c r="H52" s="16" t="str">
        <x:v>Back verandah. Corrosion of Tek screws and top hat purlins.</x:v>
      </x:c>
      <x:c r="I52" s="16" t="str">
        <x:v>Back verandah. Minor corrosion on Tek screws and top hat purlins.</x:v>
      </x:c>
      <x:c r="J52" s="17" t="str"/>
      <x:c r="K52" s="17" t="str"/>
      <x:c r="L52" s="16" t="str">
        <x:v>SRC-014</x:v>
      </x:c>
      <x:c r="M52" s="16" t="str">
        <x:f>IF(C52="待确认","待确认",IF(C52="需修改","需修改",IF(C52="保持独立","已确认",IF(OR(C52="同意合并",C52="使用模板",C52="提取短句"),IF(LEN(TRIM(D52))=0,"缺少标准文字","已确认"),"无效选择"))))</x:f>
        <x:v>待确认</x:v>
      </x:c>
    </x:row>
    <x:row r="53" ht="37" customHeight="1">
      <x:c r="A53" s="16" t="str">
        <x:v>MRG-0047</x:v>
      </x:c>
      <x:c r="B53" s="16" t="str">
        <x:v>Observation</x:v>
      </x:c>
      <x:c r="C53" s="17" t="str">
        <x:v>待确认</x:v>
      </x:c>
      <x:c r="D53" s="17" t="str">
        <x:v>Column 3 strut. Paint deterioration and corrosion.</x:v>
      </x:c>
      <x:c r="E53" s="16" t="str">
        <x:v>近似描述核对</x:v>
      </x:c>
      <x:c r="F53" s="16" t="str">
        <x:v>措辞近似，需确认含义和适用范围是否一致。</x:v>
      </x:c>
      <x:c r="G53" s="16" t="str">
        <x:v>OBS-0197, OBS-0199</x:v>
      </x:c>
      <x:c r="H53" s="16" t="str">
        <x:v>Column 3 strut. Paint deterioration and corrosion.</x:v>
      </x:c>
      <x:c r="I53" s="16" t="str">
        <x:v>Column 3. Paint deterioration and corrosion.</x:v>
      </x:c>
      <x:c r="J53" s="17" t="str"/>
      <x:c r="K53" s="17" t="str"/>
      <x:c r="L53" s="16" t="str">
        <x:v>SRC-092</x:v>
      </x:c>
      <x:c r="M53" s="16" t="str">
        <x:f>IF(C53="待确认","待确认",IF(C53="需修改","需修改",IF(C53="保持独立","已确认",IF(OR(C53="同意合并",C53="使用模板",C53="提取短句"),IF(LEN(TRIM(D53))=0,"缺少标准文字","已确认"),"无效选择"))))</x:f>
        <x:v>待确认</x:v>
      </x:c>
    </x:row>
    <x:row r="54" ht="41" customHeight="1">
      <x:c r="A54" s="16" t="str">
        <x:v>MRG-0048</x:v>
      </x:c>
      <x:c r="B54" s="16" t="str">
        <x:v>Observation</x:v>
      </x:c>
      <x:c r="C54" s="17" t="str">
        <x:v>待确认</x:v>
      </x:c>
      <x:c r="D54" s="17" t="str">
        <x:v>Fencing posts on left hand side of property facing the front entrance. Bitumen paint deterioration.</x:v>
      </x:c>
      <x:c r="E54" s="16" t="str">
        <x:v>近似描述核对</x:v>
      </x:c>
      <x:c r="F54" s="16" t="str">
        <x:v>措辞近似，需确认含义和适用范围是否一致。</x:v>
      </x:c>
      <x:c r="G54" s="16" t="str">
        <x:v>OBS-0005, OBS-0048</x:v>
      </x:c>
      <x:c r="H54" s="16" t="str">
        <x:v>Fencing posts on left hand side of property facing the front entrance. Bitumen paint deterioration.</x:v>
      </x:c>
      <x:c r="I54" s="16" t="str">
        <x:v>Fencing posts on left hand side of property facing the front entrance. Bitumen paint deterioration and corrosion.</x:v>
      </x:c>
      <x:c r="J54" s="17" t="str"/>
      <x:c r="K54" s="17" t="str"/>
      <x:c r="L54" s="16" t="str">
        <x:v>SRC-027, SRC-049, SRC-051, SRC-055, SRC-059</x:v>
      </x:c>
      <x:c r="M54" s="16" t="str">
        <x:f>IF(C54="待确认","待确认",IF(C54="需修改","需修改",IF(C54="保持独立","已确认",IF(OR(C54="同意合并",C54="使用模板",C54="提取短句"),IF(LEN(TRIM(D54))=0,"缺少标准文字","已确认"),"无效选择"))))</x:f>
        <x:v>待确认</x:v>
      </x:c>
    </x:row>
    <x:row r="55" ht="41" customHeight="1">
      <x:c r="A55" s="16" t="str">
        <x:v>MRG-0049</x:v>
      </x:c>
      <x:c r="B55" s="16" t="str">
        <x:v>Observation</x:v>
      </x:c>
      <x:c r="C55" s="17" t="str">
        <x:v>待确认</x:v>
      </x:c>
      <x:c r="D55" s="17" t="str">
        <x:v>Fencing posts on left hand side of property facing the front entrance. Bitumen paint deterioration.</x:v>
      </x:c>
      <x:c r="E55" s="16" t="str">
        <x:v>近似描述核对</x:v>
      </x:c>
      <x:c r="F55" s="16" t="str">
        <x:v>措辞近似，需确认含义和适用范围是否一致。</x:v>
      </x:c>
      <x:c r="G55" s="16" t="str">
        <x:v>OBS-0005, OBS-0024</x:v>
      </x:c>
      <x:c r="H55" s="16" t="str">
        <x:v>Fencing posts on left hand side of property facing the front entrance. Bitumen paint deterioration.</x:v>
      </x:c>
      <x:c r="I55" s="16" t="str">
        <x:v>Fencing posts on left hand side of property facing the front entrance. Corrosion and bitumen paint deterioration.</x:v>
      </x:c>
      <x:c r="J55" s="17" t="str"/>
      <x:c r="K55" s="17" t="str"/>
      <x:c r="L55" s="16" t="str">
        <x:v>SRC-023, SRC-027, SRC-049, SRC-051, SRC-055</x:v>
      </x:c>
      <x:c r="M55" s="16" t="str">
        <x:f>IF(C55="待确认","待确认",IF(C55="需修改","需修改",IF(C55="保持独立","已确认",IF(OR(C55="同意合并",C55="使用模板",C55="提取短句"),IF(LEN(TRIM(D55))=0,"缺少标准文字","已确认"),"无效选择"))))</x:f>
        <x:v>待确认</x:v>
      </x:c>
    </x:row>
    <x:row r="56" ht="41" customHeight="1">
      <x:c r="A56" s="16" t="str">
        <x:v>MRG-0050</x:v>
      </x:c>
      <x:c r="B56" s="16" t="str">
        <x:v>Observation</x:v>
      </x:c>
      <x:c r="C56" s="17" t="str">
        <x:v>待确认</x:v>
      </x:c>
      <x:c r="D56" s="17" t="str">
        <x:v>Fencing posts on left hand side of property facing the front entrance.</x:v>
      </x:c>
      <x:c r="E56" s="16" t="str">
        <x:v>近似描述核对</x:v>
      </x:c>
      <x:c r="F56" s="16" t="str">
        <x:v>措辞近似，需确认含义和适用范围是否一致。</x:v>
      </x:c>
      <x:c r="G56" s="16" t="str">
        <x:v>OBS-0023, OBS-0265</x:v>
      </x:c>
      <x:c r="H56" s="16" t="str">
        <x:v>Fencing posts on left hand side of property facing the front entrance.</x:v>
      </x:c>
      <x:c r="I56" s="16" t="str">
        <x:v>Fencing posts on left hand side of property facing the front entrance. Corrosion.</x:v>
      </x:c>
      <x:c r="J56" s="17" t="str"/>
      <x:c r="K56" s="17" t="str"/>
      <x:c r="L56" s="16" t="str">
        <x:v>SRC-023, SRC-025</x:v>
      </x:c>
      <x:c r="M56" s="16" t="str">
        <x:f>IF(C56="待确认","待确认",IF(C56="需修改","需修改",IF(C56="保持独立","已确认",IF(OR(C56="同意合并",C56="使用模板",C56="提取短句"),IF(LEN(TRIM(D56))=0,"缺少标准文字","已确认"),"无效选择"))))</x:f>
        <x:v>待确认</x:v>
      </x:c>
    </x:row>
    <x:row r="57" ht="41" customHeight="1">
      <x:c r="A57" s="16" t="str">
        <x:v>MRG-0051</x:v>
      </x:c>
      <x:c r="B57" s="16" t="str">
        <x:v>Observation</x:v>
      </x:c>
      <x:c r="C57" s="17" t="str">
        <x:v>待确认</x:v>
      </x:c>
      <x:c r="D57" s="17" t="str"/>
      <x:c r="E57" s="16" t="str">
        <x:v>近似描述核对</x:v>
      </x:c>
      <x:c r="F57" s="16" t="str">
        <x:v>程度、范围、处理方法、条件或编号存在差异，建议保持独立；如仅编号不同可改为模板。 数值或章节引用需保留。</x:v>
      </x:c>
      <x:c r="G57" s="16" t="str">
        <x:v>OBS-0190, OBS-0204</x:v>
      </x:c>
      <x:c r="H57" s="16" t="str">
        <x:v>Column 1. Major corrosion of the connection.</x:v>
      </x:c>
      <x:c r="I57" s="16" t="str">
        <x:v>Column 4. Minor corrosion of the connection.</x:v>
      </x:c>
      <x:c r="J57" s="17" t="str"/>
      <x:c r="K57" s="17" t="str"/>
      <x:c r="L57" s="16" t="str">
        <x:v>SRC-092</x:v>
      </x:c>
      <x:c r="M57" s="16" t="str">
        <x:f>IF(C57="待确认","待确认",IF(C57="需修改","需修改",IF(C57="保持独立","已确认",IF(OR(C57="同意合并",C57="使用模板",C57="提取短句"),IF(LEN(TRIM(D57))=0,"缺少标准文字","已确认"),"无效选择"))))</x:f>
        <x:v>待确认</x:v>
      </x:c>
    </x:row>
    <x:row r="58" ht="41" customHeight="1">
      <x:c r="A58" s="16" t="str">
        <x:v>MRG-0052</x:v>
      </x:c>
      <x:c r="B58" s="16" t="str">
        <x:v>Observation</x:v>
      </x:c>
      <x:c r="C58" s="17" t="str">
        <x:v>待确认</x:v>
      </x:c>
      <x:c r="D58" s="17" t="str">
        <x:v>Right hand side of property facing the front entrance. Paint deterioration and salt staining on purlins and rafters.</x:v>
      </x:c>
      <x:c r="E58" s="16" t="str">
        <x:v>近似描述核对</x:v>
      </x:c>
      <x:c r="F58" s="16" t="str">
        <x:v>措辞近似，需确认含义和适用范围是否一致。</x:v>
      </x:c>
      <x:c r="G58" s="16" t="str">
        <x:v>OBS-0503, OBS-0507</x:v>
      </x:c>
      <x:c r="H58" s="16" t="str">
        <x:v>Right hand side of property facing the front entrance. Paint deterioration and salt staining on purlins and rafters.</x:v>
      </x:c>
      <x:c r="I58" s="16" t="str">
        <x:v>Right hand side roof overhang facing front entrance. Paint deterioration and salt staining on purlins and rafters.</x:v>
      </x:c>
      <x:c r="J58" s="17" t="str"/>
      <x:c r="K58" s="17" t="str"/>
      <x:c r="L58" s="16" t="str">
        <x:v>SRC-009, SRC-054</x:v>
      </x:c>
      <x:c r="M58" s="16" t="str">
        <x:f>IF(C58="待确认","待确认",IF(C58="需修改","需修改",IF(C58="保持独立","已确认",IF(OR(C58="同意合并",C58="使用模板",C58="提取短句"),IF(LEN(TRIM(D58))=0,"缺少标准文字","已确认"),"无效选择"))))</x:f>
        <x:v>待确认</x:v>
      </x:c>
    </x:row>
    <x:row r="59" ht="41" customHeight="1">
      <x:c r="A59" s="16" t="str">
        <x:v>MRG-0053</x:v>
      </x:c>
      <x:c r="B59" s="16" t="str">
        <x:v>Observation</x:v>
      </x:c>
      <x:c r="C59" s="17" t="str">
        <x:v>待确认</x:v>
      </x:c>
      <x:c r="D59" s="17" t="str"/>
      <x:c r="E59" s="16" t="str">
        <x:v>近似描述核对</x:v>
      </x:c>
      <x:c r="F59" s="16" t="str">
        <x:v>程度、范围、处理方法、条件或编号存在差异，建议保持独立；如仅编号不同可改为模板。 数值或章节引用需保留。</x:v>
      </x:c>
      <x:c r="G59" s="16" t="str">
        <x:v>OBS-0541, OBS-0543</x:v>
      </x:c>
      <x:c r="H59" s="16" t="str">
        <x:v>Row 5 Column 2.</x:v>
      </x:c>
      <x:c r="I59" s="16" t="str">
        <x:v>Row 7 Column 2.</x:v>
      </x:c>
      <x:c r="J59" s="17" t="str"/>
      <x:c r="K59" s="17" t="str"/>
      <x:c r="L59" s="16" t="str">
        <x:v>SRC-100</x:v>
      </x:c>
      <x:c r="M59" s="16" t="str">
        <x:f>IF(C59="待确认","待确认",IF(C59="需修改","需修改",IF(C59="保持独立","已确认",IF(OR(C59="同意合并",C59="使用模板",C59="提取短句"),IF(LEN(TRIM(D59))=0,"缺少标准文字","已确认"),"无效选择"))))</x:f>
        <x:v>待确认</x:v>
      </x:c>
    </x:row>
    <x:row r="60" ht="41" customHeight="1">
      <x:c r="A60" s="16" t="str">
        <x:v>MRG-0054</x:v>
      </x:c>
      <x:c r="B60" s="16" t="str">
        <x:v>Observation</x:v>
      </x:c>
      <x:c r="C60" s="17" t="str">
        <x:v>待确认</x:v>
      </x:c>
      <x:c r="D60" s="17" t="str"/>
      <x:c r="E60" s="16" t="str">
        <x:v>近似描述核对</x:v>
      </x:c>
      <x:c r="F60" s="16" t="str">
        <x:v>程度、范围、处理方法、条件或编号存在差异，建议保持独立；如仅编号不同可改为模板。 数值或章节引用需保留。</x:v>
      </x:c>
      <x:c r="G60" s="16" t="str">
        <x:v>OBS-0079, OBS-0541</x:v>
      </x:c>
      <x:c r="H60" s="16" t="str">
        <x:v>Row 6 Column 2.</x:v>
      </x:c>
      <x:c r="I60" s="16" t="str">
        <x:v>Row 5 Column 2.</x:v>
      </x:c>
      <x:c r="J60" s="17" t="str"/>
      <x:c r="K60" s="17" t="str"/>
      <x:c r="L60" s="16" t="str">
        <x:v>SRC-100</x:v>
      </x:c>
      <x:c r="M60" s="16" t="str">
        <x:f>IF(C60="待确认","待确认",IF(C60="需修改","需修改",IF(C60="保持独立","已确认",IF(OR(C60="同意合并",C60="使用模板",C60="提取短句"),IF(LEN(TRIM(D60))=0,"缺少标准文字","已确认"),"无效选择"))))</x:f>
        <x:v>待确认</x:v>
      </x:c>
    </x:row>
    <x:row r="61" ht="41" customHeight="1">
      <x:c r="A61" s="16" t="str">
        <x:v>MRG-0055</x:v>
      </x:c>
      <x:c r="B61" s="16" t="str">
        <x:v>Observation</x:v>
      </x:c>
      <x:c r="C61" s="17" t="str">
        <x:v>待确认</x:v>
      </x:c>
      <x:c r="D61" s="17" t="str"/>
      <x:c r="E61" s="16" t="str">
        <x:v>近似描述核对</x:v>
      </x:c>
      <x:c r="F61" s="16" t="str">
        <x:v>程度、范围、处理方法、条件或编号存在差异，建议保持独立；如仅编号不同可改为模板。 数值或章节引用需保留。</x:v>
      </x:c>
      <x:c r="G61" s="16" t="str">
        <x:v>OBS-0079, OBS-0543</x:v>
      </x:c>
      <x:c r="H61" s="16" t="str">
        <x:v>Row 6 Column 2.</x:v>
      </x:c>
      <x:c r="I61" s="16" t="str">
        <x:v>Row 7 Column 2.</x:v>
      </x:c>
      <x:c r="J61" s="17" t="str"/>
      <x:c r="K61" s="17" t="str"/>
      <x:c r="L61" s="16" t="str">
        <x:v>SRC-100</x:v>
      </x:c>
      <x:c r="M61" s="16" t="str">
        <x:f>IF(C61="待确认","待确认",IF(C61="需修改","需修改",IF(C61="保持独立","已确认",IF(OR(C61="同意合并",C61="使用模板",C61="提取短句"),IF(LEN(TRIM(D61))=0,"缺少标准文字","已确认"),"无效选择"))))</x:f>
        <x:v>待确认</x:v>
      </x:c>
    </x:row>
    <x:row r="62" ht="37" customHeight="1">
      <x:c r="A62" s="16" t="str">
        <x:v>MRG-0056</x:v>
      </x:c>
      <x:c r="B62" s="16" t="str">
        <x:v>Observation</x:v>
      </x:c>
      <x:c r="C62" s="17" t="str">
        <x:v>待确认</x:v>
      </x:c>
      <x:c r="D62" s="17" t="str">
        <x:v>Front verandah in good condition.</x:v>
      </x:c>
      <x:c r="E62" s="16" t="str">
        <x:v>近似描述核对</x:v>
      </x:c>
      <x:c r="F62" s="16" t="str">
        <x:v>措辞近似，需确认含义和适用范围是否一致。</x:v>
      </x:c>
      <x:c r="G62" s="16" t="str">
        <x:v>OBS-0013, OBS-0313</x:v>
      </x:c>
      <x:c r="H62" s="16" t="str">
        <x:v>Front verandah in good condition.</x:v>
      </x:c>
      <x:c r="I62" s="16" t="str">
        <x:v>Front yard verandah in good condition.</x:v>
      </x:c>
      <x:c r="J62" s="17" t="str"/>
      <x:c r="K62" s="17" t="str"/>
      <x:c r="L62" s="16" t="str">
        <x:v>SRC-002, SRC-011, SRC-024, SRC-026, SRC-052</x:v>
      </x:c>
      <x:c r="M62" s="16" t="str">
        <x:f>IF(C62="待确认","待确认",IF(C62="需修改","需修改",IF(C62="保持独立","已确认",IF(OR(C62="同意合并",C62="使用模板",C62="提取短句"),IF(LEN(TRIM(D62))=0,"缺少标准文字","已确认"),"无效选择"))))</x:f>
        <x:v>待确认</x:v>
      </x:c>
    </x:row>
    <x:row r="63" ht="37" customHeight="1">
      <x:c r="A63" s="16" t="str">
        <x:v>MRG-0057</x:v>
      </x:c>
      <x:c r="B63" s="16" t="str">
        <x:v>Observation</x:v>
      </x:c>
      <x:c r="C63" s="17" t="str">
        <x:v>待确认</x:v>
      </x:c>
      <x:c r="D63" s="17" t="str">
        <x:v>Front wall cladding in good condition</x:v>
      </x:c>
      <x:c r="E63" s="16" t="str">
        <x:v>近似描述核对</x:v>
      </x:c>
      <x:c r="F63" s="16" t="str">
        <x:v>措辞近似，需确认含义和适用范围是否一致。</x:v>
      </x:c>
      <x:c r="G63" s="16" t="str">
        <x:v>OBS-0025, OBS-0269</x:v>
      </x:c>
      <x:c r="H63" s="16" t="str">
        <x:v>Front wall cladding in good condition</x:v>
      </x:c>
      <x:c r="I63" s="16" t="str">
        <x:v>Front cladding in good condition.</x:v>
      </x:c>
      <x:c r="J63" s="17" t="str"/>
      <x:c r="K63" s="17" t="str"/>
      <x:c r="L63" s="16" t="str">
        <x:v>SRC-002, SRC-014, SRC-015, SRC-058</x:v>
      </x:c>
      <x:c r="M63" s="16" t="str">
        <x:f>IF(C63="待确认","待确认",IF(C63="需修改","需修改",IF(C63="保持独立","已确认",IF(OR(C63="同意合并",C63="使用模板",C63="提取短句"),IF(LEN(TRIM(D63))=0,"缺少标准文字","已确认"),"无效选择"))))</x:f>
        <x:v>待确认</x:v>
      </x:c>
    </x:row>
    <x:row r="64" ht="37" customHeight="1">
      <x:c r="A64" s="16" t="str">
        <x:v>MRG-0058</x:v>
      </x:c>
      <x:c r="B64" s="16" t="str">
        <x:v>Observation</x:v>
      </x:c>
      <x:c r="C64" s="17" t="str">
        <x:v>待确认</x:v>
      </x:c>
      <x:c r="D64" s="17" t="str">
        <x:v>Left hand side staircase. Minor cracking at joint.</x:v>
      </x:c>
      <x:c r="E64" s="16" t="str">
        <x:v>近似描述核对</x:v>
      </x:c>
      <x:c r="F64" s="16" t="str">
        <x:v>措辞近似，需确认含义和适用范围是否一致。</x:v>
      </x:c>
      <x:c r="G64" s="16" t="str">
        <x:v>OBS-0360, OBS-0509</x:v>
      </x:c>
      <x:c r="H64" s="16" t="str">
        <x:v>Left hand side staircase. Minor cracking at joint.</x:v>
      </x:c>
      <x:c r="I64" s="16" t="str">
        <x:v>Right hand side staircase. Minor cracking at joint.</x:v>
      </x:c>
      <x:c r="J64" s="17" t="str"/>
      <x:c r="K64" s="17" t="str"/>
      <x:c r="L64" s="16" t="str">
        <x:v>SRC-096</x:v>
      </x:c>
      <x:c r="M64" s="16" t="str">
        <x:f>IF(C64="待确认","待确认",IF(C64="需修改","需修改",IF(C64="保持独立","已确认",IF(OR(C64="同意合并",C64="使用模板",C64="提取短句"),IF(LEN(TRIM(D64))=0,"缺少标准文字","已确认"),"无效选择"))))</x:f>
        <x:v>待确认</x:v>
      </x:c>
    </x:row>
    <x:row r="65" ht="37" customHeight="1">
      <x:c r="A65" s="16" t="str">
        <x:v>MRG-0059</x:v>
      </x:c>
      <x:c r="B65" s="16" t="str">
        <x:v>Observation</x:v>
      </x:c>
      <x:c r="C65" s="17" t="str">
        <x:v>待确认</x:v>
      </x:c>
      <x:c r="D65" s="17" t="str">
        <x:v>Carport verandah columns in good condition.</x:v>
      </x:c>
      <x:c r="E65" s="16" t="str">
        <x:v>近似描述核对</x:v>
      </x:c>
      <x:c r="F65" s="16" t="str">
        <x:v>措辞近似，需确认含义和适用范围是否一致。</x:v>
      </x:c>
      <x:c r="G65" s="16" t="str">
        <x:v>OBS-0012, OBS-0299</x:v>
      </x:c>
      <x:c r="H65" s="16" t="str">
        <x:v>Carport verandah columns in good condition.</x:v>
      </x:c>
      <x:c r="I65" s="16" t="str">
        <x:v>Front verandah. Columns in good condition.</x:v>
      </x:c>
      <x:c r="J65" s="17" t="str"/>
      <x:c r="K65" s="17" t="str"/>
      <x:c r="L65" s="16" t="str">
        <x:v>SRC-025, SRC-053</x:v>
      </x:c>
      <x:c r="M65" s="16" t="str">
        <x:f>IF(C65="待确认","待确认",IF(C65="需修改","需修改",IF(C65="保持独立","已确认",IF(OR(C65="同意合并",C65="使用模板",C65="提取短句"),IF(LEN(TRIM(D65))=0,"缺少标准文字","已确认"),"无效选择"))))</x:f>
        <x:v>待确认</x:v>
      </x:c>
    </x:row>
    <x:row r="66" ht="37" customHeight="1">
      <x:c r="A66" s="16" t="str">
        <x:v>MRG-0060</x:v>
      </x:c>
      <x:c r="B66" s="16" t="str">
        <x:v>Observation</x:v>
      </x:c>
      <x:c r="C66" s="17" t="str">
        <x:v>待确认</x:v>
      </x:c>
      <x:c r="D66" s="17" t="str">
        <x:v>Back cladding in good condition.</x:v>
      </x:c>
      <x:c r="E66" s="16" t="str">
        <x:v>近似描述核对</x:v>
      </x:c>
      <x:c r="F66" s="16" t="str">
        <x:v>措辞近似，需确认含义和适用范围是否一致。</x:v>
      </x:c>
      <x:c r="G66" s="16" t="str">
        <x:v>OBS-0099, OBS-0122</x:v>
      </x:c>
      <x:c r="H66" s="16" t="str">
        <x:v>Back cladding in good condition.</x:v>
      </x:c>
      <x:c r="I66" s="16" t="str">
        <x:v>Back wall cladding in good condition</x:v>
      </x:c>
      <x:c r="J66" s="17" t="str"/>
      <x:c r="K66" s="17" t="str"/>
      <x:c r="L66" s="16" t="str">
        <x:v>SRC-002, SRC-015</x:v>
      </x:c>
      <x:c r="M66" s="16" t="str">
        <x:f>IF(C66="待确认","待确认",IF(C66="需修改","需修改",IF(C66="保持独立","已确认",IF(OR(C66="同意合并",C66="使用模板",C66="提取短句"),IF(LEN(TRIM(D66))=0,"缺少标准文字","已确认"),"无效选择"))))</x:f>
        <x:v>待确认</x:v>
      </x:c>
    </x:row>
    <x:row r="67" ht="41" customHeight="1">
      <x:c r="A67" s="16" t="str">
        <x:v>MRG-0061</x:v>
      </x:c>
      <x:c r="B67" s="16" t="str">
        <x:v>Observation</x:v>
      </x:c>
      <x:c r="C67" s="17" t="str">
        <x:v>待确认</x:v>
      </x:c>
      <x:c r="D67" s="17" t="str"/>
      <x:c r="E67" s="16" t="str">
        <x:v>近似描述核对</x:v>
      </x:c>
      <x:c r="F67" s="16" t="str">
        <x:v>程度、范围、处理方法、条件或编号存在差异，建议保持独立；如仅编号不同可改为模板。</x:v>
      </x:c>
      <x:c r="G67" s="16" t="str">
        <x:v>OBS-0048, OBS-0264</x:v>
      </x:c>
      <x:c r="H67" s="16" t="str">
        <x:v>Fencing posts on left hand side of property facing the front entrance. Bitumen paint deterioration and corrosion.</x:v>
      </x:c>
      <x:c r="I67" s="16" t="str">
        <x:v>Fencing posts on left hand side of property facing the front entrance. Bitumen paint deterioration and minor corrosion on post cap.</x:v>
      </x:c>
      <x:c r="J67" s="17" t="str"/>
      <x:c r="K67" s="17" t="str"/>
      <x:c r="L67" s="16" t="str">
        <x:v>SRC-025, SRC-059</x:v>
      </x:c>
      <x:c r="M67" s="16" t="str">
        <x:f>IF(C67="待确认","待确认",IF(C67="需修改","需修改",IF(C67="保持独立","已确认",IF(OR(C67="同意合并",C67="使用模板",C67="提取短句"),IF(LEN(TRIM(D67))=0,"缺少标准文字","已确认"),"无效选择"))))</x:f>
        <x:v>待确认</x:v>
      </x:c>
    </x:row>
    <x:row r="68" ht="41" customHeight="1">
      <x:c r="A68" s="16" t="str">
        <x:v>MRG-0062</x:v>
      </x:c>
      <x:c r="B68" s="16" t="str">
        <x:v>Observation</x:v>
      </x:c>
      <x:c r="C68" s="17" t="str">
        <x:v>待确认</x:v>
      </x:c>
      <x:c r="D68" s="17" t="str">
        <x:v>Adjacent to front door. Minor corrosion at corner of window, typical to most windows. Staining on wall cladding at bolted connection.</x:v>
      </x:c>
      <x:c r="E68" s="16" t="str">
        <x:v>近似描述核对</x:v>
      </x:c>
      <x:c r="F68" s="16" t="str">
        <x:v>措辞近似，需确认含义和适用范围是否一致。</x:v>
      </x:c>
      <x:c r="G68" s="16" t="str">
        <x:v>OBS-0091, OBS-0162</x:v>
      </x:c>
      <x:c r="H68" s="16" t="str">
        <x:v>Adjacent to front door. Minor corrosion at corner of window, typical to most windows. Staining on wall cladding at bolted connection.</x:v>
      </x:c>
      <x:c r="I68" s="16" t="str">
        <x:v>Carport front window. Minor corrosion at corner of window, typical to most windows. Staining on wall cladding at bolted connection.</x:v>
      </x:c>
      <x:c r="J68" s="17" t="str"/>
      <x:c r="K68" s="17" t="str"/>
      <x:c r="L68" s="16" t="str">
        <x:v>SRC-023</x:v>
      </x:c>
      <x:c r="M68" s="16" t="str">
        <x:f>IF(C68="待确认","待确认",IF(C68="需修改","需修改",IF(C68="保持独立","已确认",IF(OR(C68="同意合并",C68="使用模板",C68="提取短句"),IF(LEN(TRIM(D68))=0,"缺少标准文字","已确认"),"无效选择"))))</x:f>
        <x:v>待确认</x:v>
      </x:c>
    </x:row>
    <x:row r="69" ht="41" customHeight="1">
      <x:c r="A69" s="16" t="str">
        <x:v>MRG-0063</x:v>
      </x:c>
      <x:c r="B69" s="16" t="str">
        <x:v>Observation</x:v>
      </x:c>
      <x:c r="C69" s="17" t="str">
        <x:v>待确认</x:v>
      </x:c>
      <x:c r="D69" s="17" t="str"/>
      <x:c r="E69" s="16" t="str">
        <x:v>近似描述核对</x:v>
      </x:c>
      <x:c r="F69" s="16" t="str">
        <x:v>程度、范围、处理方法、条件或编号存在差异，建议保持独立；如仅编号不同可改为模板。</x:v>
      </x:c>
      <x:c r="G69" s="16" t="str">
        <x:v>OBS-0335, OBS-0338</x:v>
      </x:c>
      <x:c r="H69" s="16" t="str">
        <x:v>Left hand side back corner facing front of the house. Corrosion of Tek screws.</x:v>
      </x:c>
      <x:c r="I69" s="16" t="str">
        <x:v>Left hand side corner facing front of the house. Severe corrosion of Tek screws.</x:v>
      </x:c>
      <x:c r="J69" s="17" t="str"/>
      <x:c r="K69" s="17" t="str"/>
      <x:c r="L69" s="16" t="str">
        <x:v>SRC-014</x:v>
      </x:c>
      <x:c r="M69" s="16" t="str">
        <x:f>IF(C69="待确认","待确认",IF(C69="需修改","需修改",IF(C69="保持独立","已确认",IF(OR(C69="同意合并",C69="使用模板",C69="提取短句"),IF(LEN(TRIM(D69))=0,"缺少标准文字","已确认"),"无效选择"))))</x:f>
        <x:v>待确认</x:v>
      </x:c>
    </x:row>
    <x:row r="70" ht="37" customHeight="1">
      <x:c r="A70" s="16" t="str">
        <x:v>MRG-0064</x:v>
      </x:c>
      <x:c r="B70" s="16" t="str">
        <x:v>Observation</x:v>
      </x:c>
      <x:c r="C70" s="17" t="str">
        <x:v>待确认</x:v>
      </x:c>
      <x:c r="D70" s="17" t="str">
        <x:v>Front wall cladding in good condition</x:v>
      </x:c>
      <x:c r="E70" s="16" t="str">
        <x:v>近似描述核对</x:v>
      </x:c>
      <x:c r="F70" s="16" t="str">
        <x:v>措辞近似，需确认含义和适用范围是否一致。</x:v>
      </x:c>
      <x:c r="G70" s="16" t="str">
        <x:v>OBS-0025, OBS-0038</x:v>
      </x:c>
      <x:c r="H70" s="16" t="str">
        <x:v>Front wall cladding in good condition</x:v>
      </x:c>
      <x:c r="I70" s="16" t="str">
        <x:v>Carport wall cladding in good condition.</x:v>
      </x:c>
      <x:c r="J70" s="17" t="str"/>
      <x:c r="K70" s="17" t="str"/>
      <x:c r="L70" s="16" t="str">
        <x:v>SRC-014, SRC-015, SRC-026, SRC-052, SRC-058</x:v>
      </x:c>
      <x:c r="M70" s="16" t="str">
        <x:f>IF(C70="待确认","待确认",IF(C70="需修改","需修改",IF(C70="保持独立","已确认",IF(OR(C70="同意合并",C70="使用模板",C70="提取短句"),IF(LEN(TRIM(D70))=0,"缺少标准文字","已确认"),"无效选择"))))</x:f>
        <x:v>待确认</x:v>
      </x:c>
    </x:row>
    <x:row r="71" ht="37" customHeight="1">
      <x:c r="A71" s="16" t="str">
        <x:v>MRG-0065</x:v>
      </x:c>
      <x:c r="B71" s="16" t="str">
        <x:v>Observation</x:v>
      </x:c>
      <x:c r="C71" s="17" t="str">
        <x:v>待确认</x:v>
      </x:c>
      <x:c r="D71" s="17" t="str">
        <x:v>Left hand side columns facing front of house.</x:v>
      </x:c>
      <x:c r="E71" s="16" t="str">
        <x:v>近似描述核对</x:v>
      </x:c>
      <x:c r="F71" s="16" t="str">
        <x:v>措辞近似，需确认含义和适用范围是否一致。</x:v>
      </x:c>
      <x:c r="G71" s="16" t="str">
        <x:v>OBS-0055, OBS-0478</x:v>
      </x:c>
      <x:c r="H71" s="16" t="str">
        <x:v>Left hand side columns facing front of house.</x:v>
      </x:c>
      <x:c r="I71" s="16" t="str">
        <x:v>Right hand side columns facing front of house.</x:v>
      </x:c>
      <x:c r="J71" s="17" t="str"/>
      <x:c r="K71" s="17" t="str"/>
      <x:c r="L71" s="16" t="str">
        <x:v>SRC-009, SRC-055</x:v>
      </x:c>
      <x:c r="M71" s="16" t="str">
        <x:f>IF(C71="待确认","待确认",IF(C71="需修改","需修改",IF(C71="保持独立","已确认",IF(OR(C71="同意合并",C71="使用模板",C71="提取短句"),IF(LEN(TRIM(D71))=0,"缺少标准文字","已确认"),"无效选择"))))</x:f>
        <x:v>待确认</x:v>
      </x:c>
    </x:row>
    <x:row r="72" ht="37" customHeight="1">
      <x:c r="A72" s="16" t="str">
        <x:v>MRG-0066</x:v>
      </x:c>
      <x:c r="B72" s="16" t="str">
        <x:v>Observation</x:v>
      </x:c>
      <x:c r="C72" s="17" t="str">
        <x:v>待确认</x:v>
      </x:c>
      <x:c r="D72" s="17" t="str">
        <x:v>Minor corrosion of verandah columns.</x:v>
      </x:c>
      <x:c r="E72" s="16" t="str">
        <x:v>近似描述核对</x:v>
      </x:c>
      <x:c r="F72" s="16" t="str">
        <x:v>措辞近似，需确认含义和适用范围是否一致。</x:v>
      </x:c>
      <x:c r="G72" s="16" t="str">
        <x:v>OBS-0026, OBS-0389</x:v>
      </x:c>
      <x:c r="H72" s="16" t="str">
        <x:v>Minor corrosion of verandah columns.</x:v>
      </x:c>
      <x:c r="I72" s="16" t="str">
        <x:v>Minor corrosion of front verandah columns.</x:v>
      </x:c>
      <x:c r="J72" s="17" t="str"/>
      <x:c r="K72" s="17" t="str"/>
      <x:c r="L72" s="16" t="str">
        <x:v>SRC-027, SRC-057</x:v>
      </x:c>
      <x:c r="M72" s="16" t="str">
        <x:f>IF(C72="待确认","待确认",IF(C72="需修改","需修改",IF(C72="保持独立","已确认",IF(OR(C72="同意合并",C72="使用模板",C72="提取短句"),IF(LEN(TRIM(D72))=0,"缺少标准文字","已确认"),"无效选择"))))</x:f>
        <x:v>待确认</x:v>
      </x:c>
    </x:row>
    <x:row r="73" ht="37" customHeight="1">
      <x:c r="A73" s="16" t="str">
        <x:v>MRG-0067</x:v>
      </x:c>
      <x:c r="B73" s="16" t="str">
        <x:v>Observation</x:v>
      </x:c>
      <x:c r="C73" s="17" t="str">
        <x:v>待确认</x:v>
      </x:c>
      <x:c r="D73" s="17" t="str">
        <x:v>Minor corrosion towards lower section of column.</x:v>
      </x:c>
      <x:c r="E73" s="16" t="str">
        <x:v>近似描述核对</x:v>
      </x:c>
      <x:c r="F73" s="16" t="str">
        <x:v>措辞近似，需确认含义和适用范围是否一致。</x:v>
      </x:c>
      <x:c r="G73" s="16" t="str">
        <x:v>OBS-0067, OBS-0384</x:v>
      </x:c>
      <x:c r="H73" s="16" t="str">
        <x:v>Minor corrosion towards lower section of column.</x:v>
      </x:c>
      <x:c r="I73" s="16" t="str">
        <x:v>Minor corrosion at lower section of column.</x:v>
      </x:c>
      <x:c r="J73" s="17" t="str"/>
      <x:c r="K73" s="17" t="str"/>
      <x:c r="L73" s="16" t="str">
        <x:v>SRC-063, SRC-100</x:v>
      </x:c>
      <x:c r="M73" s="16" t="str">
        <x:f>IF(C73="待确认","待确认",IF(C73="需修改","需修改",IF(C73="保持独立","已确认",IF(OR(C73="同意合并",C73="使用模板",C73="提取短句"),IF(LEN(TRIM(D73))=0,"缺少标准文字","已确认"),"无效选择"))))</x:f>
        <x:v>待确认</x:v>
      </x:c>
    </x:row>
    <x:row r="74" ht="37" customHeight="1">
      <x:c r="A74" s="16" t="str">
        <x:v>MRG-0068</x:v>
      </x:c>
      <x:c r="B74" s="16" t="str">
        <x:v>Observation</x:v>
      </x:c>
      <x:c r="C74" s="17" t="str">
        <x:v>待确认</x:v>
      </x:c>
      <x:c r="D74" s="17" t="str">
        <x:v>Carport front window. Salt staining and minor corrosion.</x:v>
      </x:c>
      <x:c r="E74" s="16" t="str">
        <x:v>近似描述核对</x:v>
      </x:c>
      <x:c r="F74" s="16" t="str">
        <x:v>措辞近似，需确认含义和适用范围是否一致。</x:v>
      </x:c>
      <x:c r="G74" s="16" t="str">
        <x:v>OBS-0036, OBS-0311</x:v>
      </x:c>
      <x:c r="H74" s="16" t="str">
        <x:v>Carport front window. Salt staining and minor corrosion.</x:v>
      </x:c>
      <x:c r="I74" s="16" t="str">
        <x:v>Front window. Salt staining and minor corrosion.</x:v>
      </x:c>
      <x:c r="J74" s="17" t="str"/>
      <x:c r="K74" s="17" t="str"/>
      <x:c r="L74" s="16" t="str">
        <x:v>SRC-009, SRC-055, SRC-059</x:v>
      </x:c>
      <x:c r="M74" s="16" t="str">
        <x:f>IF(C74="待确认","待确认",IF(C74="需修改","需修改",IF(C74="保持独立","已确认",IF(OR(C74="同意合并",C74="使用模板",C74="提取短句"),IF(LEN(TRIM(D74))=0,"缺少标准文字","已确认"),"无效选择"))))</x:f>
        <x:v>待确认</x:v>
      </x:c>
    </x:row>
    <x:row r="75" ht="41" customHeight="1">
      <x:c r="A75" s="16" t="str">
        <x:v>MRG-0069</x:v>
      </x:c>
      <x:c r="B75" s="16" t="str">
        <x:v>Observation</x:v>
      </x:c>
      <x:c r="C75" s="17" t="str">
        <x:v>待确认</x:v>
      </x:c>
      <x:c r="D75" s="17" t="str">
        <x:v>Front of property. Cladding and framing in good condition.</x:v>
      </x:c>
      <x:c r="E75" s="16" t="str">
        <x:v>近似描述核对</x:v>
      </x:c>
      <x:c r="F75" s="16" t="str">
        <x:v>措辞近似，需确认含义和适用范围是否一致。</x:v>
      </x:c>
      <x:c r="G75" s="16" t="str">
        <x:v>OBS-0004, OBS-0011</x:v>
      </x:c>
      <x:c r="H75" s="16" t="str">
        <x:v>Front of property. Cladding and framing in good condition.</x:v>
      </x:c>
      <x:c r="I75" s="16" t="str">
        <x:v>Back of property. Cladding and framing in good condition.</x:v>
      </x:c>
      <x:c r="J75" s="17" t="str"/>
      <x:c r="K75" s="17" t="str"/>
      <x:c r="L75" s="16" t="str">
        <x:v>SRC-001, SRC-003, SRC-004, SRC-011, SRC-024, SRC-026, SRC-052, SRC-056</x:v>
      </x:c>
      <x:c r="M75" s="16" t="str">
        <x:f>IF(C75="待确认","待确认",IF(C75="需修改","需修改",IF(C75="保持独立","已确认",IF(OR(C75="同意合并",C75="使用模板",C75="提取短句"),IF(LEN(TRIM(D75))=0,"缺少标准文字","已确认"),"无效选择"))))</x:f>
        <x:v>待确认</x:v>
      </x:c>
    </x:row>
    <x:row r="76" ht="41" customHeight="1">
      <x:c r="A76" s="16" t="str">
        <x:v>MRG-0070</x:v>
      </x:c>
      <x:c r="B76" s="16" t="str">
        <x:v>Observation</x:v>
      </x:c>
      <x:c r="C76" s="17" t="str">
        <x:v>待确认</x:v>
      </x:c>
      <x:c r="D76" s="17" t="str"/>
      <x:c r="E76" s="16" t="str">
        <x:v>近似描述核对</x:v>
      </x:c>
      <x:c r="F76" s="16" t="str">
        <x:v>程度、范围、处理方法、条件或编号存在差异，建议保持独立；如仅编号不同可改为模板。</x:v>
      </x:c>
      <x:c r="G76" s="16" t="str">
        <x:v>OBS-0093, OBS-0099</x:v>
      </x:c>
      <x:c r="H76" s="16" t="str">
        <x:v>All cladding in good condition.</x:v>
      </x:c>
      <x:c r="I76" s="16" t="str">
        <x:v>Back cladding in good condition.</x:v>
      </x:c>
      <x:c r="J76" s="17" t="str"/>
      <x:c r="K76" s="17" t="str"/>
      <x:c r="L76" s="16" t="str">
        <x:v>SRC-002, SRC-061</x:v>
      </x:c>
      <x:c r="M76" s="16" t="str">
        <x:f>IF(C76="待确认","待确认",IF(C76="需修改","需修改",IF(C76="保持独立","已确认",IF(OR(C76="同意合并",C76="使用模板",C76="提取短句"),IF(LEN(TRIM(D76))=0,"缺少标准文字","已确认"),"无效选择"))))</x:f>
        <x:v>待确认</x:v>
      </x:c>
    </x:row>
    <x:row r="77" ht="41" customHeight="1">
      <x:c r="A77" s="16" t="str">
        <x:v>MRG-0071</x:v>
      </x:c>
      <x:c r="B77" s="16" t="str">
        <x:v>Observation</x:v>
      </x:c>
      <x:c r="C77" s="17" t="str">
        <x:v>待确认</x:v>
      </x:c>
      <x:c r="D77" s="17" t="str"/>
      <x:c r="E77" s="16" t="str">
        <x:v>近似描述核对</x:v>
      </x:c>
      <x:c r="F77" s="16" t="str">
        <x:v>程度、范围、处理方法、条件或编号存在差异，建议保持独立；如仅编号不同可改为模板。</x:v>
      </x:c>
      <x:c r="G77" s="16" t="str">
        <x:v>OBS-0222, OBS-0379</x:v>
      </x:c>
      <x:c r="H77" s="16" t="str">
        <x:v>Corrosion and paint deterioration.</x:v>
      </x:c>
      <x:c r="I77" s="16" t="str">
        <x:v>Minor corrosion and paint deterioration.</x:v>
      </x:c>
      <x:c r="J77" s="17" t="str"/>
      <x:c r="K77" s="17" t="str"/>
      <x:c r="L77" s="16" t="str">
        <x:v>SRC-063, SRC-092</x:v>
      </x:c>
      <x:c r="M77" s="16" t="str">
        <x:f>IF(C77="待确认","待确认",IF(C77="需修改","需修改",IF(C77="保持独立","已确认",IF(OR(C77="同意合并",C77="使用模板",C77="提取短句"),IF(LEN(TRIM(D77))=0,"缺少标准文字","已确认"),"无效选择"))))</x:f>
        <x:v>待确认</x:v>
      </x:c>
    </x:row>
    <x:row r="78" ht="41" customHeight="1">
      <x:c r="A78" s="16" t="str">
        <x:v>MRG-0072</x:v>
      </x:c>
      <x:c r="B78" s="16" t="str">
        <x:v>Observation</x:v>
      </x:c>
      <x:c r="C78" s="17" t="str">
        <x:v>待确认</x:v>
      </x:c>
      <x:c r="D78" s="17" t="str">
        <x:v>Carport front window. Minor corrosion at corner of window, typical to most windows. Salt staining on wall cladding at bolted connection.</x:v>
      </x:c>
      <x:c r="E78" s="16" t="str">
        <x:v>近似描述核对</x:v>
      </x:c>
      <x:c r="F78" s="16" t="str">
        <x:v>措辞近似，需确认含义和适用范围是否一致。</x:v>
      </x:c>
      <x:c r="G78" s="16" t="str">
        <x:v>OBS-0161, OBS-0383</x:v>
      </x:c>
      <x:c r="H78" s="16" t="str">
        <x:v>Carport front window. Minor corrosion at corner of window, typical to most windows. Salt staining on wall cladding at bolted connection.</x:v>
      </x:c>
      <x:c r="I78" s="16" t="str">
        <x:v>Minor corrosion at corner of window, typical to most windows. Salt staining on wall cladding at bolted connection.</x:v>
      </x:c>
      <x:c r="J78" s="17" t="str"/>
      <x:c r="K78" s="17" t="str"/>
      <x:c r="L78" s="16" t="str">
        <x:v>SRC-025, SRC-027</x:v>
      </x:c>
      <x:c r="M78" s="16" t="str">
        <x:f>IF(C78="待确认","待确认",IF(C78="需修改","需修改",IF(C78="保持独立","已确认",IF(OR(C78="同意合并",C78="使用模板",C78="提取短句"),IF(LEN(TRIM(D78))=0,"缺少标准文字","已确认"),"无效选择"))))</x:f>
        <x:v>待确认</x:v>
      </x:c>
    </x:row>
    <x:row r="79" ht="41" customHeight="1">
      <x:c r="A79" s="16" t="str">
        <x:v>MRG-0073</x:v>
      </x:c>
      <x:c r="B79" s="16" t="str">
        <x:v>Observation</x:v>
      </x:c>
      <x:c r="C79" s="17" t="str">
        <x:v>待确认</x:v>
      </x:c>
      <x:c r="D79" s="17" t="str">
        <x:v>Right hand side roof overhang facing front entrance. Paint deterioration and salt staining on purlins and rafters.</x:v>
      </x:c>
      <x:c r="E79" s="16" t="str">
        <x:v>近似描述核对</x:v>
      </x:c>
      <x:c r="F79" s="16" t="str">
        <x:v>措辞近似，需确认含义和适用范围是否一致。</x:v>
      </x:c>
      <x:c r="G79" s="16" t="str">
        <x:v>OBS-0507, OBS-0508</x:v>
      </x:c>
      <x:c r="H79" s="16" t="str">
        <x:v>Right hand side roof overhang facing front entrance. Paint deterioration and salt staining on purlins and rafters.</x:v>
      </x:c>
      <x:c r="I79" s="16" t="str">
        <x:v>Right hand side roof overhang facing front entrance. Paint deterioration on purlins and rafters.</x:v>
      </x:c>
      <x:c r="J79" s="17" t="str"/>
      <x:c r="K79" s="17" t="str"/>
      <x:c r="L79" s="16" t="str">
        <x:v>SRC-009</x:v>
      </x:c>
      <x:c r="M79" s="16" t="str">
        <x:f>IF(C79="待确认","待确认",IF(C79="需修改","需修改",IF(C79="保持独立","已确认",IF(OR(C79="同意合并",C79="使用模板",C79="提取短句"),IF(LEN(TRIM(D79))=0,"缺少标准文字","已确认"),"无效选择"))))</x:f>
        <x:v>待确认</x:v>
      </x:c>
    </x:row>
    <x:row r="80" ht="41" customHeight="1">
      <x:c r="A80" s="16" t="str">
        <x:v>MRG-0074</x:v>
      </x:c>
      <x:c r="B80" s="16" t="str">
        <x:v>Observation</x:v>
      </x:c>
      <x:c r="C80" s="17" t="str">
        <x:v>待确认</x:v>
      </x:c>
      <x:c r="D80" s="17" t="str">
        <x:v>Front roof overhang has salt minor corrosion on purlins and rafters.</x:v>
      </x:c>
      <x:c r="E80" s="16" t="str">
        <x:v>近似描述核对</x:v>
      </x:c>
      <x:c r="F80" s="16" t="str">
        <x:v>措辞近似，需确认含义和适用范围是否一致。</x:v>
      </x:c>
      <x:c r="G80" s="16" t="str">
        <x:v>OBS-0284, OBS-0285</x:v>
      </x:c>
      <x:c r="H80" s="16" t="str">
        <x:v>Front roof overhang has salt minor corrosion on purlins and rafters.</x:v>
      </x:c>
      <x:c r="I80" s="16" t="str">
        <x:v>Front roof overhang has salt staining and minor corrosion on purlins and rafters.</x:v>
      </x:c>
      <x:c r="J80" s="17" t="str"/>
      <x:c r="K80" s="17" t="str"/>
      <x:c r="L80" s="16" t="str">
        <x:v>SRC-058, SRC-061</x:v>
      </x:c>
      <x:c r="M80" s="16" t="str">
        <x:f>IF(C80="待确认","待确认",IF(C80="需修改","需修改",IF(C80="保持独立","已确认",IF(OR(C80="同意合并",C80="使用模板",C80="提取短句"),IF(LEN(TRIM(D80))=0,"缺少标准文字","已确认"),"无效选择"))))</x:f>
        <x:v>待确认</x:v>
      </x:c>
    </x:row>
    <x:row r="81" ht="41" customHeight="1">
      <x:c r="A81" s="16" t="str">
        <x:v>MRG-0075</x:v>
      </x:c>
      <x:c r="B81" s="16" t="str">
        <x:v>Observation</x:v>
      </x:c>
      <x:c r="C81" s="17" t="str">
        <x:v>待确认</x:v>
      </x:c>
      <x:c r="D81" s="17" t="str"/>
      <x:c r="E81" s="16" t="str">
        <x:v>近似描述核对</x:v>
      </x:c>
      <x:c r="F81" s="16" t="str">
        <x:v>程度、范围、处理方法、条件或编号存在差异，建议保持独立；如仅编号不同可改为模板。 数值或章节引用需保留。</x:v>
      </x:c>
      <x:c r="G81" s="16" t="str">
        <x:v>OBS-0189, OBS-0199</x:v>
      </x:c>
      <x:c r="H81" s="16" t="str">
        <x:v>Column 1 strut. Paint deterioration and corrosion.</x:v>
      </x:c>
      <x:c r="I81" s="16" t="str">
        <x:v>Column 3. Paint deterioration and corrosion.</x:v>
      </x:c>
      <x:c r="J81" s="17" t="str"/>
      <x:c r="K81" s="17" t="str"/>
      <x:c r="L81" s="16" t="str">
        <x:v>SRC-092</x:v>
      </x:c>
      <x:c r="M81" s="16" t="str">
        <x:f>IF(C81="待确认","待确认",IF(C81="需修改","需修改",IF(C81="保持独立","已确认",IF(OR(C81="同意合并",C81="使用模板",C81="提取短句"),IF(LEN(TRIM(D81))=0,"缺少标准文字","已确认"),"无效选择"))))</x:f>
        <x:v>待确认</x:v>
      </x:c>
    </x:row>
    <x:row r="82" ht="41" customHeight="1">
      <x:c r="A82" s="16" t="str">
        <x:v>MRG-0076</x:v>
      </x:c>
      <x:c r="B82" s="16" t="str">
        <x:v>Observation</x:v>
      </x:c>
      <x:c r="C82" s="17" t="str">
        <x:v>待确认</x:v>
      </x:c>
      <x:c r="D82" s="17" t="str">
        <x:v>Front verandah. Rafters have minor corrosion. Most significant corrosion towards end of rafter.</x:v>
      </x:c>
      <x:c r="E82" s="16" t="str">
        <x:v>近似描述核对</x:v>
      </x:c>
      <x:c r="F82" s="16" t="str">
        <x:v>措辞近似，需确认含义和适用范围是否一致。</x:v>
      </x:c>
      <x:c r="G82" s="16" t="str">
        <x:v>OBS-0308, OBS-0345</x:v>
      </x:c>
      <x:c r="H82" s="16" t="str">
        <x:v>Front verandah. Rafters have minor corrosion. Most significant corrosion towards end of rafter.</x:v>
      </x:c>
      <x:c r="I82" s="16" t="str">
        <x:v>Left hand side of front verandah. Rafters have minor corrosion. Most significant corrosion towards end of rafter.</x:v>
      </x:c>
      <x:c r="J82" s="17" t="str"/>
      <x:c r="K82" s="17" t="str"/>
      <x:c r="L82" s="16" t="str">
        <x:v>SRC-014</x:v>
      </x:c>
      <x:c r="M82" s="16" t="str">
        <x:f>IF(C82="待确认","待确认",IF(C82="需修改","需修改",IF(C82="保持独立","已确认",IF(OR(C82="同意合并",C82="使用模板",C82="提取短句"),IF(LEN(TRIM(D82))=0,"缺少标准文字","已确认"),"无效选择"))))</x:f>
        <x:v>待确认</x:v>
      </x:c>
    </x:row>
    <x:row r="83" ht="41" customHeight="1">
      <x:c r="A83" s="16" t="str">
        <x:v>MRG-0077</x:v>
      </x:c>
      <x:c r="B83" s="16" t="str">
        <x:v>Observation</x:v>
      </x:c>
      <x:c r="C83" s="17" t="str">
        <x:v>待确认</x:v>
      </x:c>
      <x:c r="D83" s="17" t="str"/>
      <x:c r="E83" s="16" t="str">
        <x:v>近似描述核对</x:v>
      </x:c>
      <x:c r="F83" s="16" t="str">
        <x:v>程度、范围、处理方法、条件或编号存在差异，建议保持独立；如仅编号不同可改为模板。</x:v>
      </x:c>
      <x:c r="G83" s="16" t="str">
        <x:v>OBS-0093, OBS-0122</x:v>
      </x:c>
      <x:c r="H83" s="16" t="str">
        <x:v>All cladding in good condition.</x:v>
      </x:c>
      <x:c r="I83" s="16" t="str">
        <x:v>Back wall cladding in good condition</x:v>
      </x:c>
      <x:c r="J83" s="17" t="str"/>
      <x:c r="K83" s="17" t="str"/>
      <x:c r="L83" s="16" t="str">
        <x:v>SRC-015, SRC-061</x:v>
      </x:c>
      <x:c r="M83" s="16" t="str">
        <x:f>IF(C83="待确认","待确认",IF(C83="需修改","需修改",IF(C83="保持独立","已确认",IF(OR(C83="同意合并",C83="使用模板",C83="提取短句"),IF(LEN(TRIM(D83))=0,"缺少标准文字","已确认"),"无效选择"))))</x:f>
        <x:v>待确认</x:v>
      </x:c>
    </x:row>
    <x:row r="84" ht="41" customHeight="1">
      <x:c r="A84" s="16" t="str">
        <x:v>MRG-0078</x:v>
      </x:c>
      <x:c r="B84" s="16" t="str">
        <x:v>Observation</x:v>
      </x:c>
      <x:c r="C84" s="17" t="str">
        <x:v>待确认</x:v>
      </x:c>
      <x:c r="D84" s="17" t="str">
        <x:v>Carport verandah in good condition.</x:v>
      </x:c>
      <x:c r="E84" s="16" t="str">
        <x:v>近似描述核对</x:v>
      </x:c>
      <x:c r="F84" s="16" t="str">
        <x:v>措辞近似，需确认含义和适用范围是否一致。</x:v>
      </x:c>
      <x:c r="G84" s="16" t="str">
        <x:v>OBS-0003, OBS-0013</x:v>
      </x:c>
      <x:c r="H84" s="16" t="str">
        <x:v>Carport verandah in good condition.</x:v>
      </x:c>
      <x:c r="I84" s="16" t="str">
        <x:v>Front verandah in good condition.</x:v>
      </x:c>
      <x:c r="J84" s="17" t="str"/>
      <x:c r="K84" s="17" t="str"/>
      <x:c r="L84" s="16" t="str">
        <x:v>SRC-002, SRC-011, SRC-024, SRC-026, SRC-052, SRC-060, SRC-062</x:v>
      </x:c>
      <x:c r="M84" s="16" t="str">
        <x:f>IF(C84="待确认","待确认",IF(C84="需修改","需修改",IF(C84="保持独立","已确认",IF(OR(C84="同意合并",C84="使用模板",C84="提取短句"),IF(LEN(TRIM(D84))=0,"缺少标准文字","已确认"),"无效选择"))))</x:f>
        <x:v>待确认</x:v>
      </x:c>
    </x:row>
    <x:row r="85" ht="41" customHeight="1">
      <x:c r="A85" s="16" t="str">
        <x:v>MRG-0079</x:v>
      </x:c>
      <x:c r="B85" s="16" t="str">
        <x:v>Observation</x:v>
      </x:c>
      <x:c r="C85" s="17" t="str">
        <x:v>待确认</x:v>
      </x:c>
      <x:c r="D85" s="17" t="str">
        <x:v>Carport verandah in good condition.</x:v>
      </x:c>
      <x:c r="E85" s="16" t="str">
        <x:v>近似描述核对</x:v>
      </x:c>
      <x:c r="F85" s="16" t="str">
        <x:v>措辞近似，需确认含义和适用范围是否一致。</x:v>
      </x:c>
      <x:c r="G85" s="16" t="str">
        <x:v>OBS-0003, OBS-0078</x:v>
      </x:c>
      <x:c r="H85" s="16" t="str">
        <x:v>Carport verandah in good condition.</x:v>
      </x:c>
      <x:c r="I85" s="16" t="str">
        <x:v>Porch verandah in good condition</x:v>
      </x:c>
      <x:c r="J85" s="17" t="str"/>
      <x:c r="K85" s="17" t="str"/>
      <x:c r="L85" s="16" t="str">
        <x:v>SRC-001, SRC-002, SRC-011, SRC-024, SRC-026, SRC-052, SRC-060, SRC-062</x:v>
      </x:c>
      <x:c r="M85" s="16" t="str">
        <x:f>IF(C85="待确认","待确认",IF(C85="需修改","需修改",IF(C85="保持独立","已确认",IF(OR(C85="同意合并",C85="使用模板",C85="提取短句"),IF(LEN(TRIM(D85))=0,"缺少标准文字","已确认"),"无效选择"))))</x:f>
        <x:v>待确认</x:v>
      </x:c>
    </x:row>
    <x:row r="86" ht="37" customHeight="1">
      <x:c r="A86" s="16" t="str">
        <x:v>MRG-0080</x:v>
      </x:c>
      <x:c r="B86" s="16" t="str">
        <x:v>Observation</x:v>
      </x:c>
      <x:c r="C86" s="17" t="str">
        <x:v>待确认</x:v>
      </x:c>
      <x:c r="D86" s="17" t="str">
        <x:v>Corrosion delamination towards the lower.</x:v>
      </x:c>
      <x:c r="E86" s="16" t="str">
        <x:v>近似描述核对</x:v>
      </x:c>
      <x:c r="F86" s="16" t="str">
        <x:v>措辞近似，需确认含义和适用范围是否一致。</x:v>
      </x:c>
      <x:c r="G86" s="16" t="str">
        <x:v>OBS-0045, OBS-0227</x:v>
      </x:c>
      <x:c r="H86" s="16" t="str">
        <x:v>Corrosion delamination towards the lower.</x:v>
      </x:c>
      <x:c r="I86" s="16" t="str">
        <x:v>Corrosion delamination towards the lower section.</x:v>
      </x:c>
      <x:c r="J86" s="17" t="str"/>
      <x:c r="K86" s="17" t="str"/>
      <x:c r="L86" s="16" t="str">
        <x:v>SRC-092</x:v>
      </x:c>
      <x:c r="M86" s="16" t="str">
        <x:f>IF(C86="待确认","待确认",IF(C86="需修改","需修改",IF(C86="保持独立","已确认",IF(OR(C86="同意合并",C86="使用模板",C86="提取短句"),IF(LEN(TRIM(D86))=0,"缺少标准文字","已确认"),"无效选择"))))</x:f>
        <x:v>待确认</x:v>
      </x:c>
    </x:row>
    <x:row r="87" ht="37" customHeight="1">
      <x:c r="A87" s="16" t="str">
        <x:v>MRG-0081</x:v>
      </x:c>
      <x:c r="B87" s="16" t="str">
        <x:v>Observation</x:v>
      </x:c>
      <x:c r="C87" s="17" t="str">
        <x:v>待确认</x:v>
      </x:c>
      <x:c r="D87" s="17" t="str">
        <x:v>Front wall cladding in good condition</x:v>
      </x:c>
      <x:c r="E87" s="16" t="str">
        <x:v>近似描述核对</x:v>
      </x:c>
      <x:c r="F87" s="16" t="str">
        <x:v>措辞近似，需确认含义和适用范围是否一致。</x:v>
      </x:c>
      <x:c r="G87" s="16" t="str">
        <x:v>OBS-0025, OBS-0512</x:v>
      </x:c>
      <x:c r="H87" s="16" t="str">
        <x:v>Front wall cladding in good condition</x:v>
      </x:c>
      <x:c r="I87" s="16" t="str">
        <x:v>Roof and wall cladding in good condition.</x:v>
      </x:c>
      <x:c r="J87" s="17" t="str"/>
      <x:c r="K87" s="17" t="str"/>
      <x:c r="L87" s="16" t="str">
        <x:v>SRC-014, SRC-015, SRC-025, SRC-058</x:v>
      </x:c>
      <x:c r="M87" s="16" t="str">
        <x:f>IF(C87="待确认","待确认",IF(C87="需修改","需修改",IF(C87="保持独立","已确认",IF(OR(C87="同意合并",C87="使用模板",C87="提取短句"),IF(LEN(TRIM(D87))=0,"缺少标准文字","已确认"),"无效选择"))))</x:f>
        <x:v>待确认</x:v>
      </x:c>
    </x:row>
    <x:row r="88" ht="41" customHeight="1">
      <x:c r="A88" s="16" t="str">
        <x:v>MRG-0082</x:v>
      </x:c>
      <x:c r="B88" s="16" t="str">
        <x:v>Observation</x:v>
      </x:c>
      <x:c r="C88" s="17" t="str">
        <x:v>待确认</x:v>
      </x:c>
      <x:c r="D88" s="17" t="str">
        <x:v>Front and right hand side of house facing the entrance. Minor corrosion of verandah beam.</x:v>
      </x:c>
      <x:c r="E88" s="16" t="str">
        <x:v>近似描述核对</x:v>
      </x:c>
      <x:c r="F88" s="16" t="str">
        <x:v>措辞近似，需确认含义和适用范围是否一致。</x:v>
      </x:c>
      <x:c r="G88" s="16" t="str">
        <x:v>OBS-0268, OBS-0351</x:v>
      </x:c>
      <x:c r="H88" s="16" t="str">
        <x:v>Front and right hand side of house facing the entrance. Minor corrosion of verandah beam.</x:v>
      </x:c>
      <x:c r="I88" s="16" t="str">
        <x:v>Left hand side of house facing the entrance. Minor corrosion of verandah beam.</x:v>
      </x:c>
      <x:c r="J88" s="17" t="str"/>
      <x:c r="K88" s="17" t="str"/>
      <x:c r="L88" s="16" t="str">
        <x:v>SRC-025, SRC-055</x:v>
      </x:c>
      <x:c r="M88" s="16" t="str">
        <x:f>IF(C88="待确认","待确认",IF(C88="需修改","需修改",IF(C88="保持独立","已确认",IF(OR(C88="同意合并",C88="使用模板",C88="提取短句"),IF(LEN(TRIM(D88))=0,"缺少标准文字","已确认"),"无效选择"))))</x:f>
        <x:v>待确认</x:v>
      </x:c>
    </x:row>
    <x:row r="89" ht="37" customHeight="1">
      <x:c r="A89" s="16" t="str">
        <x:v>MRG-0083</x:v>
      </x:c>
      <x:c r="B89" s="16" t="str">
        <x:v>Observation</x:v>
      </x:c>
      <x:c r="C89" s="17" t="str">
        <x:v>待确认</x:v>
      </x:c>
      <x:c r="D89" s="17" t="str">
        <x:v>Minor corrosion and paint deterioration on hoop.</x:v>
      </x:c>
      <x:c r="E89" s="16" t="str">
        <x:v>近似描述核对</x:v>
      </x:c>
      <x:c r="F89" s="16" t="str">
        <x:v>措辞近似，需确认含义和适用范围是否一致。</x:v>
      </x:c>
      <x:c r="G89" s="16" t="str">
        <x:v>OBS-0377, OBS-0379</x:v>
      </x:c>
      <x:c r="H89" s="16" t="str">
        <x:v>Minor corrosion and paint deterioration on hoop.</x:v>
      </x:c>
      <x:c r="I89" s="16" t="str">
        <x:v>Minor corrosion and paint deterioration.</x:v>
      </x:c>
      <x:c r="J89" s="17" t="str"/>
      <x:c r="K89" s="17" t="str"/>
      <x:c r="L89" s="16" t="str">
        <x:v>SRC-063, SRC-092</x:v>
      </x:c>
      <x:c r="M89" s="16" t="str">
        <x:f>IF(C89="待确认","待确认",IF(C89="需修改","需修改",IF(C89="保持独立","已确认",IF(OR(C89="同意合并",C89="使用模板",C89="提取短句"),IF(LEN(TRIM(D89))=0,"缺少标准文字","已确认"),"无效选择"))))</x:f>
        <x:v>待确认</x:v>
      </x:c>
    </x:row>
    <x:row r="90" ht="37" customHeight="1">
      <x:c r="A90" s="16" t="str">
        <x:v>MRG-0084</x:v>
      </x:c>
      <x:c r="B90" s="16" t="str">
        <x:v>Observation</x:v>
      </x:c>
      <x:c r="C90" s="17" t="str">
        <x:v>待确认</x:v>
      </x:c>
      <x:c r="D90" s="17" t="str">
        <x:v>Backyard verandah. Paint deterioration on purlins and rafters.</x:v>
      </x:c>
      <x:c r="E90" s="16" t="str">
        <x:v>近似描述核对</x:v>
      </x:c>
      <x:c r="F90" s="16" t="str">
        <x:v>措辞近似，需确认含义和适用范围是否一致。</x:v>
      </x:c>
      <x:c r="G90" s="16" t="str">
        <x:v>OBS-0139, OBS-0305</x:v>
      </x:c>
      <x:c r="H90" s="16" t="str">
        <x:v>Backyard verandah. Paint deterioration on purlins and rafters.</x:v>
      </x:c>
      <x:c r="I90" s="16" t="str">
        <x:v>Front verandah. Paint deterioration on purlins and rafters.</x:v>
      </x:c>
      <x:c r="J90" s="17" t="str"/>
      <x:c r="K90" s="17" t="str"/>
      <x:c r="L90" s="16" t="str">
        <x:v>SRC-009</x:v>
      </x:c>
      <x:c r="M90" s="16" t="str">
        <x:f>IF(C90="待确认","待确认",IF(C90="需修改","需修改",IF(C90="保持独立","已确认",IF(OR(C90="同意合并",C90="使用模板",C90="提取短句"),IF(LEN(TRIM(D90))=0,"缺少标准文字","已确认"),"无效选择"))))</x:f>
        <x:v>待确认</x:v>
      </x:c>
    </x:row>
    <x:row r="91" ht="37" customHeight="1">
      <x:c r="A91" s="16" t="str">
        <x:v>MRG-0085</x:v>
      </x:c>
      <x:c r="B91" s="16" t="str">
        <x:v>Observation</x:v>
      </x:c>
      <x:c r="C91" s="17" t="str">
        <x:v>待确认</x:v>
      </x:c>
      <x:c r="D91" s="17" t="str">
        <x:v>Overview of carport.</x:v>
      </x:c>
      <x:c r="E91" s="16" t="str">
        <x:v>近似描述核对</x:v>
      </x:c>
      <x:c r="F91" s="16" t="str">
        <x:v>措辞近似，需确认含义和适用范围是否一致。</x:v>
      </x:c>
      <x:c r="G91" s="16" t="str">
        <x:v>OBS-0072, OBS-0440</x:v>
      </x:c>
      <x:c r="H91" s="16" t="str">
        <x:v>Overview of carport.</x:v>
      </x:c>
      <x:c r="I91" s="16" t="str">
        <x:v>Overview of the carport.</x:v>
      </x:c>
      <x:c r="J91" s="17" t="str"/>
      <x:c r="K91" s="17" t="str"/>
      <x:c r="L91" s="16" t="str">
        <x:v>SRC-005, SRC-009, SRC-029</x:v>
      </x:c>
      <x:c r="M91" s="16" t="str">
        <x:f>IF(C91="待确认","待确认",IF(C91="需修改","需修改",IF(C91="保持独立","已确认",IF(OR(C91="同意合并",C91="使用模板",C91="提取短句"),IF(LEN(TRIM(D91))=0,"缺少标准文字","已确认"),"无效选择"))))</x:f>
        <x:v>待确认</x:v>
      </x:c>
    </x:row>
    <x:row r="92" ht="41" customHeight="1">
      <x:c r="A92" s="16" t="str">
        <x:v>MRG-0086</x:v>
      </x:c>
      <x:c r="B92" s="16" t="str">
        <x:v>Observation</x:v>
      </x:c>
      <x:c r="C92" s="17" t="str">
        <x:v>待确认</x:v>
      </x:c>
      <x:c r="D92" s="17" t="str">
        <x:v>Adjacent to front door. Minor corrosion at corner of window, typical to most windows. Staining on wall cladding at bolted connection.</x:v>
      </x:c>
      <x:c r="E92" s="16" t="str">
        <x:v>近似描述核对</x:v>
      </x:c>
      <x:c r="F92" s="16" t="str">
        <x:v>措辞近似，需确认含义和适用范围是否一致。</x:v>
      </x:c>
      <x:c r="G92" s="16" t="str">
        <x:v>OBS-0091, OBS-0161</x:v>
      </x:c>
      <x:c r="H92" s="16" t="str">
        <x:v>Adjacent to front door. Minor corrosion at corner of window, typical to most windows. Staining on wall cladding at bolted connection.</x:v>
      </x:c>
      <x:c r="I92" s="16" t="str">
        <x:v>Carport front window. Minor corrosion at corner of window, typical to most windows. Salt staining on wall cladding at bolted connection.</x:v>
      </x:c>
      <x:c r="J92" s="17" t="str"/>
      <x:c r="K92" s="17" t="str"/>
      <x:c r="L92" s="16" t="str">
        <x:v>SRC-023, SRC-025</x:v>
      </x:c>
      <x:c r="M92" s="16" t="str">
        <x:f>IF(C92="待确认","待确认",IF(C92="需修改","需修改",IF(C92="保持独立","已确认",IF(OR(C92="同意合并",C92="使用模板",C92="提取短句"),IF(LEN(TRIM(D92))=0,"缺少标准文字","已确认"),"无效选择"))))</x:f>
        <x:v>待确认</x:v>
      </x:c>
    </x:row>
    <x:row r="93" ht="37" customHeight="1">
      <x:c r="A93" s="16" t="str">
        <x:v>MRG-0087</x:v>
      </x:c>
      <x:c r="B93" s="16" t="str">
        <x:v>Observation</x:v>
      </x:c>
      <x:c r="C93" s="17" t="str">
        <x:v>待确认</x:v>
      </x:c>
      <x:c r="D93" s="17" t="str">
        <x:v>Front verandah in good condition.</x:v>
      </x:c>
      <x:c r="E93" s="16" t="str">
        <x:v>近似描述核对</x:v>
      </x:c>
      <x:c r="F93" s="16" t="str">
        <x:v>措辞近似，需确认含义和适用范围是否一致。</x:v>
      </x:c>
      <x:c r="G93" s="16" t="str">
        <x:v>OBS-0013, OBS-0051</x:v>
      </x:c>
      <x:c r="H93" s="16" t="str">
        <x:v>Front verandah in good condition.</x:v>
      </x:c>
      <x:c r="I93" s="16" t="str">
        <x:v>Front verandah column in good condition.</x:v>
      </x:c>
      <x:c r="J93" s="17" t="str"/>
      <x:c r="K93" s="17" t="str"/>
      <x:c r="L93" s="16" t="str">
        <x:v>SRC-011, SRC-024, SRC-026, SRC-050, SRC-052</x:v>
      </x:c>
      <x:c r="M93" s="16" t="str">
        <x:f>IF(C93="待确认","待确认",IF(C93="需修改","需修改",IF(C93="保持独立","已确认",IF(OR(C93="同意合并",C93="使用模板",C93="提取短句"),IF(LEN(TRIM(D93))=0,"缺少标准文字","已确认"),"无效选择"))))</x:f>
        <x:v>待确认</x:v>
      </x:c>
    </x:row>
    <x:row r="94" ht="37" customHeight="1">
      <x:c r="A94" s="16" t="str">
        <x:v>MRG-0088</x:v>
      </x:c>
      <x:c r="B94" s="16" t="str">
        <x:v>Observation</x:v>
      </x:c>
      <x:c r="C94" s="17" t="str">
        <x:v>待确认</x:v>
      </x:c>
      <x:c r="D94" s="17" t="str">
        <x:v>Left hand side columns facing front of house.</x:v>
      </x:c>
      <x:c r="E94" s="16" t="str">
        <x:v>近似描述核对</x:v>
      </x:c>
      <x:c r="F94" s="16" t="str">
        <x:v>措辞近似，需确认含义和适用范围是否一致。</x:v>
      </x:c>
      <x:c r="G94" s="16" t="str">
        <x:v>OBS-0055, OBS-0365</x:v>
      </x:c>
      <x:c r="H94" s="16" t="str">
        <x:v>Left hand side columns facing front of house.</x:v>
      </x:c>
      <x:c r="I94" s="16" t="str">
        <x:v>Left-hand side facing front of house.</x:v>
      </x:c>
      <x:c r="J94" s="17" t="str"/>
      <x:c r="K94" s="17" t="str"/>
      <x:c r="L94" s="16" t="str">
        <x:v>SRC-009, SRC-015, SRC-055</x:v>
      </x:c>
      <x:c r="M94" s="16" t="str">
        <x:f>IF(C94="待确认","待确认",IF(C94="需修改","需修改",IF(C94="保持独立","已确认",IF(OR(C94="同意合并",C94="使用模板",C94="提取短句"),IF(LEN(TRIM(D94))=0,"缺少标准文字","已确认"),"无效选择"))))</x:f>
        <x:v>待确认</x:v>
      </x:c>
    </x:row>
    <x:row r="95" ht="37" customHeight="1">
      <x:c r="A95" s="16" t="str">
        <x:v>MRG-0089</x:v>
      </x:c>
      <x:c r="B95" s="16" t="str">
        <x:v>Observation</x:v>
      </x:c>
      <x:c r="C95" s="17" t="str">
        <x:v>待确认</x:v>
      </x:c>
      <x:c r="D95" s="17" t="str">
        <x:v>Right hand side of property. Cladding and framing in good condition.</x:v>
      </x:c>
      <x:c r="E95" s="16" t="str">
        <x:v>近似描述核对</x:v>
      </x:c>
      <x:c r="F95" s="16" t="str">
        <x:v>措辞近似，需确认含义和适用范围是否一致。</x:v>
      </x:c>
      <x:c r="G95" s="16" t="str">
        <x:v>OBS-0505, OBS-0506</x:v>
      </x:c>
      <x:c r="H95" s="16" t="str">
        <x:v>Right hand side of property. Cladding and framing in good condition.</x:v>
      </x:c>
      <x:c r="I95" s="16" t="str">
        <x:v>Right hand side of property. Cladding in good condition.</x:v>
      </x:c>
      <x:c r="J95" s="17" t="str"/>
      <x:c r="K95" s="17" t="str"/>
      <x:c r="L95" s="16" t="str">
        <x:v>SRC-001, SRC-002</x:v>
      </x:c>
      <x:c r="M95" s="16" t="str">
        <x:f>IF(C95="待确认","待确认",IF(C95="需修改","需修改",IF(C95="保持独立","已确认",IF(OR(C95="同意合并",C95="使用模板",C95="提取短句"),IF(LEN(TRIM(D95))=0,"缺少标准文字","已确认"),"无效选择"))))</x:f>
        <x:v>待确认</x:v>
      </x:c>
    </x:row>
    <x:row r="96" ht="37" customHeight="1">
      <x:c r="A96" s="16" t="str">
        <x:v>MRG-0090</x:v>
      </x:c>
      <x:c r="B96" s="16" t="str">
        <x:v>Observation</x:v>
      </x:c>
      <x:c r="C96" s="17" t="str">
        <x:v>待确认</x:v>
      </x:c>
      <x:c r="D96" s="17" t="str">
        <x:v>Back verandah in good condition.</x:v>
      </x:c>
      <x:c r="E96" s="16" t="str">
        <x:v>近似描述核对</x:v>
      </x:c>
      <x:c r="F96" s="16" t="str">
        <x:v>措辞近似，需确认含义和适用范围是否一致。</x:v>
      </x:c>
      <x:c r="G96" s="16" t="str">
        <x:v>OBS-0007, OBS-0109</x:v>
      </x:c>
      <x:c r="H96" s="16" t="str">
        <x:v>Back verandah in good condition.</x:v>
      </x:c>
      <x:c r="I96" s="16" t="str">
        <x:v>Back verandah column in good condition.</x:v>
      </x:c>
      <x:c r="J96" s="17" t="str"/>
      <x:c r="K96" s="17" t="str"/>
      <x:c r="L96" s="16" t="str">
        <x:v>SRC-011, SRC-024, SRC-026, SRC-052, SRC-060</x:v>
      </x:c>
      <x:c r="M96" s="16" t="str">
        <x:f>IF(C96="待确认","待确认",IF(C96="需修改","需修改",IF(C96="保持独立","已确认",IF(OR(C96="同意合并",C96="使用模板",C96="提取短句"),IF(LEN(TRIM(D96))=0,"缺少标准文字","已确认"),"无效选择"))))</x:f>
        <x:v>待确认</x:v>
      </x:c>
    </x:row>
    <x:row r="97" ht="41" customHeight="1">
      <x:c r="A97" s="16" t="str">
        <x:v>MRG-0091</x:v>
      </x:c>
      <x:c r="B97" s="16" t="str">
        <x:v>Observation</x:v>
      </x:c>
      <x:c r="C97" s="17" t="str">
        <x:v>待确认</x:v>
      </x:c>
      <x:c r="D97" s="17" t="str">
        <x:v>Right hand side of house facing front entrance. Minor corrosion to rafters. Staining on wall cladding at bolted connection.</x:v>
      </x:c>
      <x:c r="E97" s="16" t="str">
        <x:v>近似描述核对</x:v>
      </x:c>
      <x:c r="F97" s="16" t="str">
        <x:v>措辞近似，需确认含义和适用范围是否一致。</x:v>
      </x:c>
      <x:c r="G97" s="16" t="str">
        <x:v>OBS-0490, OBS-0497</x:v>
      </x:c>
      <x:c r="H97" s="16" t="str">
        <x:v>Right hand side of house facing front entrance. Minor corrosion to rafters. Staining on wall cladding at bolted connection.</x:v>
      </x:c>
      <x:c r="I97" s="16" t="str">
        <x:v>Right hand side of house front window. Minor corrosion to rafters. Salt staining on wall cladding at bolted connection.</x:v>
      </x:c>
      <x:c r="J97" s="17" t="str"/>
      <x:c r="K97" s="17" t="str"/>
      <x:c r="L97" s="16" t="str">
        <x:v>SRC-023, SRC-025</x:v>
      </x:c>
      <x:c r="M97" s="16" t="str">
        <x:f>IF(C97="待确认","待确认",IF(C97="需修改","需修改",IF(C97="保持独立","已确认",IF(OR(C97="同意合并",C97="使用模板",C97="提取短句"),IF(LEN(TRIM(D97))=0,"缺少标准文字","已确认"),"无效选择"))))</x:f>
        <x:v>待确认</x:v>
      </x:c>
    </x:row>
    <x:row r="98" ht="41" customHeight="1">
      <x:c r="A98" s="16" t="str">
        <x:v>MRG-0092</x:v>
      </x:c>
      <x:c r="B98" s="16" t="str">
        <x:v>Observation</x:v>
      </x:c>
      <x:c r="C98" s="17" t="str">
        <x:v>待确认</x:v>
      </x:c>
      <x:c r="D98" s="17" t="str">
        <x:v>Right hand side of house facing the entrance. Minor corrosion of verandah beams and posts.</x:v>
      </x:c>
      <x:c r="E98" s="16" t="str">
        <x:v>近似描述核对</x:v>
      </x:c>
      <x:c r="F98" s="16" t="str">
        <x:v>措辞近似，需确认含义和适用范围是否一致。</x:v>
      </x:c>
      <x:c r="G98" s="16" t="str">
        <x:v>OBS-0493, OBS-0494</x:v>
      </x:c>
      <x:c r="H98" s="16" t="str">
        <x:v>Right hand side of house facing the entrance. Minor corrosion of verandah beams and posts.</x:v>
      </x:c>
      <x:c r="I98" s="16" t="str">
        <x:v>Right hand side of house facing the entrance. Minor corrosion of verandah column and beam.</x:v>
      </x:c>
      <x:c r="J98" s="17" t="str"/>
      <x:c r="K98" s="17" t="str"/>
      <x:c r="L98" s="16" t="str">
        <x:v>SRC-010</x:v>
      </x:c>
      <x:c r="M98" s="16" t="str">
        <x:f>IF(C98="待确认","待确认",IF(C98="需修改","需修改",IF(C98="保持独立","已确认",IF(OR(C98="同意合并",C98="使用模板",C98="提取短句"),IF(LEN(TRIM(D98))=0,"缺少标准文字","已确认"),"无效选择"))))</x:f>
        <x:v>待确认</x:v>
      </x:c>
    </x:row>
    <x:row r="99" ht="41" customHeight="1">
      <x:c r="A99" s="16" t="str">
        <x:v>MRG-0093</x:v>
      </x:c>
      <x:c r="B99" s="16" t="str">
        <x:v>Observation</x:v>
      </x:c>
      <x:c r="C99" s="17" t="str">
        <x:v>待确认</x:v>
      </x:c>
      <x:c r="D99" s="17" t="str"/>
      <x:c r="E99" s="16" t="str">
        <x:v>近似描述核对</x:v>
      </x:c>
      <x:c r="F99" s="16" t="str">
        <x:v>程度、范围、处理方法、条件或编号存在差异，建议保持独立；如仅编号不同可改为模板。</x:v>
      </x:c>
      <x:c r="G99" s="16" t="str">
        <x:v>OBS-0066, OBS-0233</x:v>
      </x:c>
      <x:c r="H99" s="16" t="str">
        <x:v>Minor corrosion on roof sheeting</x:v>
      </x:c>
      <x:c r="I99" s="16" t="str">
        <x:v>Corrosion on roof sheeting.</x:v>
      </x:c>
      <x:c r="J99" s="17" t="str"/>
      <x:c r="K99" s="17" t="str"/>
      <x:c r="L99" s="16" t="str">
        <x:v>SRC-059, SRC-063</x:v>
      </x:c>
      <x:c r="M99" s="16" t="str">
        <x:f>IF(C99="待确认","待确认",IF(C99="需修改","需修改",IF(C99="保持独立","已确认",IF(OR(C99="同意合并",C99="使用模板",C99="提取短句"),IF(LEN(TRIM(D99))=0,"缺少标准文字","已确认"),"无效选择"))))</x:f>
        <x:v>待确认</x:v>
      </x:c>
    </x:row>
    <x:row r="100" ht="41" customHeight="1">
      <x:c r="A100" s="16" t="str">
        <x:v>MRG-0094</x:v>
      </x:c>
      <x:c r="B100" s="16" t="str">
        <x:v>Observation</x:v>
      </x:c>
      <x:c r="C100" s="17" t="str">
        <x:v>待确认</x:v>
      </x:c>
      <x:c r="D100" s="17" t="str"/>
      <x:c r="E100" s="16" t="str">
        <x:v>近似描述核对</x:v>
      </x:c>
      <x:c r="F100" s="16" t="str">
        <x:v>程度、范围、处理方法、条件或编号存在差异，建议保持独立；如仅编号不同可改为模板。</x:v>
      </x:c>
      <x:c r="G100" s="16" t="str">
        <x:v>OBS-0025, OBS-0093</x:v>
      </x:c>
      <x:c r="H100" s="16" t="str">
        <x:v>Front wall cladding in good condition</x:v>
      </x:c>
      <x:c r="I100" s="16" t="str">
        <x:v>All cladding in good condition.</x:v>
      </x:c>
      <x:c r="J100" s="17" t="str"/>
      <x:c r="K100" s="17" t="str"/>
      <x:c r="L100" s="16" t="str">
        <x:v>SRC-014, SRC-015, SRC-058, SRC-061</x:v>
      </x:c>
      <x:c r="M100" s="16" t="str">
        <x:f>IF(C100="待确认","待确认",IF(C100="需修改","需修改",IF(C100="保持独立","已确认",IF(OR(C100="同意合并",C100="使用模板",C100="提取短句"),IF(LEN(TRIM(D100))=0,"缺少标准文字","已确认"),"无效选择"))))</x:f>
        <x:v>待确认</x:v>
      </x:c>
    </x:row>
    <x:row r="101" ht="41" customHeight="1">
      <x:c r="A101" s="16" t="str">
        <x:v>MRG-0095</x:v>
      </x:c>
      <x:c r="B101" s="16" t="str">
        <x:v>Observation</x:v>
      </x:c>
      <x:c r="C101" s="17" t="str">
        <x:v>待确认</x:v>
      </x:c>
      <x:c r="D101" s="17" t="str">
        <x:v>Carport verandah in good condition.</x:v>
      </x:c>
      <x:c r="E101" s="16" t="str">
        <x:v>近似描述核对</x:v>
      </x:c>
      <x:c r="F101" s="16" t="str">
        <x:v>措辞近似，需确认含义和适用范围是否一致。</x:v>
      </x:c>
      <x:c r="G101" s="16" t="str">
        <x:v>OBS-0003, OBS-0012</x:v>
      </x:c>
      <x:c r="H101" s="16" t="str">
        <x:v>Carport verandah in good condition.</x:v>
      </x:c>
      <x:c r="I101" s="16" t="str">
        <x:v>Carport verandah columns in good condition.</x:v>
      </x:c>
      <x:c r="J101" s="17" t="str"/>
      <x:c r="K101" s="17" t="str"/>
      <x:c r="L101" s="16" t="str">
        <x:v>SRC-002, SRC-011, SRC-024, SRC-025, SRC-026, SRC-053, SRC-052, SRC-060, SRC-062</x:v>
      </x:c>
      <x:c r="M101" s="16" t="str">
        <x:f>IF(C101="待确认","待确认",IF(C101="需修改","需修改",IF(C101="保持独立","已确认",IF(OR(C101="同意合并",C101="使用模板",C101="提取短句"),IF(LEN(TRIM(D101))=0,"缺少标准文字","已确认"),"无效选择"))))</x:f>
        <x:v>待确认</x:v>
      </x:c>
    </x:row>
    <x:row r="102" ht="41" customHeight="1">
      <x:c r="A102" s="16" t="str">
        <x:v>MRG-0096</x:v>
      </x:c>
      <x:c r="B102" s="16" t="str">
        <x:v>Observation</x:v>
      </x:c>
      <x:c r="C102" s="17" t="str">
        <x:v>待确认</x:v>
      </x:c>
      <x:c r="D102" s="17" t="str"/>
      <x:c r="E102" s="16" t="str">
        <x:v>近似描述核对</x:v>
      </x:c>
      <x:c r="F102" s="16" t="str">
        <x:v>程度、范围、处理方法、条件或编号存在差异，建议保持独立；如仅编号不同可改为模板。</x:v>
      </x:c>
      <x:c r="G102" s="16" t="str">
        <x:v>OBS-0516, OBS-0521</x:v>
      </x:c>
      <x:c r="H102" s="16" t="str">
        <x:v>Row 1 Column 1 corrosion to the lower portion of column.</x:v>
      </x:c>
      <x:c r="I102" s="16" t="str">
        <x:v>Row 1 Column 1. Minor corrosion at lower portion of column.</x:v>
      </x:c>
      <x:c r="J102" s="17" t="str"/>
      <x:c r="K102" s="17" t="str"/>
      <x:c r="L102" s="16" t="str">
        <x:v>SRC-010, SRC-059</x:v>
      </x:c>
      <x:c r="M102" s="16" t="str">
        <x:f>IF(C102="待确认","待确认",IF(C102="需修改","需修改",IF(C102="保持独立","已确认",IF(OR(C102="同意合并",C102="使用模板",C102="提取短句"),IF(LEN(TRIM(D102))=0,"缺少标准文字","已确认"),"无效选择"))))</x:f>
        <x:v>待确认</x:v>
      </x:c>
    </x:row>
    <x:row r="103" ht="41" customHeight="1">
      <x:c r="A103" s="16" t="str">
        <x:v>MRG-0097</x:v>
      </x:c>
      <x:c r="B103" s="16" t="str">
        <x:v>Observation</x:v>
      </x:c>
      <x:c r="C103" s="17" t="str">
        <x:v>待确认</x:v>
      </x:c>
      <x:c r="D103" s="17" t="str">
        <x:v>Carport front window. Minor corrosion at corner of window, typical to most windows. Staining on wall cladding at bolted connection.</x:v>
      </x:c>
      <x:c r="E103" s="16" t="str">
        <x:v>近似描述核对</x:v>
      </x:c>
      <x:c r="F103" s="16" t="str">
        <x:v>措辞近似，需确认含义和适用范围是否一致。</x:v>
      </x:c>
      <x:c r="G103" s="16" t="str">
        <x:v>OBS-0162, OBS-0383</x:v>
      </x:c>
      <x:c r="H103" s="16" t="str">
        <x:v>Carport front window. Minor corrosion at corner of window, typical to most windows. Staining on wall cladding at bolted connection.</x:v>
      </x:c>
      <x:c r="I103" s="16" t="str">
        <x:v>Minor corrosion at corner of window, typical to most windows. Salt staining on wall cladding at bolted connection.</x:v>
      </x:c>
      <x:c r="J103" s="17" t="str"/>
      <x:c r="K103" s="17" t="str"/>
      <x:c r="L103" s="16" t="str">
        <x:v>SRC-023, SRC-027</x:v>
      </x:c>
      <x:c r="M103" s="16" t="str">
        <x:f>IF(C103="待确认","待确认",IF(C103="需修改","需修改",IF(C103="保持独立","已确认",IF(OR(C103="同意合并",C103="使用模板",C103="提取短句"),IF(LEN(TRIM(D103))=0,"缺少标准文字","已确认"),"无效选择"))))</x:f>
        <x:v>待确认</x:v>
      </x:c>
    </x:row>
    <x:row r="104" ht="41" customHeight="1">
      <x:c r="A104" s="16" t="str">
        <x:v>MRG-0098</x:v>
      </x:c>
      <x:c r="B104" s="16" t="str">
        <x:v>Observation</x:v>
      </x:c>
      <x:c r="C104" s="17" t="str">
        <x:v>待确认</x:v>
      </x:c>
      <x:c r="D104" s="17" t="str">
        <x:v>Left hand side of house facing the entrance. Minor corrosion of verandah beam.</x:v>
      </x:c>
      <x:c r="E104" s="16" t="str">
        <x:v>近似描述核对</x:v>
      </x:c>
      <x:c r="F104" s="16" t="str">
        <x:v>措辞近似，需确认含义和适用范围是否一致。</x:v>
      </x:c>
      <x:c r="G104" s="16" t="str">
        <x:v>OBS-0351, OBS-0493</x:v>
      </x:c>
      <x:c r="H104" s="16" t="str">
        <x:v>Left hand side of house facing the entrance. Minor corrosion of verandah beam.</x:v>
      </x:c>
      <x:c r="I104" s="16" t="str">
        <x:v>Right hand side of house facing the entrance. Minor corrosion of verandah beams and posts.</x:v>
      </x:c>
      <x:c r="J104" s="17" t="str"/>
      <x:c r="K104" s="17" t="str"/>
      <x:c r="L104" s="16" t="str">
        <x:v>SRC-010, SRC-025</x:v>
      </x:c>
      <x:c r="M104" s="16" t="str">
        <x:f>IF(C104="待确认","待确认",IF(C104="需修改","需修改",IF(C104="保持独立","已确认",IF(OR(C104="同意合并",C104="使用模板",C104="提取短句"),IF(LEN(TRIM(D104))=0,"缺少标准文字","已确认"),"无效选择"))))</x:f>
        <x:v>待确认</x:v>
      </x:c>
    </x:row>
    <x:row r="105" ht="41" customHeight="1">
      <x:c r="A105" s="16" t="str">
        <x:v>MRG-0099</x:v>
      </x:c>
      <x:c r="B105" s="16" t="str">
        <x:v>Observation</x:v>
      </x:c>
      <x:c r="C105" s="17" t="str">
        <x:v>待确认</x:v>
      </x:c>
      <x:c r="D105" s="17" t="str">
        <x:v>Left hand side of house facing the entrance. Minor corrosion of verandah beam.</x:v>
      </x:c>
      <x:c r="E105" s="16" t="str">
        <x:v>近似描述核对</x:v>
      </x:c>
      <x:c r="F105" s="16" t="str">
        <x:v>措辞近似，需确认含义和适用范围是否一致。</x:v>
      </x:c>
      <x:c r="G105" s="16" t="str">
        <x:v>OBS-0351, OBS-0494</x:v>
      </x:c>
      <x:c r="H105" s="16" t="str">
        <x:v>Left hand side of house facing the entrance. Minor corrosion of verandah beam.</x:v>
      </x:c>
      <x:c r="I105" s="16" t="str">
        <x:v>Right hand side of house facing the entrance. Minor corrosion of verandah column and beam.</x:v>
      </x:c>
      <x:c r="J105" s="17" t="str"/>
      <x:c r="K105" s="17" t="str"/>
      <x:c r="L105" s="16" t="str">
        <x:v>SRC-010, SRC-025</x:v>
      </x:c>
      <x:c r="M105" s="16" t="str">
        <x:f>IF(C105="待确认","待确认",IF(C105="需修改","需修改",IF(C105="保持独立","已确认",IF(OR(C105="同意合并",C105="使用模板",C105="提取短句"),IF(LEN(TRIM(D105))=0,"缺少标准文字","已确认"),"无效选择"))))</x:f>
        <x:v>待确认</x:v>
      </x:c>
    </x:row>
    <x:row r="106" ht="41" customHeight="1">
      <x:c r="A106" s="16" t="str">
        <x:v>MRG-0100</x:v>
      </x:c>
      <x:c r="B106" s="16" t="str">
        <x:v>Observation</x:v>
      </x:c>
      <x:c r="C106" s="17" t="str">
        <x:v>待确认</x:v>
      </x:c>
      <x:c r="D106" s="17" t="str">
        <x:v>Back verandah in good condition.</x:v>
      </x:c>
      <x:c r="E106" s="16" t="str">
        <x:v>近似描述核对</x:v>
      </x:c>
      <x:c r="F106" s="16" t="str">
        <x:v>措辞近似，需确认含义和适用范围是否一致。</x:v>
      </x:c>
      <x:c r="G106" s="16" t="str">
        <x:v>OBS-0007, OBS-0078</x:v>
      </x:c>
      <x:c r="H106" s="16" t="str">
        <x:v>Back verandah in good condition.</x:v>
      </x:c>
      <x:c r="I106" s="16" t="str">
        <x:v>Porch verandah in good condition</x:v>
      </x:c>
      <x:c r="J106" s="17" t="str"/>
      <x:c r="K106" s="17" t="str"/>
      <x:c r="L106" s="16" t="str">
        <x:v>SRC-001, SRC-011, SRC-024, SRC-026, SRC-052, SRC-060, SRC-062</x:v>
      </x:c>
      <x:c r="M106" s="16" t="str">
        <x:f>IF(C106="待确认","待确认",IF(C106="需修改","需修改",IF(C106="保持独立","已确认",IF(OR(C106="同意合并",C106="使用模板",C106="提取短句"),IF(LEN(TRIM(D106))=0,"缺少标准文字","已确认"),"无效选择"))))</x:f>
        <x:v>待确认</x:v>
      </x:c>
    </x:row>
    <x:row r="107" ht="37" customHeight="1">
      <x:c r="A107" s="16" t="str">
        <x:v>MRG-0101</x:v>
      </x:c>
      <x:c r="B107" s="16" t="str">
        <x:v>Observation</x:v>
      </x:c>
      <x:c r="C107" s="17" t="str">
        <x:v>待确认</x:v>
      </x:c>
      <x:c r="D107" s="17" t="str">
        <x:v>Carport verandah columns in good condition.</x:v>
      </x:c>
      <x:c r="E107" s="16" t="str">
        <x:v>近似描述核对</x:v>
      </x:c>
      <x:c r="F107" s="16" t="str">
        <x:v>措辞近似，需确认含义和适用范围是否一致。</x:v>
      </x:c>
      <x:c r="G107" s="16" t="str">
        <x:v>OBS-0012, OBS-0021</x:v>
      </x:c>
      <x:c r="H107" s="16" t="str">
        <x:v>Carport verandah columns in good condition.</x:v>
      </x:c>
      <x:c r="I107" s="16" t="str">
        <x:v>Back verandah columns in good condition.</x:v>
      </x:c>
      <x:c r="J107" s="17" t="str"/>
      <x:c r="K107" s="17" t="str"/>
      <x:c r="L107" s="16" t="str">
        <x:v>SRC-011, SRC-025, SRC-026, SRC-053, SRC-060</x:v>
      </x:c>
      <x:c r="M107" s="16" t="str">
        <x:f>IF(C107="待确认","待确认",IF(C107="需修改","需修改",IF(C107="保持独立","已确认",IF(OR(C107="同意合并",C107="使用模板",C107="提取短句"),IF(LEN(TRIM(D107))=0,"缺少标准文字","已确认"),"无效选择"))))</x:f>
        <x:v>待确认</x:v>
      </x:c>
    </x:row>
    <x:row r="108" ht="37" customHeight="1">
      <x:c r="A108" s="16" t="str">
        <x:v>MRG-0102</x:v>
      </x:c>
      <x:c r="B108" s="16" t="str">
        <x:v>Observation</x:v>
      </x:c>
      <x:c r="C108" s="17" t="str">
        <x:v>待确认</x:v>
      </x:c>
      <x:c r="D108" s="17" t="str">
        <x:v>Front verandah in good condition.</x:v>
      </x:c>
      <x:c r="E108" s="16" t="str">
        <x:v>近似描述核对</x:v>
      </x:c>
      <x:c r="F108" s="16" t="str">
        <x:v>措辞近似，需确认含义和适用范围是否一致。</x:v>
      </x:c>
      <x:c r="G108" s="16" t="str">
        <x:v>OBS-0013, OBS-0299</x:v>
      </x:c>
      <x:c r="H108" s="16" t="str">
        <x:v>Front verandah in good condition.</x:v>
      </x:c>
      <x:c r="I108" s="16" t="str">
        <x:v>Front verandah. Columns in good condition.</x:v>
      </x:c>
      <x:c r="J108" s="17" t="str"/>
      <x:c r="K108" s="17" t="str"/>
      <x:c r="L108" s="16" t="str">
        <x:v>SRC-011, SRC-024, SRC-026, SRC-053, SRC-052</x:v>
      </x:c>
      <x:c r="M108" s="16" t="str">
        <x:f>IF(C108="待确认","待确认",IF(C108="需修改","需修改",IF(C108="保持独立","已确认",IF(OR(C108="同意合并",C108="使用模板",C108="提取短句"),IF(LEN(TRIM(D108))=0,"缺少标准文字","已确认"),"无效选择"))))</x:f>
        <x:v>待确认</x:v>
      </x:c>
    </x:row>
    <x:row r="109" ht="37" customHeight="1">
      <x:c r="A109" s="16" t="str">
        <x:v>MRG-0103</x:v>
      </x:c>
      <x:c r="B109" s="16" t="str">
        <x:v>Observation</x:v>
      </x:c>
      <x:c r="C109" s="17" t="str">
        <x:v>待确认</x:v>
      </x:c>
      <x:c r="D109" s="17" t="str">
        <x:v>Minor surface corrosion of window corner.</x:v>
      </x:c>
      <x:c r="E109" s="16" t="str">
        <x:v>近似描述核对</x:v>
      </x:c>
      <x:c r="F109" s="16" t="str">
        <x:v>措辞近似，需确认含义和适用范围是否一致。</x:v>
      </x:c>
      <x:c r="G109" s="16" t="str">
        <x:v>OBS-0408, OBS-0409</x:v>
      </x:c>
      <x:c r="H109" s="16" t="str">
        <x:v>Minor surface corrosion of window corner.</x:v>
      </x:c>
      <x:c r="I109" s="16" t="str">
        <x:v>Minor surface corrosion of window framing</x:v>
      </x:c>
      <x:c r="J109" s="17" t="str"/>
      <x:c r="K109" s="17" t="str"/>
      <x:c r="L109" s="16" t="str">
        <x:v>SRC-010, SRC-054</x:v>
      </x:c>
      <x:c r="M109" s="16" t="str">
        <x:f>IF(C109="待确认","待确认",IF(C109="需修改","需修改",IF(C109="保持独立","已确认",IF(OR(C109="同意合并",C109="使用模板",C109="提取短句"),IF(LEN(TRIM(D109))=0,"缺少标准文字","已确认"),"无效选择"))))</x:f>
        <x:v>待确认</x:v>
      </x:c>
    </x:row>
    <x:row r="110" ht="37" customHeight="1">
      <x:c r="A110" s="16" t="str">
        <x:v>MRG-0104</x:v>
      </x:c>
      <x:c r="B110" s="16" t="str">
        <x:v>Observation</x:v>
      </x:c>
      <x:c r="C110" s="17" t="str">
        <x:v>待确认</x:v>
      </x:c>
      <x:c r="D110" s="17" t="str">
        <x:v>Back verandah columns in good condition.</x:v>
      </x:c>
      <x:c r="E110" s="16" t="str">
        <x:v>近似描述核对</x:v>
      </x:c>
      <x:c r="F110" s="16" t="str">
        <x:v>措辞近似，需确认含义和适用范围是否一致。</x:v>
      </x:c>
      <x:c r="G110" s="16" t="str">
        <x:v>OBS-0021, OBS-0299</x:v>
      </x:c>
      <x:c r="H110" s="16" t="str">
        <x:v>Back verandah columns in good condition.</x:v>
      </x:c>
      <x:c r="I110" s="16" t="str">
        <x:v>Front verandah. Columns in good condition.</x:v>
      </x:c>
      <x:c r="J110" s="17" t="str"/>
      <x:c r="K110" s="17" t="str"/>
      <x:c r="L110" s="16" t="str">
        <x:v>SRC-011, SRC-026, SRC-053, SRC-060</x:v>
      </x:c>
      <x:c r="M110" s="16" t="str">
        <x:f>IF(C110="待确认","待确认",IF(C110="需修改","需修改",IF(C110="保持独立","已确认",IF(OR(C110="同意合并",C110="使用模板",C110="提取短句"),IF(LEN(TRIM(D110))=0,"缺少标准文字","已确认"),"无效选择"))))</x:f>
        <x:v>待确认</x:v>
      </x:c>
    </x:row>
    <x:row r="111" ht="37" customHeight="1">
      <x:c r="A111" s="16" t="str">
        <x:v>MRG-0105</x:v>
      </x:c>
      <x:c r="B111" s="16" t="str">
        <x:v>Observation</x:v>
      </x:c>
      <x:c r="C111" s="17" t="str">
        <x:v>待确认</x:v>
      </x:c>
      <x:c r="D111" s="17" t="str">
        <x:v>Back verandah in good condition.</x:v>
      </x:c>
      <x:c r="E111" s="16" t="str">
        <x:v>近似描述核对</x:v>
      </x:c>
      <x:c r="F111" s="16" t="str">
        <x:v>措辞近似，需确认含义和适用范围是否一致。</x:v>
      </x:c>
      <x:c r="G111" s="16" t="str">
        <x:v>OBS-0007, OBS-0021</x:v>
      </x:c>
      <x:c r="H111" s="16" t="str">
        <x:v>Back verandah in good condition.</x:v>
      </x:c>
      <x:c r="I111" s="16" t="str">
        <x:v>Back verandah columns in good condition.</x:v>
      </x:c>
      <x:c r="J111" s="17" t="str"/>
      <x:c r="K111" s="17" t="str"/>
      <x:c r="L111" s="16" t="str">
        <x:v>SRC-011, SRC-024, SRC-026, SRC-052, SRC-060</x:v>
      </x:c>
      <x:c r="M111" s="16" t="str">
        <x:f>IF(C111="待确认","待确认",IF(C111="需修改","需修改",IF(C111="保持独立","已确认",IF(OR(C111="同意合并",C111="使用模板",C111="提取短句"),IF(LEN(TRIM(D111))=0,"缺少标准文字","已确认"),"无效选择"))))</x:f>
        <x:v>待确认</x:v>
      </x:c>
    </x:row>
    <x:row r="112" ht="41" customHeight="1">
      <x:c r="A112" s="16" t="str">
        <x:v>MRG-0106</x:v>
      </x:c>
      <x:c r="B112" s="16" t="str">
        <x:v>Observation</x:v>
      </x:c>
      <x:c r="C112" s="17" t="str">
        <x:v>待确认</x:v>
      </x:c>
      <x:c r="D112" s="17" t="str"/>
      <x:c r="E112" s="16" t="str">
        <x:v>近似描述核对</x:v>
      </x:c>
      <x:c r="F112" s="16" t="str">
        <x:v>程度、范围、处理方法、条件或编号存在差异，建议保持独立；如仅编号不同可改为模板。 数值或章节引用需保留。</x:v>
      </x:c>
      <x:c r="G112" s="16" t="str">
        <x:v>OBS-0457, OBS-0475</x:v>
      </x:c>
      <x:c r="H112" s="16" t="str">
        <x:v>Pier 7. Severe corrosion at support location. Expansion of steel due to corrosion causing brickwork to crack.</x:v>
      </x:c>
      <x:c r="I112" s="16" t="str">
        <x:v>Rafter at the top of pier 5. Severe corrosion at support location. Expansion of steel due to corrosion causing the brickwork to crack.</x:v>
      </x:c>
      <x:c r="J112" s="17" t="str"/>
      <x:c r="K112" s="17" t="str"/>
      <x:c r="L112" s="16" t="str">
        <x:v>SRC-006</x:v>
      </x:c>
      <x:c r="M112" s="16" t="str">
        <x:f>IF(C112="待确认","待确认",IF(C112="需修改","需修改",IF(C112="保持独立","已确认",IF(OR(C112="同意合并",C112="使用模板",C112="提取短句"),IF(LEN(TRIM(D112))=0,"缺少标准文字","已确认"),"无效选择"))))</x:f>
        <x:v>待确认</x:v>
      </x:c>
    </x:row>
    <x:row r="113" ht="41" customHeight="1">
      <x:c r="A113" s="16" t="str">
        <x:v>MRG-0107</x:v>
      </x:c>
      <x:c r="B113" s="16" t="str">
        <x:v>Observation</x:v>
      </x:c>
      <x:c r="C113" s="17" t="str">
        <x:v>待确认</x:v>
      </x:c>
      <x:c r="D113" s="17" t="str"/>
      <x:c r="E113" s="16" t="str">
        <x:v>近似描述核对</x:v>
      </x:c>
      <x:c r="F113" s="16" t="str">
        <x:v>程度、范围、处理方法、条件或编号存在差异，建议保持独立；如仅编号不同可改为模板。 数值或章节引用需保留。</x:v>
      </x:c>
      <x:c r="G113" s="16" t="str">
        <x:v>OBS-0459, OBS-0475</x:v>
      </x:c>
      <x:c r="H113" s="16" t="str">
        <x:v>Pier 8. Severe corrosion at support location. Expansion of steel due to corrosion causing brickwork to crack.</x:v>
      </x:c>
      <x:c r="I113" s="16" t="str">
        <x:v>Rafter at the top of pier 5. Severe corrosion at support location. Expansion of steel due to corrosion causing the brickwork to crack.</x:v>
      </x:c>
      <x:c r="J113" s="17" t="str"/>
      <x:c r="K113" s="17" t="str"/>
      <x:c r="L113" s="16" t="str">
        <x:v>SRC-006</x:v>
      </x:c>
      <x:c r="M113" s="16" t="str">
        <x:f>IF(C113="待确认","待确认",IF(C113="需修改","需修改",IF(C113="保持独立","已确认",IF(OR(C113="同意合并",C113="使用模板",C113="提取短句"),IF(LEN(TRIM(D113))=0,"缺少标准文字","已确认"),"无效选择"))))</x:f>
        <x:v>待确认</x:v>
      </x:c>
    </x:row>
    <x:row r="114" ht="37" customHeight="1">
      <x:c r="A114" s="16" t="str">
        <x:v>MRG-0108</x:v>
      </x:c>
      <x:c r="B114" s="16" t="str">
        <x:v>Observation</x:v>
      </x:c>
      <x:c r="C114" s="17" t="str">
        <x:v>待确认</x:v>
      </x:c>
      <x:c r="D114" s="17" t="str">
        <x:v>Front verandah soffit cladding. Minor corrosion on flashing.</x:v>
      </x:c>
      <x:c r="E114" s="16" t="str">
        <x:v>近似描述核对</x:v>
      </x:c>
      <x:c r="F114" s="16" t="str">
        <x:v>措辞近似，需确认含义和适用范围是否一致。</x:v>
      </x:c>
      <x:c r="G114" s="16" t="str">
        <x:v>OBS-0297, OBS-0298</x:v>
      </x:c>
      <x:c r="H114" s="16" t="str">
        <x:v>Front verandah soffit cladding. Minor corrosion on flashing.</x:v>
      </x:c>
      <x:c r="I114" s="16" t="str">
        <x:v>Front verandah soffit cladding. Minor corrosion.</x:v>
      </x:c>
      <x:c r="J114" s="17" t="str"/>
      <x:c r="K114" s="17" t="str"/>
      <x:c r="L114" s="16" t="str">
        <x:v>SRC-009</x:v>
      </x:c>
      <x:c r="M114" s="16" t="str">
        <x:f>IF(C114="待确认","待确认",IF(C114="需修改","需修改",IF(C114="保持独立","已确认",IF(OR(C114="同意合并",C114="使用模板",C114="提取短句"),IF(LEN(TRIM(D114))=0,"缺少标准文字","已确认"),"无效选择"))))</x:f>
        <x:v>待确认</x:v>
      </x:c>
    </x:row>
    <x:row r="115" ht="41" customHeight="1">
      <x:c r="A115" s="16" t="str">
        <x:v>MRG-0109</x:v>
      </x:c>
      <x:c r="B115" s="16" t="str">
        <x:v>Observation</x:v>
      </x:c>
      <x:c r="C115" s="17" t="str">
        <x:v>待确认</x:v>
      </x:c>
      <x:c r="D115" s="17" t="str">
        <x:v>Adjacent to front door. Minor corrosion at corner of window, typical to most windows. Staining on wall cladding at bolted connection.</x:v>
      </x:c>
      <x:c r="E115" s="16" t="str">
        <x:v>近似描述核对</x:v>
      </x:c>
      <x:c r="F115" s="16" t="str">
        <x:v>措辞近似，需确认含义和适用范围是否一致。</x:v>
      </x:c>
      <x:c r="G115" s="16" t="str">
        <x:v>OBS-0091, OBS-0383</x:v>
      </x:c>
      <x:c r="H115" s="16" t="str">
        <x:v>Adjacent to front door. Minor corrosion at corner of window, typical to most windows. Staining on wall cladding at bolted connection.</x:v>
      </x:c>
      <x:c r="I115" s="16" t="str">
        <x:v>Minor corrosion at corner of window, typical to most windows. Salt staining on wall cladding at bolted connection.</x:v>
      </x:c>
      <x:c r="J115" s="17" t="str"/>
      <x:c r="K115" s="17" t="str"/>
      <x:c r="L115" s="16" t="str">
        <x:v>SRC-023, SRC-027</x:v>
      </x:c>
      <x:c r="M115" s="16" t="str">
        <x:f>IF(C115="待确认","待确认",IF(C115="需修改","需修改",IF(C115="保持独立","已确认",IF(OR(C115="同意合并",C115="使用模板",C115="提取短句"),IF(LEN(TRIM(D115))=0,"缺少标准文字","已确认"),"无效选择"))))</x:f>
        <x:v>待确认</x:v>
      </x:c>
    </x:row>
    <x:row r="116" ht="37" customHeight="1">
      <x:c r="A116" s="16" t="str">
        <x:v>MRG-0110</x:v>
      </x:c>
      <x:c r="B116" s="16" t="str">
        <x:v>Observation</x:v>
      </x:c>
      <x:c r="C116" s="17" t="str">
        <x:v>待确认</x:v>
      </x:c>
      <x:c r="D116" s="17" t="str">
        <x:v>Carport verandah corner. Salt staining on purlins and rafters.</x:v>
      </x:c>
      <x:c r="E116" s="16" t="str">
        <x:v>近似描述核对</x:v>
      </x:c>
      <x:c r="F116" s="16" t="str">
        <x:v>措辞近似，需确认含义和适用范围是否一致。</x:v>
      </x:c>
      <x:c r="G116" s="16" t="str">
        <x:v>OBS-0170, OBS-0309</x:v>
      </x:c>
      <x:c r="H116" s="16" t="str">
        <x:v>Carport verandah corner. Salt staining on purlins and rafters.</x:v>
      </x:c>
      <x:c r="I116" s="16" t="str">
        <x:v>Front verandah. Salt staining on purlins and rafters.</x:v>
      </x:c>
      <x:c r="J116" s="17" t="str"/>
      <x:c r="K116" s="17" t="str"/>
      <x:c r="L116" s="16" t="str">
        <x:v>SRC-053</x:v>
      </x:c>
      <x:c r="M116" s="16" t="str">
        <x:f>IF(C116="待确认","待确认",IF(C116="需修改","需修改",IF(C116="保持独立","已确认",IF(OR(C116="同意合并",C116="使用模板",C116="提取短句"),IF(LEN(TRIM(D116))=0,"缺少标准文字","已确认"),"无效选择"))))</x:f>
        <x:v>待确认</x:v>
      </x:c>
    </x:row>
    <x:row r="117" ht="37" customHeight="1">
      <x:c r="A117" s="16" t="str">
        <x:v>MRG-0111</x:v>
      </x:c>
      <x:c r="B117" s="16" t="str">
        <x:v>Observation</x:v>
      </x:c>
      <x:c r="C117" s="17" t="str">
        <x:v>待确认</x:v>
      </x:c>
      <x:c r="D117" s="17" t="str">
        <x:v>Front verandah column in good condition.</x:v>
      </x:c>
      <x:c r="E117" s="16" t="str">
        <x:v>近似描述核对</x:v>
      </x:c>
      <x:c r="F117" s="16" t="str">
        <x:v>措辞近似，需确认含义和适用范围是否一致。</x:v>
      </x:c>
      <x:c r="G117" s="16" t="str">
        <x:v>OBS-0051, OBS-0109</x:v>
      </x:c>
      <x:c r="H117" s="16" t="str">
        <x:v>Front verandah column in good condition.</x:v>
      </x:c>
      <x:c r="I117" s="16" t="str">
        <x:v>Back verandah column in good condition.</x:v>
      </x:c>
      <x:c r="J117" s="17" t="str"/>
      <x:c r="K117" s="17" t="str"/>
      <x:c r="L117" s="16" t="str">
        <x:v>SRC-050, SRC-052</x:v>
      </x:c>
      <x:c r="M117" s="16" t="str">
        <x:f>IF(C117="待确认","待确认",IF(C117="需修改","需修改",IF(C117="保持独立","已确认",IF(OR(C117="同意合并",C117="使用模板",C117="提取短句"),IF(LEN(TRIM(D117))=0,"缺少标准文字","已确认"),"无效选择"))))</x:f>
        <x:v>待确认</x:v>
      </x:c>
    </x:row>
    <x:row r="118" ht="37" customHeight="1">
      <x:c r="A118" s="16" t="str">
        <x:v>MRG-0112</x:v>
      </x:c>
      <x:c r="B118" s="16" t="str">
        <x:v>Observation</x:v>
      </x:c>
      <x:c r="C118" s="17" t="str">
        <x:v>待确认</x:v>
      </x:c>
      <x:c r="D118" s="17" t="str">
        <x:v>Backyard fencing post. Most posts have paint deterioration at the lower section.</x:v>
      </x:c>
      <x:c r="E118" s="16" t="str">
        <x:v>近似描述核对</x:v>
      </x:c>
      <x:c r="F118" s="16" t="str">
        <x:v>措辞近似，需确认含义和适用范围是否一致。</x:v>
      </x:c>
      <x:c r="G118" s="16" t="str">
        <x:v>OBS-0035, OBS-0164</x:v>
      </x:c>
      <x:c r="H118" s="16" t="str">
        <x:v>Backyard fencing post. Most posts have paint deterioration at the lower section.</x:v>
      </x:c>
      <x:c r="I118" s="16" t="str">
        <x:v>Carport gate post. Most posts have paint deterioration at the lower section.</x:v>
      </x:c>
      <x:c r="J118" s="17" t="str"/>
      <x:c r="K118" s="17" t="str"/>
      <x:c r="L118" s="16" t="str">
        <x:v>SRC-024, SRC-026, SRC-050</x:v>
      </x:c>
      <x:c r="M118" s="16" t="str">
        <x:f>IF(C118="待确认","待确认",IF(C118="需修改","需修改",IF(C118="保持独立","已确认",IF(OR(C118="同意合并",C118="使用模板",C118="提取短句"),IF(LEN(TRIM(D118))=0,"缺少标准文字","已确认"),"无效选择"))))</x:f>
        <x:v>待确认</x:v>
      </x:c>
    </x:row>
    <x:row r="119" ht="41" customHeight="1">
      <x:c r="A119" s="16" t="str">
        <x:v>MRG-0113</x:v>
      </x:c>
      <x:c r="B119" s="16" t="str">
        <x:v>Observation</x:v>
      </x:c>
      <x:c r="C119" s="17" t="str">
        <x:v>待确认</x:v>
      </x:c>
      <x:c r="D119" s="17" t="str"/>
      <x:c r="E119" s="16" t="str">
        <x:v>近似描述核对</x:v>
      </x:c>
      <x:c r="F119" s="16" t="str">
        <x:v>程度、范围、处理方法、条件或编号存在差异，建议保持独立；如仅编号不同可改为模板。 数值或章节引用需保留。</x:v>
      </x:c>
      <x:c r="G119" s="16" t="str">
        <x:v>OBS-0196, OBS-0204</x:v>
      </x:c>
      <x:c r="H119" s="16" t="str">
        <x:v>Column 3 overview. Minor corrosion of the connection.</x:v>
      </x:c>
      <x:c r="I119" s="16" t="str">
        <x:v>Column 4. Minor corrosion of the connection.</x:v>
      </x:c>
      <x:c r="J119" s="17" t="str"/>
      <x:c r="K119" s="17" t="str"/>
      <x:c r="L119" s="16" t="str">
        <x:v>SRC-092</x:v>
      </x:c>
      <x:c r="M119" s="16" t="str">
        <x:f>IF(C119="待确认","待确认",IF(C119="需修改","需修改",IF(C119="保持独立","已确认",IF(OR(C119="同意合并",C119="使用模板",C119="提取短句"),IF(LEN(TRIM(D119))=0,"缺少标准文字","已确认"),"无效选择"))))</x:f>
        <x:v>待确认</x:v>
      </x:c>
    </x:row>
    <x:row r="120" ht="37" customHeight="1">
      <x:c r="A120" s="16" t="str">
        <x:v>MRG-0114</x:v>
      </x:c>
      <x:c r="B120" s="16" t="str">
        <x:v>Observation</x:v>
      </x:c>
      <x:c r="C120" s="17" t="str">
        <x:v>待确认</x:v>
      </x:c>
      <x:c r="D120" s="17" t="str">
        <x:v>Carport wall cladding in good condition.</x:v>
      </x:c>
      <x:c r="E120" s="16" t="str">
        <x:v>近似描述核对</x:v>
      </x:c>
      <x:c r="F120" s="16" t="str">
        <x:v>措辞近似，需确认含义和适用范围是否一致。</x:v>
      </x:c>
      <x:c r="G120" s="16" t="str">
        <x:v>OBS-0038, OBS-0122</x:v>
      </x:c>
      <x:c r="H120" s="16" t="str">
        <x:v>Carport wall cladding in good condition.</x:v>
      </x:c>
      <x:c r="I120" s="16" t="str">
        <x:v>Back wall cladding in good condition</x:v>
      </x:c>
      <x:c r="J120" s="17" t="str"/>
      <x:c r="K120" s="17" t="str"/>
      <x:c r="L120" s="16" t="str">
        <x:v>SRC-015, SRC-026, SRC-052</x:v>
      </x:c>
      <x:c r="M120" s="16" t="str">
        <x:f>IF(C120="待确认","待确认",IF(C120="需修改","需修改",IF(C120="保持独立","已确认",IF(OR(C120="同意合并",C120="使用模板",C120="提取短句"),IF(LEN(TRIM(D120))=0,"缺少标准文字","已确认"),"无效选择"))))</x:f>
        <x:v>待确认</x:v>
      </x:c>
    </x:row>
    <x:row r="121" ht="41" customHeight="1">
      <x:c r="A121" s="16" t="str">
        <x:v>MRG-0115</x:v>
      </x:c>
      <x:c r="B121" s="16" t="str">
        <x:v>Observation</x:v>
      </x:c>
      <x:c r="C121" s="17" t="str">
        <x:v>待确认</x:v>
      </x:c>
      <x:c r="D121" s="17" t="str">
        <x:v>Front and right hand side of house facing the entrance. Minor corrosion of verandah beam.</x:v>
      </x:c>
      <x:c r="E121" s="16" t="str">
        <x:v>近似描述核对</x:v>
      </x:c>
      <x:c r="F121" s="16" t="str">
        <x:v>措辞近似，需确认含义和适用范围是否一致。</x:v>
      </x:c>
      <x:c r="G121" s="16" t="str">
        <x:v>OBS-0268, OBS-0493</x:v>
      </x:c>
      <x:c r="H121" s="16" t="str">
        <x:v>Front and right hand side of house facing the entrance. Minor corrosion of verandah beam.</x:v>
      </x:c>
      <x:c r="I121" s="16" t="str">
        <x:v>Right hand side of house facing the entrance. Minor corrosion of verandah beams and posts.</x:v>
      </x:c>
      <x:c r="J121" s="17" t="str"/>
      <x:c r="K121" s="17" t="str"/>
      <x:c r="L121" s="16" t="str">
        <x:v>SRC-010, SRC-055</x:v>
      </x:c>
      <x:c r="M121" s="16" t="str">
        <x:f>IF(C121="待确认","待确认",IF(C121="需修改","需修改",IF(C121="保持独立","已确认",IF(OR(C121="同意合并",C121="使用模板",C121="提取短句"),IF(LEN(TRIM(D121))=0,"缺少标准文字","已确认"),"无效选择"))))</x:f>
        <x:v>待确认</x:v>
      </x:c>
    </x:row>
    <x:row r="122" ht="41" customHeight="1">
      <x:c r="A122" s="16" t="str">
        <x:v>MRG-0116</x:v>
      </x:c>
      <x:c r="B122" s="16" t="str">
        <x:v>Observation</x:v>
      </x:c>
      <x:c r="C122" s="17" t="str">
        <x:v>待确认</x:v>
      </x:c>
      <x:c r="D122" s="17" t="str">
        <x:v>Front and right hand side of house facing the entrance. Minor corrosion of verandah beam.</x:v>
      </x:c>
      <x:c r="E122" s="16" t="str">
        <x:v>近似描述核对</x:v>
      </x:c>
      <x:c r="F122" s="16" t="str">
        <x:v>措辞近似，需确认含义和适用范围是否一致。</x:v>
      </x:c>
      <x:c r="G122" s="16" t="str">
        <x:v>OBS-0268, OBS-0494</x:v>
      </x:c>
      <x:c r="H122" s="16" t="str">
        <x:v>Front and right hand side of house facing the entrance. Minor corrosion of verandah beam.</x:v>
      </x:c>
      <x:c r="I122" s="16" t="str">
        <x:v>Right hand side of house facing the entrance. Minor corrosion of verandah column and beam.</x:v>
      </x:c>
      <x:c r="J122" s="17" t="str"/>
      <x:c r="K122" s="17" t="str"/>
      <x:c r="L122" s="16" t="str">
        <x:v>SRC-010, SRC-055</x:v>
      </x:c>
      <x:c r="M122" s="16" t="str">
        <x:f>IF(C122="待确认","待确认",IF(C122="需修改","需修改",IF(C122="保持独立","已确认",IF(OR(C122="同意合并",C122="使用模板",C122="提取短句"),IF(LEN(TRIM(D122))=0,"缺少标准文字","已确认"),"无效选择"))))</x:f>
        <x:v>待确认</x:v>
      </x:c>
    </x:row>
    <x:row r="123" ht="41" customHeight="1">
      <x:c r="A123" s="16" t="str">
        <x:v>MRG-0117</x:v>
      </x:c>
      <x:c r="B123" s="16" t="str">
        <x:v>Observation</x:v>
      </x:c>
      <x:c r="C123" s="17" t="str">
        <x:v>待确认</x:v>
      </x:c>
      <x:c r="D123" s="17" t="str">
        <x:v>Right hand side of back balcony facing front entrance. Spalling and exposed reinforcement.</x:v>
      </x:c>
      <x:c r="E123" s="16" t="str">
        <x:v>近似描述核对</x:v>
      </x:c>
      <x:c r="F123" s="16" t="str">
        <x:v>措辞近似，需确认含义和适用范围是否一致。</x:v>
      </x:c>
      <x:c r="G123" s="16" t="str">
        <x:v>OBS-0487, OBS-0488</x:v>
      </x:c>
      <x:c r="H123" s="16" t="str">
        <x:v>Right hand side of back balcony facing front entrance. Spalling and exposed reinforcement.</x:v>
      </x:c>
      <x:c r="I123" s="16" t="str">
        <x:v>Right hand side of back balcony facing front entrance. Spalling and exposed reinforcement. This is a typical issue.</x:v>
      </x:c>
      <x:c r="J123" s="17" t="str"/>
      <x:c r="K123" s="17" t="str"/>
      <x:c r="L123" s="16" t="str">
        <x:v>SRC-096</x:v>
      </x:c>
      <x:c r="M123" s="16" t="str">
        <x:f>IF(C123="待确认","待确认",IF(C123="需修改","需修改",IF(C123="保持独立","已确认",IF(OR(C123="同意合并",C123="使用模板",C123="提取短句"),IF(LEN(TRIM(D123))=0,"缺少标准文字","已确认"),"无效选择"))))</x:f>
        <x:v>待确认</x:v>
      </x:c>
    </x:row>
    <x:row r="124" ht="37" customHeight="1">
      <x:c r="A124" s="16" t="str">
        <x:v>MRG-0118</x:v>
      </x:c>
      <x:c r="B124" s="16" t="str">
        <x:v>Observation</x:v>
      </x:c>
      <x:c r="C124" s="17" t="str">
        <x:v>待确认</x:v>
      </x:c>
      <x:c r="D124" s="17" t="str">
        <x:v>Front of property. Minor corrosion of lintel.</x:v>
      </x:c>
      <x:c r="E124" s="16" t="str">
        <x:v>近似描述核对</x:v>
      </x:c>
      <x:c r="F124" s="16" t="str">
        <x:v>措辞近似，需确认含义和适用范围是否一致。</x:v>
      </x:c>
      <x:c r="G124" s="16" t="str">
        <x:v>OBS-0280, OBS-0281</x:v>
      </x:c>
      <x:c r="H124" s="16" t="str">
        <x:v>Front of property. Minor corrosion of lintel.</x:v>
      </x:c>
      <x:c r="I124" s="16" t="str">
        <x:v>Front of property. Minor corrosion of steel plate.</x:v>
      </x:c>
      <x:c r="J124" s="17" t="str"/>
      <x:c r="K124" s="17" t="str"/>
      <x:c r="L124" s="16" t="str">
        <x:v>SRC-013, SRC-057</x:v>
      </x:c>
      <x:c r="M124" s="16" t="str">
        <x:f>IF(C124="待确认","待确认",IF(C124="需修改","需修改",IF(C124="保持独立","已确认",IF(OR(C124="同意合并",C124="使用模板",C124="提取短句"),IF(LEN(TRIM(D124))=0,"缺少标准文字","已确认"),"无效选择"))))</x:f>
        <x:v>待确认</x:v>
      </x:c>
    </x:row>
    <x:row r="125" ht="37" customHeight="1">
      <x:c r="A125" s="16" t="str">
        <x:v>MRG-0119</x:v>
      </x:c>
      <x:c r="B125" s="16" t="str">
        <x:v>Observation</x:v>
      </x:c>
      <x:c r="C125" s="17" t="str">
        <x:v>待确认</x:v>
      </x:c>
      <x:c r="D125" s="17" t="str">
        <x:v>Front wall cladding in good condition</x:v>
      </x:c>
      <x:c r="E125" s="16" t="str">
        <x:v>近似描述核对</x:v>
      </x:c>
      <x:c r="F125" s="16" t="str">
        <x:v>措辞近似，需确认含义和适用范围是否一致。</x:v>
      </x:c>
      <x:c r="G125" s="16" t="str">
        <x:v>OBS-0025, OBS-0122</x:v>
      </x:c>
      <x:c r="H125" s="16" t="str">
        <x:v>Front wall cladding in good condition</x:v>
      </x:c>
      <x:c r="I125" s="16" t="str">
        <x:v>Back wall cladding in good condition</x:v>
      </x:c>
      <x:c r="J125" s="17" t="str"/>
      <x:c r="K125" s="17" t="str"/>
      <x:c r="L125" s="16" t="str">
        <x:v>SRC-014, SRC-015, SRC-058</x:v>
      </x:c>
      <x:c r="M125" s="16" t="str">
        <x:f>IF(C125="待确认","待确认",IF(C125="需修改","需修改",IF(C125="保持独立","已确认",IF(OR(C125="同意合并",C125="使用模板",C125="提取短句"),IF(LEN(TRIM(D125))=0,"缺少标准文字","已确认"),"无效选择"))))</x:f>
        <x:v>待确认</x:v>
      </x:c>
    </x:row>
    <x:row r="126" ht="41" customHeight="1">
      <x:c r="A126" s="16" t="str">
        <x:v>MRG-0120</x:v>
      </x:c>
      <x:c r="B126" s="16" t="str">
        <x:v>Observation</x:v>
      </x:c>
      <x:c r="C126" s="17" t="str">
        <x:v>待确认</x:v>
      </x:c>
      <x:c r="D126" s="17" t="str">
        <x:v>Front of property. Cladding and framing in good condition.</x:v>
      </x:c>
      <x:c r="E126" s="16" t="str">
        <x:v>近似描述核对</x:v>
      </x:c>
      <x:c r="F126" s="16" t="str">
        <x:v>措辞近似，需确认含义和适用范围是否一致。</x:v>
      </x:c>
      <x:c r="G126" s="16" t="str">
        <x:v>OBS-0004, OBS-0278</x:v>
      </x:c>
      <x:c r="H126" s="16" t="str">
        <x:v>Front of property. Cladding and framing in good condition.</x:v>
      </x:c>
      <x:c r="I126" s="16" t="str">
        <x:v>Front of property. Framing and cladding in good condition.</x:v>
      </x:c>
      <x:c r="J126" s="17" t="str"/>
      <x:c r="K126" s="17" t="str"/>
      <x:c r="L126" s="16" t="str">
        <x:v>SRC-001, SRC-003, SRC-004, SRC-011, SRC-024, SRC-026, SRC-053, SRC-052, SRC-056</x:v>
      </x:c>
      <x:c r="M126" s="16" t="str">
        <x:f>IF(C126="待确认","待确认",IF(C126="需修改","需修改",IF(C126="保持独立","已确认",IF(OR(C126="同意合并",C126="使用模板",C126="提取短句"),IF(LEN(TRIM(D126))=0,"缺少标准文字","已确认"),"无效选择"))))</x:f>
        <x:v>待确认</x:v>
      </x:c>
    </x:row>
    <x:row r="127" ht="41" customHeight="1">
      <x:c r="A127" s="16" t="str">
        <x:v>MRG-0121</x:v>
      </x:c>
      <x:c r="B127" s="16" t="str">
        <x:v>Observation</x:v>
      </x:c>
      <x:c r="C127" s="17" t="str">
        <x:v>待确认</x:v>
      </x:c>
      <x:c r="D127" s="17" t="str">
        <x:v>Front verandah in good condition.</x:v>
      </x:c>
      <x:c r="E127" s="16" t="str">
        <x:v>近似描述核对</x:v>
      </x:c>
      <x:c r="F127" s="16" t="str">
        <x:v>措辞近似，需确认含义和适用范围是否一致。</x:v>
      </x:c>
      <x:c r="G127" s="16" t="str">
        <x:v>OBS-0013, OBS-0078</x:v>
      </x:c>
      <x:c r="H127" s="16" t="str">
        <x:v>Front verandah in good condition.</x:v>
      </x:c>
      <x:c r="I127" s="16" t="str">
        <x:v>Porch verandah in good condition</x:v>
      </x:c>
      <x:c r="J127" s="17" t="str"/>
      <x:c r="K127" s="17" t="str"/>
      <x:c r="L127" s="16" t="str">
        <x:v>SRC-001, SRC-011, SRC-024, SRC-026, SRC-052, SRC-062</x:v>
      </x:c>
      <x:c r="M127" s="16" t="str">
        <x:f>IF(C127="待确认","待确认",IF(C127="需修改","需修改",IF(C127="保持独立","已确认",IF(OR(C127="同意合并",C127="使用模板",C127="提取短句"),IF(LEN(TRIM(D127))=0,"缺少标准文字","已确认"),"无效选择"))))</x:f>
        <x:v>待确认</x:v>
      </x:c>
    </x:row>
    <x:row r="128" ht="41" customHeight="1">
      <x:c r="A128" s="16" t="str">
        <x:v>MRG-0122</x:v>
      </x:c>
      <x:c r="B128" s="16" t="str">
        <x:v>Observation</x:v>
      </x:c>
      <x:c r="C128" s="17" t="str">
        <x:v>待确认</x:v>
      </x:c>
      <x:c r="D128" s="17" t="str">
        <x:v>Left hand side corner facing front of the house. Severe corrosion of Tek screws.</x:v>
      </x:c>
      <x:c r="E128" s="16" t="str">
        <x:v>近似描述核对</x:v>
      </x:c>
      <x:c r="F128" s="16" t="str">
        <x:v>措辞近似，需确认含义和适用范围是否一致。</x:v>
      </x:c>
      <x:c r="G128" s="16" t="str">
        <x:v>OBS-0338, OBS-0339</x:v>
      </x:c>
      <x:c r="H128" s="16" t="str">
        <x:v>Left hand side corner facing front of the house. Severe corrosion of Tek screws.</x:v>
      </x:c>
      <x:c r="I128" s="16" t="str">
        <x:v>Left hand side corner facing front of the house. Severe corrosion on Tek screws and top hat purlins.</x:v>
      </x:c>
      <x:c r="J128" s="17" t="str"/>
      <x:c r="K128" s="17" t="str"/>
      <x:c r="L128" s="16" t="str">
        <x:v>SRC-014</x:v>
      </x:c>
      <x:c r="M128" s="16" t="str">
        <x:f>IF(C128="待确认","待确认",IF(C128="需修改","需修改",IF(C128="保持独立","已确认",IF(OR(C128="同意合并",C128="使用模板",C128="提取短句"),IF(LEN(TRIM(D128))=0,"缺少标准文字","已确认"),"无效选择"))))</x:f>
        <x:v>待确认</x:v>
      </x:c>
    </x:row>
    <x:row r="129" ht="37" customHeight="1">
      <x:c r="A129" s="16" t="str">
        <x:v>MRG-0123</x:v>
      </x:c>
      <x:c r="B129" s="16" t="str">
        <x:v>Observation</x:v>
      </x:c>
      <x:c r="C129" s="17" t="str">
        <x:v>待确认</x:v>
      </x:c>
      <x:c r="D129" s="17" t="str">
        <x:v>Overview of structure.</x:v>
      </x:c>
      <x:c r="E129" s="16" t="str">
        <x:v>近似描述核对</x:v>
      </x:c>
      <x:c r="F129" s="16" t="str">
        <x:v>措辞近似，需确认含义和适用范围是否一致。</x:v>
      </x:c>
      <x:c r="G129" s="16" t="str">
        <x:v>OBS-0017, OBS-0437</x:v>
      </x:c>
      <x:c r="H129" s="16" t="str">
        <x:v>Overview of structure.</x:v>
      </x:c>
      <x:c r="I129" s="16" t="str">
        <x:v>Overview of shade structure.</x:v>
      </x:c>
      <x:c r="J129" s="17" t="str"/>
      <x:c r="K129" s="17" t="str"/>
      <x:c r="L129" s="16" t="str">
        <x:v>SRC-063, SRC-065, SRC-068, SRC-069, SRC-070</x:v>
      </x:c>
      <x:c r="M129" s="16" t="str">
        <x:f>IF(C129="待确认","待确认",IF(C129="需修改","需修改",IF(C129="保持独立","已确认",IF(OR(C129="同意合并",C129="使用模板",C129="提取短句"),IF(LEN(TRIM(D129))=0,"缺少标准文字","已确认"),"无效选择"))))</x:f>
        <x:v>待确认</x:v>
      </x:c>
    </x:row>
    <x:row r="130" ht="41" customHeight="1">
      <x:c r="A130" s="16" t="str">
        <x:v>MRG-0124</x:v>
      </x:c>
      <x:c r="B130" s="16" t="str">
        <x:v>Observation</x:v>
      </x:c>
      <x:c r="C130" s="17" t="str">
        <x:v>待确认</x:v>
      </x:c>
      <x:c r="D130" s="17" t="str"/>
      <x:c r="E130" s="16" t="str">
        <x:v>近似描述核对</x:v>
      </x:c>
      <x:c r="F130" s="16" t="str">
        <x:v>程度、范围、处理方法、条件或编号存在差异，建议保持独立；如仅编号不同可改为模板。 数值或章节引用需保留。</x:v>
      </x:c>
      <x:c r="G130" s="16" t="str">
        <x:v>OBS-0457, OBS-0474</x:v>
      </x:c>
      <x:c r="H130" s="16" t="str">
        <x:v>Pier 7. Severe corrosion at support location. Expansion of steel due to corrosion causing brickwork to crack.</x:v>
      </x:c>
      <x:c r="I130" s="16" t="str">
        <x:v>Rafter at the top of Pier 6. Severe corrosion at support location. Expansion of steel rafter due to corrosion causing brickwork to crack</x:v>
      </x:c>
      <x:c r="J130" s="17" t="str"/>
      <x:c r="K130" s="17" t="str"/>
      <x:c r="L130" s="16" t="str">
        <x:v>SRC-006</x:v>
      </x:c>
      <x:c r="M130" s="16" t="str">
        <x:f>IF(C130="待确认","待确认",IF(C130="需修改","需修改",IF(C130="保持独立","已确认",IF(OR(C130="同意合并",C130="使用模板",C130="提取短句"),IF(LEN(TRIM(D130))=0,"缺少标准文字","已确认"),"无效选择"))))</x:f>
        <x:v>待确认</x:v>
      </x:c>
    </x:row>
    <x:row r="131" ht="41" customHeight="1">
      <x:c r="A131" s="16" t="str">
        <x:v>MRG-0125</x:v>
      </x:c>
      <x:c r="B131" s="16" t="str">
        <x:v>Observation</x:v>
      </x:c>
      <x:c r="C131" s="17" t="str">
        <x:v>待确认</x:v>
      </x:c>
      <x:c r="D131" s="17" t="str"/>
      <x:c r="E131" s="16" t="str">
        <x:v>近似描述核对</x:v>
      </x:c>
      <x:c r="F131" s="16" t="str">
        <x:v>程度、范围、处理方法、条件或编号存在差异，建议保持独立；如仅编号不同可改为模板。 数值或章节引用需保留。</x:v>
      </x:c>
      <x:c r="G131" s="16" t="str">
        <x:v>OBS-0459, OBS-0474</x:v>
      </x:c>
      <x:c r="H131" s="16" t="str">
        <x:v>Pier 8. Severe corrosion at support location. Expansion of steel due to corrosion causing brickwork to crack.</x:v>
      </x:c>
      <x:c r="I131" s="16" t="str">
        <x:v>Rafter at the top of Pier 6. Severe corrosion at support location. Expansion of steel rafter due to corrosion causing brickwork to crack</x:v>
      </x:c>
      <x:c r="J131" s="17" t="str"/>
      <x:c r="K131" s="17" t="str"/>
      <x:c r="L131" s="16" t="str">
        <x:v>SRC-006</x:v>
      </x:c>
      <x:c r="M131" s="16" t="str">
        <x:f>IF(C131="待确认","待确认",IF(C131="需修改","需修改",IF(C131="保持独立","已确认",IF(OR(C131="同意合并",C131="使用模板",C131="提取短句"),IF(LEN(TRIM(D131))=0,"缺少标准文字","已确认"),"无效选择"))))</x:f>
        <x:v>待确认</x:v>
      </x:c>
    </x:row>
    <x:row r="132" ht="41" customHeight="1">
      <x:c r="A132" s="16" t="str">
        <x:v>MRG-0126</x:v>
      </x:c>
      <x:c r="B132" s="16" t="str">
        <x:v>Observation</x:v>
      </x:c>
      <x:c r="C132" s="17" t="str">
        <x:v>待确认</x:v>
      </x:c>
      <x:c r="D132" s="17" t="str"/>
      <x:c r="E132" s="16" t="str">
        <x:v>近似描述核对</x:v>
      </x:c>
      <x:c r="F132" s="16" t="str">
        <x:v>程度、范围、处理方法、条件或编号存在差异，建议保持独立；如仅编号不同可改为模板。 数值或章节引用需保留。</x:v>
      </x:c>
      <x:c r="G132" s="16" t="str">
        <x:v>OBS-0516, OBS-0524</x:v>
      </x:c>
      <x:c r="H132" s="16" t="str">
        <x:v>Row 1 Column 1 corrosion to the lower portion of column.</x:v>
      </x:c>
      <x:c r="I132" s="16" t="str">
        <x:v>Row 1 Column 2. Minor corrosion at lower portion of column.</x:v>
      </x:c>
      <x:c r="J132" s="17" t="str"/>
      <x:c r="K132" s="17" t="str"/>
      <x:c r="L132" s="16" t="str">
        <x:v>SRC-010, SRC-055</x:v>
      </x:c>
      <x:c r="M132" s="16" t="str">
        <x:f>IF(C132="待确认","待确认",IF(C132="需修改","需修改",IF(C132="保持独立","已确认",IF(OR(C132="同意合并",C132="使用模板",C132="提取短句"),IF(LEN(TRIM(D132))=0,"缺少标准文字","已确认"),"无效选择"))))</x:f>
        <x:v>待确认</x:v>
      </x:c>
    </x:row>
    <x:row r="133" ht="41" customHeight="1">
      <x:c r="A133" s="16" t="str">
        <x:v>MRG-0127</x:v>
      </x:c>
      <x:c r="B133" s="16" t="str">
        <x:v>Observation</x:v>
      </x:c>
      <x:c r="C133" s="17" t="str">
        <x:v>待确认</x:v>
      </x:c>
      <x:c r="D133" s="17" t="str">
        <x:v>Fencing posts on left hand side of property facing the front entrance. Corrosion and bitumen paint deterioration.</x:v>
      </x:c>
      <x:c r="E133" s="16" t="str">
        <x:v>近似描述核对</x:v>
      </x:c>
      <x:c r="F133" s="16" t="str">
        <x:v>措辞近似，需确认含义和适用范围是否一致。</x:v>
      </x:c>
      <x:c r="G133" s="16" t="str">
        <x:v>OBS-0024, OBS-0048</x:v>
      </x:c>
      <x:c r="H133" s="16" t="str">
        <x:v>Fencing posts on left hand side of property facing the front entrance. Corrosion and bitumen paint deterioration.</x:v>
      </x:c>
      <x:c r="I133" s="16" t="str">
        <x:v>Fencing posts on left hand side of property facing the front entrance. Bitumen paint deterioration and corrosion.</x:v>
      </x:c>
      <x:c r="J133" s="17" t="str"/>
      <x:c r="K133" s="17" t="str"/>
      <x:c r="L133" s="16" t="str">
        <x:v>SRC-023, SRC-059</x:v>
      </x:c>
      <x:c r="M133" s="16" t="str">
        <x:f>IF(C133="待确认","待确认",IF(C133="需修改","需修改",IF(C133="保持独立","已确认",IF(OR(C133="同意合并",C133="使用模板",C133="提取短句"),IF(LEN(TRIM(D133))=0,"缺少标准文字","已确认"),"无效选择"))))</x:f>
        <x:v>待确认</x:v>
      </x:c>
    </x:row>
    <x:row r="134" ht="37" customHeight="1">
      <x:c r="A134" s="16" t="str">
        <x:v>MRG-0128</x:v>
      </x:c>
      <x:c r="B134" s="16" t="str">
        <x:v>Observation</x:v>
      </x:c>
      <x:c r="C134" s="17" t="str">
        <x:v>待确认</x:v>
      </x:c>
      <x:c r="D134" s="17" t="str">
        <x:v>Back wall cladding facing front entrance in good condition.</x:v>
      </x:c>
      <x:c r="E134" s="16" t="str">
        <x:v>近似描述核对</x:v>
      </x:c>
      <x:c r="F134" s="16" t="str">
        <x:v>措辞近似，需确认含义和适用范围是否一致。</x:v>
      </x:c>
      <x:c r="G134" s="16" t="str">
        <x:v>OBS-0121, OBS-0362</x:v>
      </x:c>
      <x:c r="H134" s="16" t="str">
        <x:v>Back wall cladding facing front entrance in good condition.</x:v>
      </x:c>
      <x:c r="I134" s="16" t="str">
        <x:v>Left hand side wall cladding facing front entrance in good condition.</x:v>
      </x:c>
      <x:c r="J134" s="17" t="str"/>
      <x:c r="K134" s="17" t="str"/>
      <x:c r="L134" s="16" t="str">
        <x:v>SRC-058</x:v>
      </x:c>
      <x:c r="M134" s="16" t="str">
        <x:f>IF(C134="待确认","待确认",IF(C134="需修改","需修改",IF(C134="保持独立","已确认",IF(OR(C134="同意合并",C134="使用模板",C134="提取短句"),IF(LEN(TRIM(D134))=0,"缺少标准文字","已确认"),"无效选择"))))</x:f>
        <x:v>待确认</x:v>
      </x:c>
    </x:row>
    <x:row r="135" ht="41" customHeight="1">
      <x:c r="A135" s="16" t="str">
        <x:v>MRG-0129</x:v>
      </x:c>
      <x:c r="B135" s="16" t="str">
        <x:v>Observation</x:v>
      </x:c>
      <x:c r="C135" s="17" t="str">
        <x:v>待确认</x:v>
      </x:c>
      <x:c r="D135" s="17" t="str"/>
      <x:c r="E135" s="16" t="str">
        <x:v>近似描述核对</x:v>
      </x:c>
      <x:c r="F135" s="16" t="str">
        <x:v>程度、范围、处理方法、条件或编号存在差异，建议保持独立；如仅编号不同可改为模板。</x:v>
      </x:c>
      <x:c r="G135" s="16" t="str">
        <x:v>OBS-0265, OBS-0266</x:v>
      </x:c>
      <x:c r="H135" s="16" t="str">
        <x:v>Fencing posts on left hand side of property facing the front entrance. Corrosion.</x:v>
      </x:c>
      <x:c r="I135" s="16" t="str">
        <x:v>Fencing posts on left hand side of property facing the front entrance. Minor corrosion around cap plate.</x:v>
      </x:c>
      <x:c r="J135" s="17" t="str"/>
      <x:c r="K135" s="17" t="str"/>
      <x:c r="L135" s="16" t="str">
        <x:v>SRC-025, SRC-055</x:v>
      </x:c>
      <x:c r="M135" s="16" t="str">
        <x:f>IF(C135="待确认","待确认",IF(C135="需修改","需修改",IF(C135="保持独立","已确认",IF(OR(C135="同意合并",C135="使用模板",C135="提取短句"),IF(LEN(TRIM(D135))=0,"缺少标准文字","已确认"),"无效选择"))))</x:f>
        <x:v>待确认</x:v>
      </x:c>
    </x:row>
    <x:row r="136" ht="41" customHeight="1">
      <x:c r="A136" s="16" t="str">
        <x:v>MRG-0130</x:v>
      </x:c>
      <x:c r="B136" s="16" t="str">
        <x:v>Observation</x:v>
      </x:c>
      <x:c r="C136" s="17" t="str">
        <x:v>待确认</x:v>
      </x:c>
      <x:c r="D136" s="17" t="str">
        <x:v>Left hand side of house facing the entrance. Minor corrosion of purlins and rafters.</x:v>
      </x:c>
      <x:c r="E136" s="16" t="str">
        <x:v>近似描述核对</x:v>
      </x:c>
      <x:c r="F136" s="16" t="str">
        <x:v>措辞近似，需确认含义和适用范围是否一致。</x:v>
      </x:c>
      <x:c r="G136" s="16" t="str">
        <x:v>OBS-0350, OBS-0351</x:v>
      </x:c>
      <x:c r="H136" s="16" t="str">
        <x:v>Left hand side of house facing the entrance. Minor corrosion of purlins and rafters.</x:v>
      </x:c>
      <x:c r="I136" s="16" t="str">
        <x:v>Left hand side of house facing the entrance. Minor corrosion of verandah beam.</x:v>
      </x:c>
      <x:c r="J136" s="17" t="str"/>
      <x:c r="K136" s="17" t="str"/>
      <x:c r="L136" s="16" t="str">
        <x:v>SRC-025</x:v>
      </x:c>
      <x:c r="M136" s="16" t="str">
        <x:f>IF(C136="待确认","待确认",IF(C136="需修改","需修改",IF(C136="保持独立","已确认",IF(OR(C136="同意合并",C136="使用模板",C136="提取短句"),IF(LEN(TRIM(D136))=0,"缺少标准文字","已确认"),"无效选择"))))</x:f>
        <x:v>待确认</x:v>
      </x:c>
    </x:row>
    <x:row r="137" ht="41" customHeight="1">
      <x:c r="A137" s="16" t="str">
        <x:v>MRG-0131</x:v>
      </x:c>
      <x:c r="B137" s="16" t="str">
        <x:v>Observation</x:v>
      </x:c>
      <x:c r="C137" s="17" t="str">
        <x:v>待确认</x:v>
      </x:c>
      <x:c r="D137" s="17" t="str"/>
      <x:c r="E137" s="16" t="str">
        <x:v>近似描述核对</x:v>
      </x:c>
      <x:c r="F137" s="16" t="str">
        <x:v>程度、范围、处理方法、条件或编号存在差异，建议保持独立；如仅编号不同可改为模板。 数值或章节引用需保留。</x:v>
      </x:c>
      <x:c r="G137" s="16" t="str">
        <x:v>OBS-0519, OBS-0522</x:v>
      </x:c>
      <x:c r="H137" s="16" t="str">
        <x:v>Row 1 Column 1. Column in good condition.</x:v>
      </x:c>
      <x:c r="I137" s="16" t="str">
        <x:v>Row 1 Column 2 in good condition.</x:v>
      </x:c>
      <x:c r="J137" s="17" t="str"/>
      <x:c r="K137" s="17" t="str"/>
      <x:c r="L137" s="16" t="str">
        <x:v>SRC-010, SRC-055</x:v>
      </x:c>
      <x:c r="M137" s="16" t="str">
        <x:f>IF(C137="待确认","待确认",IF(C137="需修改","需修改",IF(C137="保持独立","已确认",IF(OR(C137="同意合并",C137="使用模板",C137="提取短句"),IF(LEN(TRIM(D137))=0,"缺少标准文字","已确认"),"无效选择"))))</x:f>
        <x:v>待确认</x:v>
      </x:c>
    </x:row>
    <x:row r="138" ht="37" customHeight="1">
      <x:c r="A138" s="16" t="str">
        <x:v>MRG-0132</x:v>
      </x:c>
      <x:c r="B138" s="16" t="str">
        <x:v>Observation</x:v>
      </x:c>
      <x:c r="C138" s="17" t="str">
        <x:v>待确认</x:v>
      </x:c>
      <x:c r="D138" s="17" t="str">
        <x:v>Shade structure column overview.</x:v>
      </x:c>
      <x:c r="E138" s="16" t="str">
        <x:v>近似描述核对</x:v>
      </x:c>
      <x:c r="F138" s="16" t="str">
        <x:v>措辞近似，需确认含义和适用范围是否一致。</x:v>
      </x:c>
      <x:c r="G138" s="16" t="str">
        <x:v>OBS-0561, OBS-0566</x:v>
      </x:c>
      <x:c r="H138" s="16" t="str">
        <x:v>Shade structure column overview.</x:v>
      </x:c>
      <x:c r="I138" s="16" t="str">
        <x:v>Shade structure overview.</x:v>
      </x:c>
      <x:c r="J138" s="17" t="str"/>
      <x:c r="K138" s="17" t="str"/>
      <x:c r="L138" s="16" t="str">
        <x:v>SRC-071, SRC-092</x:v>
      </x:c>
      <x:c r="M138" s="16" t="str">
        <x:f>IF(C138="待确认","待确认",IF(C138="需修改","需修改",IF(C138="保持独立","已确认",IF(OR(C138="同意合并",C138="使用模板",C138="提取短句"),IF(LEN(TRIM(D138))=0,"缺少标准文字","已确认"),"无效选择"))))</x:f>
        <x:v>待确认</x:v>
      </x:c>
    </x:row>
    <x:row r="139" ht="37" customHeight="1">
      <x:c r="A139" s="16" t="str">
        <x:v>MRG-0133</x:v>
      </x:c>
      <x:c r="B139" s="16" t="str">
        <x:v>Observation</x:v>
      </x:c>
      <x:c r="C139" s="17" t="str">
        <x:v>待确认</x:v>
      </x:c>
      <x:c r="D139" s="17" t="str">
        <x:v>verandah overview.</x:v>
      </x:c>
      <x:c r="E139" s="16" t="str">
        <x:v>近似描述核对</x:v>
      </x:c>
      <x:c r="F139" s="16" t="str">
        <x:v>措辞近似，需确认含义和适用范围是否一致。</x:v>
      </x:c>
      <x:c r="G139" s="16" t="str">
        <x:v>OBS-0090, OBS-0117</x:v>
      </x:c>
      <x:c r="H139" s="16" t="str">
        <x:v>verandah overview.</x:v>
      </x:c>
      <x:c r="I139" s="16" t="str">
        <x:v>Back verandah overview.</x:v>
      </x:c>
      <x:c r="J139" s="17" t="str"/>
      <x:c r="K139" s="17" t="str"/>
      <x:c r="L139" s="16" t="str">
        <x:v>SRC-012, SRC-063</x:v>
      </x:c>
      <x:c r="M139" s="16" t="str">
        <x:f>IF(C139="待确认","待确认",IF(C139="需修改","需修改",IF(C139="保持独立","已确认",IF(OR(C139="同意合并",C139="使用模板",C139="提取短句"),IF(LEN(TRIM(D139))=0,"缺少标准文字","已确认"),"无效选择"))))</x:f>
        <x:v>待确认</x:v>
      </x:c>
    </x:row>
    <x:row r="140" ht="41" customHeight="1">
      <x:c r="A140" s="16" t="str">
        <x:v>MRG-0134</x:v>
      </x:c>
      <x:c r="B140" s="16" t="str">
        <x:v>Observation</x:v>
      </x:c>
      <x:c r="C140" s="17" t="str">
        <x:v>待确认</x:v>
      </x:c>
      <x:c r="D140" s="17" t="str"/>
      <x:c r="E140" s="16" t="str">
        <x:v>近似描述核对</x:v>
      </x:c>
      <x:c r="F140" s="16" t="str">
        <x:v>程度、范围、处理方法、条件或编号存在差异，建议保持独立；如仅编号不同可改为模板。</x:v>
      </x:c>
      <x:c r="G140" s="16" t="str">
        <x:v>OBS-0093, OBS-0269</x:v>
      </x:c>
      <x:c r="H140" s="16" t="str">
        <x:v>All cladding in good condition.</x:v>
      </x:c>
      <x:c r="I140" s="16" t="str">
        <x:v>Front cladding in good condition.</x:v>
      </x:c>
      <x:c r="J140" s="17" t="str"/>
      <x:c r="K140" s="17" t="str"/>
      <x:c r="L140" s="16" t="str">
        <x:v>SRC-002, SRC-061</x:v>
      </x:c>
      <x:c r="M140" s="16" t="str">
        <x:f>IF(C140="待确认","待确认",IF(C140="需修改","需修改",IF(C140="保持独立","已确认",IF(OR(C140="同意合并",C140="使用模板",C140="提取短句"),IF(LEN(TRIM(D140))=0,"缺少标准文字","已确认"),"无效选择"))))</x:f>
        <x:v>待确认</x:v>
      </x:c>
    </x:row>
    <x:row r="141" ht="37" customHeight="1">
      <x:c r="A141" s="16" t="str">
        <x:v>MRG-0135</x:v>
      </x:c>
      <x:c r="B141" s="16" t="str">
        <x:v>Observation</x:v>
      </x:c>
      <x:c r="C141" s="17" t="str">
        <x:v>待确认</x:v>
      </x:c>
      <x:c r="D141" s="17" t="str">
        <x:v>Front roof overhang has salt minor corrosion on purlins and rafters.</x:v>
      </x:c>
      <x:c r="E141" s="16" t="str">
        <x:v>近似描述核对</x:v>
      </x:c>
      <x:c r="F141" s="16" t="str">
        <x:v>措辞近似，需确认含义和适用范围是否一致。</x:v>
      </x:c>
      <x:c r="G141" s="16" t="str">
        <x:v>OBS-0284, OBS-0295</x:v>
      </x:c>
      <x:c r="H141" s="16" t="str">
        <x:v>Front roof overhang has salt minor corrosion on purlins and rafters.</x:v>
      </x:c>
      <x:c r="I141" s="16" t="str">
        <x:v>Front verandah has minor corrosion on purlins and rafters.</x:v>
      </x:c>
      <x:c r="J141" s="17" t="str"/>
      <x:c r="K141" s="17" t="str"/>
      <x:c r="L141" s="16" t="str">
        <x:v>SRC-061</x:v>
      </x:c>
      <x:c r="M141" s="16" t="str">
        <x:f>IF(C141="待确认","待确认",IF(C141="需修改","需修改",IF(C141="保持独立","已确认",IF(OR(C141="同意合并",C141="使用模板",C141="提取短句"),IF(LEN(TRIM(D141))=0,"缺少标准文字","已确认"),"无效选择"))))</x:f>
        <x:v>待确认</x:v>
      </x:c>
    </x:row>
    <x:row r="142" ht="41" customHeight="1">
      <x:c r="A142" s="16" t="str">
        <x:v>MRG-0136</x:v>
      </x:c>
      <x:c r="B142" s="16" t="str">
        <x:v>Observation</x:v>
      </x:c>
      <x:c r="C142" s="17" t="str">
        <x:v>待确认</x:v>
      </x:c>
      <x:c r="D142" s="17" t="str">
        <x:v>Carport verandah in good condition.</x:v>
      </x:c>
      <x:c r="E142" s="16" t="str">
        <x:v>近似描述核对</x:v>
      </x:c>
      <x:c r="F142" s="16" t="str">
        <x:v>措辞近似，需确认含义和适用范围是否一致。</x:v>
      </x:c>
      <x:c r="G142" s="16" t="str">
        <x:v>OBS-0003, OBS-0138</x:v>
      </x:c>
      <x:c r="H142" s="16" t="str">
        <x:v>Carport verandah in good condition.</x:v>
      </x:c>
      <x:c r="I142" s="16" t="str">
        <x:v>Backyard verandah. In good condition.</x:v>
      </x:c>
      <x:c r="J142" s="17" t="str"/>
      <x:c r="K142" s="17" t="str"/>
      <x:c r="L142" s="16" t="str">
        <x:v>SRC-002, SRC-011, SRC-012, SRC-024, SRC-026, SRC-052, SRC-060, SRC-062</x:v>
      </x:c>
      <x:c r="M142" s="16" t="str">
        <x:f>IF(C142="待确认","待确认",IF(C142="需修改","需修改",IF(C142="保持独立","已确认",IF(OR(C142="同意合并",C142="使用模板",C142="提取短句"),IF(LEN(TRIM(D142))=0,"缺少标准文字","已确认"),"无效选择"))))</x:f>
        <x:v>待确认</x:v>
      </x:c>
    </x:row>
    <x:row r="143" ht="41" customHeight="1">
      <x:c r="A143" s="16" t="str">
        <x:v>MRG-0137</x:v>
      </x:c>
      <x:c r="B143" s="16" t="str">
        <x:v>Observation</x:v>
      </x:c>
      <x:c r="C143" s="17" t="str">
        <x:v>待确认</x:v>
      </x:c>
      <x:c r="D143" s="17" t="str"/>
      <x:c r="E143" s="16" t="str">
        <x:v>近似描述核对</x:v>
      </x:c>
      <x:c r="F143" s="16" t="str">
        <x:v>程度、范围、处理方法、条件或编号存在差异，建议保持独立；如仅编号不同可改为模板。</x:v>
      </x:c>
      <x:c r="G143" s="16" t="str">
        <x:v>OBS-0038, OBS-0093</x:v>
      </x:c>
      <x:c r="H143" s="16" t="str">
        <x:v>Carport wall cladding in good condition.</x:v>
      </x:c>
      <x:c r="I143" s="16" t="str">
        <x:v>All cladding in good condition.</x:v>
      </x:c>
      <x:c r="J143" s="17" t="str"/>
      <x:c r="K143" s="17" t="str"/>
      <x:c r="L143" s="16" t="str">
        <x:v>SRC-026, SRC-052, SRC-061</x:v>
      </x:c>
      <x:c r="M143" s="16" t="str">
        <x:f>IF(C143="待确认","待确认",IF(C143="需修改","需修改",IF(C143="保持独立","已确认",IF(OR(C143="同意合并",C143="使用模板",C143="提取短句"),IF(LEN(TRIM(D143))=0,"缺少标准文字","已确认"),"无效选择"))))</x:f>
        <x:v>待确认</x:v>
      </x:c>
    </x:row>
    <x:row r="144" ht="41" customHeight="1">
      <x:c r="A144" s="16" t="str">
        <x:v>MRG-0138</x:v>
      </x:c>
      <x:c r="B144" s="16" t="str">
        <x:v>Observation</x:v>
      </x:c>
      <x:c r="C144" s="17" t="str">
        <x:v>待确认</x:v>
      </x:c>
      <x:c r="D144" s="17" t="str"/>
      <x:c r="E144" s="16" t="str">
        <x:v>近似描述核对</x:v>
      </x:c>
      <x:c r="F144" s="16" t="str">
        <x:v>程度、范围、处理方法、条件或编号存在差异，建议保持独立；如仅编号不同可改为模板。 数值或章节引用需保留。</x:v>
      </x:c>
      <x:c r="G144" s="16" t="str">
        <x:v>OBS-0256, OBS-0257</x:v>
      </x:c>
      <x:c r="H144" s="16" t="str">
        <x:v>Edge column C5.6 has minor corrosion at baseplate and anchors.</x:v>
      </x:c>
      <x:c r="I144" s="16" t="str">
        <x:v>Edge column C6.5 has minor corrosion at baseplate.</x:v>
      </x:c>
      <x:c r="J144" s="17" t="str"/>
      <x:c r="K144" s="17" t="str"/>
      <x:c r="L144" s="16" t="str">
        <x:v>SRC-029</x:v>
      </x:c>
      <x:c r="M144" s="16" t="str">
        <x:f>IF(C144="待确认","待确认",IF(C144="需修改","需修改",IF(C144="保持独立","已确认",IF(OR(C144="同意合并",C144="使用模板",C144="提取短句"),IF(LEN(TRIM(D144))=0,"缺少标准文字","已确认"),"无效选择"))))</x:f>
        <x:v>待确认</x:v>
      </x:c>
    </x:row>
    <x:row r="145" ht="37" customHeight="1">
      <x:c r="A145" s="16" t="str">
        <x:v>MRG-0139</x:v>
      </x:c>
      <x:c r="B145" s="16" t="str">
        <x:v>Observation</x:v>
      </x:c>
      <x:c r="C145" s="17" t="str">
        <x:v>待确认</x:v>
      </x:c>
      <x:c r="D145" s="17" t="str">
        <x:v>Front verandah has salt staining on purlins and rafters.</x:v>
      </x:c>
      <x:c r="E145" s="16" t="str">
        <x:v>近似描述核对</x:v>
      </x:c>
      <x:c r="F145" s="16" t="str">
        <x:v>措辞近似，需确认含义和适用范围是否一致。</x:v>
      </x:c>
      <x:c r="G145" s="16" t="str">
        <x:v>OBS-0053, OBS-0170</x:v>
      </x:c>
      <x:c r="H145" s="16" t="str">
        <x:v>Front verandah has salt staining on purlins and rafters.</x:v>
      </x:c>
      <x:c r="I145" s="16" t="str">
        <x:v>Carport verandah corner. Salt staining on purlins and rafters.</x:v>
      </x:c>
      <x:c r="J145" s="17" t="str"/>
      <x:c r="K145" s="17" t="str"/>
      <x:c r="L145" s="16" t="str">
        <x:v>SRC-002, SRC-053</x:v>
      </x:c>
      <x:c r="M145" s="16" t="str">
        <x:f>IF(C145="待确认","待确认",IF(C145="需修改","需修改",IF(C145="保持独立","已确认",IF(OR(C145="同意合并",C145="使用模板",C145="提取短句"),IF(LEN(TRIM(D145))=0,"缺少标准文字","已确认"),"无效选择"))))</x:f>
        <x:v>待确认</x:v>
      </x:c>
    </x:row>
    <x:row r="146" ht="41" customHeight="1">
      <x:c r="A146" s="16" t="str">
        <x:v>MRG-0140</x:v>
      </x:c>
      <x:c r="B146" s="16" t="str">
        <x:v>Observation</x:v>
      </x:c>
      <x:c r="C146" s="17" t="str">
        <x:v>待确认</x:v>
      </x:c>
      <x:c r="D146" s="17" t="str">
        <x:v>Left hand side of house facing the entrance. Salt staining and paint deterioration on purlins and rafters.</x:v>
      </x:c>
      <x:c r="E146" s="16" t="str">
        <x:v>近似描述核对</x:v>
      </x:c>
      <x:c r="F146" s="16" t="str">
        <x:v>措辞近似，需确认含义和适用范围是否一致。</x:v>
      </x:c>
      <x:c r="G146" s="16" t="str">
        <x:v>OBS-0353, OBS-0354</x:v>
      </x:c>
      <x:c r="H146" s="16" t="str">
        <x:v>Left hand side of house facing the entrance. Salt staining and paint deterioration on purlins and rafters.</x:v>
      </x:c>
      <x:c r="I146" s="16" t="str">
        <x:v>Left hand side of house facing the entrance. Salt staining on purlins and rafters.</x:v>
      </x:c>
      <x:c r="J146" s="17" t="str"/>
      <x:c r="K146" s="17" t="str"/>
      <x:c r="L146" s="16" t="str">
        <x:v>SRC-053, SRC-054</x:v>
      </x:c>
      <x:c r="M146" s="16" t="str">
        <x:f>IF(C146="待确认","待确认",IF(C146="需修改","需修改",IF(C146="保持独立","已确认",IF(OR(C146="同意合并",C146="使用模板",C146="提取短句"),IF(LEN(TRIM(D146))=0,"缺少标准文字","已确认"),"无效选择"))))</x:f>
        <x:v>待确认</x:v>
      </x:c>
    </x:row>
    <x:row r="147" ht="37" customHeight="1">
      <x:c r="A147" s="16" t="str">
        <x:v>MRG-0141</x:v>
      </x:c>
      <x:c r="B147" s="16" t="str">
        <x:v>Observation</x:v>
      </x:c>
      <x:c r="C147" s="17" t="str">
        <x:v>待确认</x:v>
      </x:c>
      <x:c r="D147" s="17" t="str">
        <x:v>Moderate corrosion on light support. Typical to all columns.</x:v>
      </x:c>
      <x:c r="E147" s="16" t="str">
        <x:v>近似描述核对</x:v>
      </x:c>
      <x:c r="F147" s="16" t="str">
        <x:v>措辞近似，需确认含义和适用范围是否一致。</x:v>
      </x:c>
      <x:c r="G147" s="16" t="str">
        <x:v>OBS-0415, OBS-0417</x:v>
      </x:c>
      <x:c r="H147" s="16" t="str">
        <x:v>Moderate corrosion on light support. Typical to all columns.</x:v>
      </x:c>
      <x:c r="I147" s="16" t="str">
        <x:v>Moderate corrosion on winch. Typical to all columns.</x:v>
      </x:c>
      <x:c r="J147" s="17" t="str"/>
      <x:c r="K147" s="17" t="str"/>
      <x:c r="L147" s="16" t="str">
        <x:v>SRC-092</x:v>
      </x:c>
      <x:c r="M147" s="16" t="str">
        <x:f>IF(C147="待确认","待确认",IF(C147="需修改","需修改",IF(C147="保持独立","已确认",IF(OR(C147="同意合并",C147="使用模板",C147="提取短句"),IF(LEN(TRIM(D147))=0,"缺少标准文字","已确认"),"无效选择"))))</x:f>
        <x:v>待确认</x:v>
      </x:c>
    </x:row>
    <x:row r="148" ht="41" customHeight="1">
      <x:c r="A148" s="16" t="str">
        <x:v>MRG-0142</x:v>
      </x:c>
      <x:c r="B148" s="16" t="str">
        <x:v>Observation</x:v>
      </x:c>
      <x:c r="C148" s="17" t="str">
        <x:v>待确认</x:v>
      </x:c>
      <x:c r="D148" s="17" t="str">
        <x:v>Front of property. Cladding and framing in good condition.</x:v>
      </x:c>
      <x:c r="E148" s="16" t="str">
        <x:v>近似描述核对</x:v>
      </x:c>
      <x:c r="F148" s="16" t="str">
        <x:v>措辞近似，需确认含义和适用范围是否一致。</x:v>
      </x:c>
      <x:c r="G148" s="16" t="str">
        <x:v>OBS-0004, OBS-0505</x:v>
      </x:c>
      <x:c r="H148" s="16" t="str">
        <x:v>Front of property. Cladding and framing in good condition.</x:v>
      </x:c>
      <x:c r="I148" s="16" t="str">
        <x:v>Right hand side of property. Cladding and framing in good condition.</x:v>
      </x:c>
      <x:c r="J148" s="17" t="str"/>
      <x:c r="K148" s="17" t="str"/>
      <x:c r="L148" s="16" t="str">
        <x:v>SRC-001, SRC-002, SRC-003, SRC-004, SRC-011, SRC-024, SRC-026, SRC-052, SRC-056</x:v>
      </x:c>
      <x:c r="M148" s="16" t="str">
        <x:f>IF(C148="待确认","待确认",IF(C148="需修改","需修改",IF(C148="保持独立","已确认",IF(OR(C148="同意合并",C148="使用模板",C148="提取短句"),IF(LEN(TRIM(D148))=0,"缺少标准文字","已确认"),"无效选择"))))</x:f>
        <x:v>待确认</x:v>
      </x:c>
    </x:row>
    <x:row r="149" ht="41" customHeight="1">
      <x:c r="A149" s="16" t="str">
        <x:v>MRG-0143</x:v>
      </x:c>
      <x:c r="B149" s="16" t="str">
        <x:v>Observation</x:v>
      </x:c>
      <x:c r="C149" s="17" t="str">
        <x:v>待确认</x:v>
      </x:c>
      <x:c r="D149" s="17" t="str">
        <x:v>Salt staining on rafters and purlins supporting roof overhang.</x:v>
      </x:c>
      <x:c r="E149" s="16" t="str">
        <x:v>近似描述核对</x:v>
      </x:c>
      <x:c r="F149" s="16" t="str">
        <x:v>措辞近似，需确认含义和适用范围是否一致。</x:v>
      </x:c>
      <x:c r="G149" s="16" t="str">
        <x:v>OBS-0006, OBS-0550</x:v>
      </x:c>
      <x:c r="H149" s="16" t="str">
        <x:v>Salt staining on rafters and purlins supporting roof overhang.</x:v>
      </x:c>
      <x:c r="I149" s="16" t="str">
        <x:v>Salt staining on rafters and purlins supporting window awning.</x:v>
      </x:c>
      <x:c r="J149" s="17" t="str"/>
      <x:c r="K149" s="17" t="str"/>
      <x:c r="L149" s="16" t="str">
        <x:v>SRC-011, SRC-024, SRC-026, SRC-052, SRC-056, SRC-060</x:v>
      </x:c>
      <x:c r="M149" s="16" t="str">
        <x:f>IF(C149="待确认","待确认",IF(C149="需修改","需修改",IF(C149="保持独立","已确认",IF(OR(C149="同意合并",C149="使用模板",C149="提取短句"),IF(LEN(TRIM(D149))=0,"缺少标准文字","已确认"),"无效选择"))))</x:f>
        <x:v>待确认</x:v>
      </x:c>
    </x:row>
    <x:row r="150" ht="37" customHeight="1">
      <x:c r="A150" s="16" t="str">
        <x:v>MRG-0144</x:v>
      </x:c>
      <x:c r="B150" s="16" t="str">
        <x:v>Observation</x:v>
      </x:c>
      <x:c r="C150" s="17" t="str">
        <x:v>待确认</x:v>
      </x:c>
      <x:c r="D150" s="17" t="str">
        <x:v>Back wall cladding in good condition</x:v>
      </x:c>
      <x:c r="E150" s="16" t="str">
        <x:v>近似描述核对</x:v>
      </x:c>
      <x:c r="F150" s="16" t="str">
        <x:v>措辞近似，需确认含义和适用范围是否一致。</x:v>
      </x:c>
      <x:c r="G150" s="16" t="str">
        <x:v>OBS-0122, OBS-0512</x:v>
      </x:c>
      <x:c r="H150" s="16" t="str">
        <x:v>Back wall cladding in good condition</x:v>
      </x:c>
      <x:c r="I150" s="16" t="str">
        <x:v>Roof and wall cladding in good condition.</x:v>
      </x:c>
      <x:c r="J150" s="17" t="str"/>
      <x:c r="K150" s="17" t="str"/>
      <x:c r="L150" s="16" t="str">
        <x:v>SRC-015, SRC-025</x:v>
      </x:c>
      <x:c r="M150" s="16" t="str">
        <x:f>IF(C150="待确认","待确认",IF(C150="需修改","需修改",IF(C150="保持独立","已确认",IF(OR(C150="同意合并",C150="使用模板",C150="提取短句"),IF(LEN(TRIM(D150))=0,"缺少标准文字","已确认"),"无效选择"))))</x:f>
        <x:v>待确认</x:v>
      </x:c>
    </x:row>
    <x:row r="151" ht="37" customHeight="1">
      <x:c r="A151" s="16" t="str">
        <x:v>MRG-0145</x:v>
      </x:c>
      <x:c r="B151" s="16" t="str">
        <x:v>Observation</x:v>
      </x:c>
      <x:c r="C151" s="17" t="str">
        <x:v>待确认</x:v>
      </x:c>
      <x:c r="D151" s="17" t="str">
        <x:v>Minor corrosion on bolts.</x:v>
      </x:c>
      <x:c r="E151" s="16" t="str">
        <x:v>近似描述核对</x:v>
      </x:c>
      <x:c r="F151" s="16" t="str">
        <x:v>措辞近似，需确认含义和适用范围是否一致。</x:v>
      </x:c>
      <x:c r="G151" s="16" t="str">
        <x:v>OBS-0065, OBS-0396</x:v>
      </x:c>
      <x:c r="H151" s="16" t="str">
        <x:v>Minor corrosion on bolts.</x:v>
      </x:c>
      <x:c r="I151" s="16" t="str">
        <x:v>Minor corrosion on baseplates.</x:v>
      </x:c>
      <x:c r="J151" s="17" t="str"/>
      <x:c r="K151" s="17" t="str"/>
      <x:c r="L151" s="16" t="str">
        <x:v>SRC-012, SRC-063</x:v>
      </x:c>
      <x:c r="M151" s="16" t="str">
        <x:f>IF(C151="待确认","待确认",IF(C151="需修改","需修改",IF(C151="保持独立","已确认",IF(OR(C151="同意合并",C151="使用模板",C151="提取短句"),IF(LEN(TRIM(D151))=0,"缺少标准文字","已确认"),"无效选择"))))</x:f>
        <x:v>待确认</x:v>
      </x:c>
    </x:row>
    <x:row r="152" ht="37" customHeight="1">
      <x:c r="A152" s="16" t="str">
        <x:v>MRG-0146</x:v>
      </x:c>
      <x:c r="B152" s="16" t="str">
        <x:v>Observation</x:v>
      </x:c>
      <x:c r="C152" s="17" t="str">
        <x:v>待确认</x:v>
      </x:c>
      <x:c r="D152" s="17" t="str">
        <x:v>Corrosion on roof sheeting.</x:v>
      </x:c>
      <x:c r="E152" s="16" t="str">
        <x:v>近似描述核对</x:v>
      </x:c>
      <x:c r="F152" s="16" t="str">
        <x:v>措辞近似，需确认含义和适用范围是否一致。</x:v>
      </x:c>
      <x:c r="G152" s="16" t="str">
        <x:v>OBS-0233, OBS-0586</x:v>
      </x:c>
      <x:c r="H152" s="16" t="str">
        <x:v>Corrosion on roof sheeting.</x:v>
      </x:c>
      <x:c r="I152" s="16" t="str">
        <x:v>Surface corrosion on roof sheeting.</x:v>
      </x:c>
      <x:c r="J152" s="17" t="str"/>
      <x:c r="K152" s="17" t="str"/>
      <x:c r="L152" s="16" t="str">
        <x:v>SRC-063, SRC-092</x:v>
      </x:c>
      <x:c r="M152" s="16" t="str">
        <x:f>IF(C152="待确认","待确认",IF(C152="需修改","需修改",IF(C152="保持独立","已确认",IF(OR(C152="同意合并",C152="使用模板",C152="提取短句"),IF(LEN(TRIM(D152))=0,"缺少标准文字","已确认"),"无效选择"))))</x:f>
        <x:v>待确认</x:v>
      </x:c>
    </x:row>
    <x:row r="153" ht="41" customHeight="1">
      <x:c r="A153" s="16" t="str">
        <x:v>MRG-0147</x:v>
      </x:c>
      <x:c r="B153" s="16" t="str">
        <x:v>Observation</x:v>
      </x:c>
      <x:c r="C153" s="17" t="str">
        <x:v>待确认</x:v>
      </x:c>
      <x:c r="D153" s="17" t="str"/>
      <x:c r="E153" s="16" t="str">
        <x:v>近似描述核对</x:v>
      </x:c>
      <x:c r="F153" s="16" t="str">
        <x:v>程度、范围、处理方法、条件或编号存在差异，建议保持独立；如仅编号不同可改为模板。 数值或章节引用需保留。</x:v>
      </x:c>
      <x:c r="G153" s="16" t="str">
        <x:v>OBS-0203, OBS-0384</x:v>
      </x:c>
      <x:c r="H153" s="16" t="str">
        <x:v>Column 4. Minor corrosion at the lower section of column.</x:v>
      </x:c>
      <x:c r="I153" s="16" t="str">
        <x:v>Minor corrosion at lower section of column.</x:v>
      </x:c>
      <x:c r="J153" s="17" t="str"/>
      <x:c r="K153" s="17" t="str"/>
      <x:c r="L153" s="16" t="str">
        <x:v>SRC-002, SRC-063</x:v>
      </x:c>
      <x:c r="M153" s="16" t="str">
        <x:f>IF(C153="待确认","待确认",IF(C153="需修改","需修改",IF(C153="保持独立","已确认",IF(OR(C153="同意合并",C153="使用模板",C153="提取短句"),IF(LEN(TRIM(D153))=0,"缺少标准文字","已确认"),"无效选择"))))</x:f>
        <x:v>待确认</x:v>
      </x:c>
    </x:row>
    <x:row r="154" ht="41" customHeight="1">
      <x:c r="A154" s="16" t="str">
        <x:v>MRG-0148</x:v>
      </x:c>
      <x:c r="B154" s="16" t="str">
        <x:v>Observation</x:v>
      </x:c>
      <x:c r="C154" s="17" t="str">
        <x:v>待确认</x:v>
      </x:c>
      <x:c r="D154" s="17" t="str">
        <x:v>Right hand side of house facing the entrance. Minor corrosion of purlins and rafters.</x:v>
      </x:c>
      <x:c r="E154" s="16" t="str">
        <x:v>近似描述核对</x:v>
      </x:c>
      <x:c r="F154" s="16" t="str">
        <x:v>措辞近似，需确认含义和适用范围是否一致。</x:v>
      </x:c>
      <x:c r="G154" s="16" t="str">
        <x:v>OBS-0491, OBS-0493</x:v>
      </x:c>
      <x:c r="H154" s="16" t="str">
        <x:v>Right hand side of house facing the entrance. Minor corrosion of purlins and rafters.</x:v>
      </x:c>
      <x:c r="I154" s="16" t="str">
        <x:v>Right hand side of house facing the entrance. Minor corrosion of verandah beams and posts.</x:v>
      </x:c>
      <x:c r="J154" s="17" t="str"/>
      <x:c r="K154" s="17" t="str"/>
      <x:c r="L154" s="16" t="str">
        <x:v>SRC-010, SRC-025</x:v>
      </x:c>
      <x:c r="M154" s="16" t="str">
        <x:f>IF(C154="待确认","待确认",IF(C154="需修改","需修改",IF(C154="保持独立","已确认",IF(OR(C154="同意合并",C154="使用模板",C154="提取短句"),IF(LEN(TRIM(D154))=0,"缺少标准文字","已确认"),"无效选择"))))</x:f>
        <x:v>待确认</x:v>
      </x:c>
    </x:row>
    <x:row r="155" ht="41" customHeight="1">
      <x:c r="A155" s="16" t="str">
        <x:v>MRG-0149</x:v>
      </x:c>
      <x:c r="B155" s="16" t="str">
        <x:v>Observation</x:v>
      </x:c>
      <x:c r="C155" s="17" t="str">
        <x:v>待确认</x:v>
      </x:c>
      <x:c r="D155" s="17" t="str">
        <x:v>Backyard fencing post. Most posts have paint deterioration at the lower section.</x:v>
      </x:c>
      <x:c r="E155" s="16" t="str">
        <x:v>近似描述核对</x:v>
      </x:c>
      <x:c r="F155" s="16" t="str">
        <x:v>措辞近似，需确认含义和适用范围是否一致。</x:v>
      </x:c>
      <x:c r="G155" s="16" t="str">
        <x:v>OBS-0035, OBS-0157</x:v>
      </x:c>
      <x:c r="H155" s="16" t="str">
        <x:v>Backyard fencing post. Most posts have paint deterioration at the lower section.</x:v>
      </x:c>
      <x:c r="I155" s="16" t="str">
        <x:v>Carport fencing post. Most posts have paint deterioration and corrosion at the lower section.</x:v>
      </x:c>
      <x:c r="J155" s="17" t="str"/>
      <x:c r="K155" s="17" t="str"/>
      <x:c r="L155" s="16" t="str">
        <x:v>SRC-024, SRC-026, SRC-052</x:v>
      </x:c>
      <x:c r="M155" s="16" t="str">
        <x:f>IF(C155="待确认","待确认",IF(C155="需修改","需修改",IF(C155="保持独立","已确认",IF(OR(C155="同意合并",C155="使用模板",C155="提取短句"),IF(LEN(TRIM(D155))=0,"缺少标准文字","已确认"),"无效选择"))))</x:f>
        <x:v>待确认</x:v>
      </x:c>
    </x:row>
    <x:row r="156" ht="37" customHeight="1">
      <x:c r="A156" s="16" t="str">
        <x:v>MRG-0150</x:v>
      </x:c>
      <x:c r="B156" s="16" t="str">
        <x:v>Observation</x:v>
      </x:c>
      <x:c r="C156" s="17" t="str">
        <x:v>待确认</x:v>
      </x:c>
      <x:c r="D156" s="17" t="str">
        <x:v>Row 1 Column 2. Minor corrosion and salt staining at lower portion of column.</x:v>
      </x:c>
      <x:c r="E156" s="16" t="str">
        <x:v>近似描述核对</x:v>
      </x:c>
      <x:c r="F156" s="16" t="str">
        <x:v>措辞近似，需确认含义和适用范围是否一致。</x:v>
      </x:c>
      <x:c r="G156" s="16" t="str">
        <x:v>OBS-0523, OBS-0524</x:v>
      </x:c>
      <x:c r="H156" s="16" t="str">
        <x:v>Row 1 Column 2. Minor corrosion and salt staining at lower portion of column.</x:v>
      </x:c>
      <x:c r="I156" s="16" t="str">
        <x:v>Row 1 Column 2. Minor corrosion at lower portion of column.</x:v>
      </x:c>
      <x:c r="J156" s="17" t="str"/>
      <x:c r="K156" s="17" t="str"/>
      <x:c r="L156" s="16" t="str">
        <x:v>SRC-055, SRC-059</x:v>
      </x:c>
      <x:c r="M156" s="16" t="str">
        <x:f>IF(C156="待确认","待确认",IF(C156="需修改","需修改",IF(C156="保持独立","已确认",IF(OR(C156="同意合并",C156="使用模板",C156="提取短句"),IF(LEN(TRIM(D156))=0,"缺少标准文字","已确认"),"无效选择"))))</x:f>
        <x:v>待确认</x:v>
      </x:c>
    </x:row>
    <x:row r="157" ht="37" customHeight="1">
      <x:c r="A157" s="16" t="str">
        <x:v>MRG-0151</x:v>
      </x:c>
      <x:c r="B157" s="16" t="str">
        <x:v>Observation</x:v>
      </x:c>
      <x:c r="C157" s="17" t="str">
        <x:v>待确认</x:v>
      </x:c>
      <x:c r="D157" s="17" t="str">
        <x:v>Minor corrosion and paint deterioration on hoop.</x:v>
      </x:c>
      <x:c r="E157" s="16" t="str">
        <x:v>近似描述核对</x:v>
      </x:c>
      <x:c r="F157" s="16" t="str">
        <x:v>措辞近似，需确认含义和适用范围是否一致。</x:v>
      </x:c>
      <x:c r="G157" s="16" t="str">
        <x:v>OBS-0377, OBS-0378</x:v>
      </x:c>
      <x:c r="H157" s="16" t="str">
        <x:v>Minor corrosion and paint deterioration on hoop.</x:v>
      </x:c>
      <x:c r="I157" s="16" t="str">
        <x:v>Minor corrosion and paint deterioration on purple shell.</x:v>
      </x:c>
      <x:c r="J157" s="17" t="str"/>
      <x:c r="K157" s="17" t="str"/>
      <x:c r="L157" s="16" t="str">
        <x:v>SRC-092, SRC-099</x:v>
      </x:c>
      <x:c r="M157" s="16" t="str">
        <x:f>IF(C157="待确认","待确认",IF(C157="需修改","需修改",IF(C157="保持独立","已确认",IF(OR(C157="同意合并",C157="使用模板",C157="提取短句"),IF(LEN(TRIM(D157))=0,"缺少标准文字","已确认"),"无效选择"))))</x:f>
        <x:v>待确认</x:v>
      </x:c>
    </x:row>
    <x:row r="158" ht="41" customHeight="1">
      <x:c r="A158" s="16" t="str">
        <x:v>MRG-0152</x:v>
      </x:c>
      <x:c r="B158" s="16" t="str">
        <x:v>Observation</x:v>
      </x:c>
      <x:c r="C158" s="17" t="str">
        <x:v>待确认</x:v>
      </x:c>
      <x:c r="D158" s="17" t="str">
        <x:v>Carport verandah in good condition.</x:v>
      </x:c>
      <x:c r="E158" s="16" t="str">
        <x:v>近似描述核对</x:v>
      </x:c>
      <x:c r="F158" s="16" t="str">
        <x:v>措辞近似，需确认含义和适用范围是否一致。</x:v>
      </x:c>
      <x:c r="G158" s="16" t="str">
        <x:v>OBS-0003, OBS-0007</x:v>
      </x:c>
      <x:c r="H158" s="16" t="str">
        <x:v>Carport verandah in good condition.</x:v>
      </x:c>
      <x:c r="I158" s="16" t="str">
        <x:v>Back verandah in good condition.</x:v>
      </x:c>
      <x:c r="J158" s="17" t="str"/>
      <x:c r="K158" s="17" t="str"/>
      <x:c r="L158" s="16" t="str">
        <x:v>SRC-002, SRC-011, SRC-024, SRC-026, SRC-052, SRC-060, SRC-062</x:v>
      </x:c>
      <x:c r="M158" s="16" t="str">
        <x:f>IF(C158="待确认","待确认",IF(C158="需修改","需修改",IF(C158="保持独立","已确认",IF(OR(C158="同意合并",C158="使用模板",C158="提取短句"),IF(LEN(TRIM(D158))=0,"缺少标准文字","已确认"),"无效选择"))))</x:f>
        <x:v>待确认</x:v>
      </x:c>
    </x:row>
    <x:row r="159" ht="37" customHeight="1">
      <x:c r="A159" s="16" t="str">
        <x:v>MRG-0153</x:v>
      </x:c>
      <x:c r="B159" s="16" t="str">
        <x:v>Observation</x:v>
      </x:c>
      <x:c r="C159" s="17" t="str">
        <x:v>待确认</x:v>
      </x:c>
      <x:c r="D159" s="17" t="str">
        <x:v>Backyard verandah. In good condition.</x:v>
      </x:c>
      <x:c r="E159" s="16" t="str">
        <x:v>近似描述核对</x:v>
      </x:c>
      <x:c r="F159" s="16" t="str">
        <x:v>措辞近似，需确认含义和适用范围是否一致。</x:v>
      </x:c>
      <x:c r="G159" s="16" t="str">
        <x:v>OBS-0138, OBS-0313</x:v>
      </x:c>
      <x:c r="H159" s="16" t="str">
        <x:v>Backyard verandah. In good condition.</x:v>
      </x:c>
      <x:c r="I159" s="16" t="str">
        <x:v>Front yard verandah in good condition.</x:v>
      </x:c>
      <x:c r="J159" s="17" t="str"/>
      <x:c r="K159" s="17" t="str"/>
      <x:c r="L159" s="16" t="str">
        <x:v>SRC-002, SRC-012</x:v>
      </x:c>
      <x:c r="M159" s="16" t="str">
        <x:f>IF(C159="待确认","待确认",IF(C159="需修改","需修改",IF(C159="保持独立","已确认",IF(OR(C159="同意合并",C159="使用模板",C159="提取短句"),IF(LEN(TRIM(D159))=0,"缺少标准文字","已确认"),"无效选择"))))</x:f>
        <x:v>待确认</x:v>
      </x:c>
    </x:row>
    <x:row r="160" ht="41" customHeight="1">
      <x:c r="A160" s="16" t="str">
        <x:v>MRG-0154</x:v>
      </x:c>
      <x:c r="B160" s="16" t="str">
        <x:v>Observation</x:v>
      </x:c>
      <x:c r="C160" s="17" t="str">
        <x:v>待确认</x:v>
      </x:c>
      <x:c r="D160" s="17" t="str">
        <x:v>Carport fencing post. Most posts have paint deterioration and corrosion at the lower section.</x:v>
      </x:c>
      <x:c r="E160" s="16" t="str">
        <x:v>近似描述核对</x:v>
      </x:c>
      <x:c r="F160" s="16" t="str">
        <x:v>措辞近似，需确认含义和适用范围是否一致。</x:v>
      </x:c>
      <x:c r="G160" s="16" t="str">
        <x:v>OBS-0157, OBS-0164</x:v>
      </x:c>
      <x:c r="H160" s="16" t="str">
        <x:v>Carport fencing post. Most posts have paint deterioration and corrosion at the lower section.</x:v>
      </x:c>
      <x:c r="I160" s="16" t="str">
        <x:v>Carport gate post. Most posts have paint deterioration at the lower section.</x:v>
      </x:c>
      <x:c r="J160" s="17" t="str"/>
      <x:c r="K160" s="17" t="str"/>
      <x:c r="L160" s="16" t="str">
        <x:v>SRC-050, SRC-052</x:v>
      </x:c>
      <x:c r="M160" s="16" t="str">
        <x:f>IF(C160="待确认","待确认",IF(C160="需修改","需修改",IF(C160="保持独立","已确认",IF(OR(C160="同意合并",C160="使用模板",C160="提取短句"),IF(LEN(TRIM(D160))=0,"缺少标准文字","已确认"),"无效选择"))))</x:f>
        <x:v>待确认</x:v>
      </x:c>
    </x:row>
    <x:row r="161" ht="41" customHeight="1">
      <x:c r="A161" s="16" t="str">
        <x:v>MRG-0155</x:v>
      </x:c>
      <x:c r="B161" s="16" t="str">
        <x:v>Observation</x:v>
      </x:c>
      <x:c r="C161" s="17" t="str">
        <x:v>待确认</x:v>
      </x:c>
      <x:c r="D161" s="17" t="str">
        <x:v>Left hand side gate facing the front entrance. Minor corrosion of column.</x:v>
      </x:c>
      <x:c r="E161" s="16" t="str">
        <x:v>近似描述核对</x:v>
      </x:c>
      <x:c r="F161" s="16" t="str">
        <x:v>措辞近似，需确认含义和适用范围是否一致。</x:v>
      </x:c>
      <x:c r="G161" s="16" t="str">
        <x:v>OBS-0343, OBS-0486</x:v>
      </x:c>
      <x:c r="H161" s="16" t="str">
        <x:v>Left hand side gate facing the front entrance. Minor corrosion of column.</x:v>
      </x:c>
      <x:c r="I161" s="16" t="str">
        <x:v>Right hand side gate facing the front entrance. Minor corrosion to full length of column.</x:v>
      </x:c>
      <x:c r="J161" s="17" t="str"/>
      <x:c r="K161" s="17" t="str"/>
      <x:c r="L161" s="16" t="str">
        <x:v>SRC-059</x:v>
      </x:c>
      <x:c r="M161" s="16" t="str">
        <x:f>IF(C161="待确认","待确认",IF(C161="需修改","需修改",IF(C161="保持独立","已确认",IF(OR(C161="同意合并",C161="使用模板",C161="提取短句"),IF(LEN(TRIM(D161))=0,"缺少标准文字","已确认"),"无效选择"))))</x:f>
        <x:v>待确认</x:v>
      </x:c>
    </x:row>
    <x:row r="162" ht="41" customHeight="1">
      <x:c r="A162" s="16" t="str">
        <x:v>MRG-0156</x:v>
      </x:c>
      <x:c r="B162" s="16" t="str">
        <x:v>Observation</x:v>
      </x:c>
      <x:c r="C162" s="17" t="str">
        <x:v>待确认</x:v>
      </x:c>
      <x:c r="D162" s="17" t="str">
        <x:v>Left hand side wall cladding facing front entrance in good condition.</x:v>
      </x:c>
      <x:c r="E162" s="16" t="str">
        <x:v>近似描述核对</x:v>
      </x:c>
      <x:c r="F162" s="16" t="str">
        <x:v>措辞近似，需确认含义和适用范围是否一致。</x:v>
      </x:c>
      <x:c r="G162" s="16" t="str">
        <x:v>OBS-0362, OBS-0510</x:v>
      </x:c>
      <x:c r="H162" s="16" t="str">
        <x:v>Left hand side wall cladding facing front entrance in good condition.</x:v>
      </x:c>
      <x:c r="I162" s="16" t="str">
        <x:v>Right hand side wall cladding facing front entrance in good condition. Salt staining</x:v>
      </x:c>
      <x:c r="J162" s="17" t="str"/>
      <x:c r="K162" s="17" t="str"/>
      <x:c r="L162" s="16" t="str">
        <x:v>SRC-058</x:v>
      </x:c>
      <x:c r="M162" s="16" t="str">
        <x:f>IF(C162="待确认","待确认",IF(C162="需修改","需修改",IF(C162="保持独立","已确认",IF(OR(C162="同意合并",C162="使用模板",C162="提取短句"),IF(LEN(TRIM(D162))=0,"缺少标准文字","已确认"),"无效选择"))))</x:f>
        <x:v>待确认</x:v>
      </x:c>
    </x:row>
    <x:row r="163" ht="37" customHeight="1">
      <x:c r="A163" s="16" t="str">
        <x:v>MRG-0157</x:v>
      </x:c>
      <x:c r="B163" s="16" t="str">
        <x:v>Observation</x:v>
      </x:c>
      <x:c r="C163" s="17" t="str">
        <x:v>待确认</x:v>
      </x:c>
      <x:c r="D163" s="17" t="str">
        <x:v>Back of property. Cladding and framing in good condition.</x:v>
      </x:c>
      <x:c r="E163" s="16" t="str">
        <x:v>近似描述核对</x:v>
      </x:c>
      <x:c r="F163" s="16" t="str">
        <x:v>措辞近似，需确认含义和适用范围是否一致。</x:v>
      </x:c>
      <x:c r="G163" s="16" t="str">
        <x:v>OBS-0011, OBS-0505</x:v>
      </x:c>
      <x:c r="H163" s="16" t="str">
        <x:v>Back of property. Cladding and framing in good condition.</x:v>
      </x:c>
      <x:c r="I163" s="16" t="str">
        <x:v>Right hand side of property. Cladding and framing in good condition.</x:v>
      </x:c>
      <x:c r="J163" s="17" t="str"/>
      <x:c r="K163" s="17" t="str"/>
      <x:c r="L163" s="16" t="str">
        <x:v>SRC-002, SRC-011, SRC-024, SRC-026, SRC-052</x:v>
      </x:c>
      <x:c r="M163" s="16" t="str">
        <x:f>IF(C163="待确认","待确认",IF(C163="需修改","需修改",IF(C163="保持独立","已确认",IF(OR(C163="同意合并",C163="使用模板",C163="提取短句"),IF(LEN(TRIM(D163))=0,"缺少标准文字","已确认"),"无效选择"))))</x:f>
        <x:v>待确认</x:v>
      </x:c>
    </x:row>
    <x:row r="164" ht="37" customHeight="1">
      <x:c r="A164" s="16" t="str">
        <x:v>MRG-0158</x:v>
      </x:c>
      <x:c r="B164" s="16" t="str">
        <x:v>Observation</x:v>
      </x:c>
      <x:c r="C164" s="17" t="str">
        <x:v>待确认</x:v>
      </x:c>
      <x:c r="D164" s="17" t="str">
        <x:v>Side overhang. Salt staining on rafters and purlins.</x:v>
      </x:c>
      <x:c r="E164" s="16" t="str">
        <x:v>近似描述核对</x:v>
      </x:c>
      <x:c r="F164" s="16" t="str">
        <x:v>措辞近似，需确认含义和适用范围是否一致。</x:v>
      </x:c>
      <x:c r="G164" s="16" t="str">
        <x:v>OBS-0030, OBS-0609</x:v>
      </x:c>
      <x:c r="H164" s="16" t="str">
        <x:v>Side overhang. Salt staining on rafters and purlins.</x:v>
      </x:c>
      <x:c r="I164" s="16" t="str">
        <x:v>Window awning. Salt staining on rafters and purlins.</x:v>
      </x:c>
      <x:c r="J164" s="17" t="str"/>
      <x:c r="K164" s="17" t="str"/>
      <x:c r="L164" s="16" t="str">
        <x:v>SRC-050</x:v>
      </x:c>
      <x:c r="M164" s="16" t="str">
        <x:f>IF(C164="待确认","待确认",IF(C164="需修改","需修改",IF(C164="保持独立","已确认",IF(OR(C164="同意合并",C164="使用模板",C164="提取短句"),IF(LEN(TRIM(D164))=0,"缺少标准文字","已确认"),"无效选择"))))</x:f>
        <x:v>待确认</x:v>
      </x:c>
    </x:row>
    <x:row r="165" ht="41" customHeight="1">
      <x:c r="A165" s="16" t="str">
        <x:v>MRG-0159</x:v>
      </x:c>
      <x:c r="B165" s="16" t="str">
        <x:v>Observation</x:v>
      </x:c>
      <x:c r="C165" s="17" t="str">
        <x:v>待确认</x:v>
      </x:c>
      <x:c r="D165" s="17" t="str"/>
      <x:c r="E165" s="16" t="str">
        <x:v>近似描述核对</x:v>
      </x:c>
      <x:c r="F165" s="16" t="str">
        <x:v>程度、范围、处理方法、条件或编号存在差异，建议保持独立；如仅编号不同可改为模板。</x:v>
      </x:c>
      <x:c r="G165" s="16" t="str">
        <x:v>OBS-0005, OBS-0264</x:v>
      </x:c>
      <x:c r="H165" s="16" t="str">
        <x:v>Fencing posts on left hand side of property facing the front entrance. Bitumen paint deterioration.</x:v>
      </x:c>
      <x:c r="I165" s="16" t="str">
        <x:v>Fencing posts on left hand side of property facing the front entrance. Bitumen paint deterioration and minor corrosion on post cap.</x:v>
      </x:c>
      <x:c r="J165" s="17" t="str"/>
      <x:c r="K165" s="17" t="str"/>
      <x:c r="L165" s="16" t="str">
        <x:v>SRC-025, SRC-027, SRC-049, SRC-051, SRC-055</x:v>
      </x:c>
      <x:c r="M165" s="16" t="str">
        <x:f>IF(C165="待确认","待确认",IF(C165="需修改","需修改",IF(C165="保持独立","已确认",IF(OR(C165="同意合并",C165="使用模板",C165="提取短句"),IF(LEN(TRIM(D165))=0,"缺少标准文字","已确认"),"无效选择"))))</x:f>
        <x:v>待确认</x:v>
      </x:c>
    </x:row>
    <x:row r="166" ht="37" customHeight="1">
      <x:c r="A166" s="16" t="str">
        <x:v>MRG-0160</x:v>
      </x:c>
      <x:c r="B166" s="16" t="str">
        <x:v>Observation</x:v>
      </x:c>
      <x:c r="C166" s="17" t="str">
        <x:v>待确认</x:v>
      </x:c>
      <x:c r="D166" s="17" t="str">
        <x:v>Back cladding in good condition.</x:v>
      </x:c>
      <x:c r="E166" s="16" t="str">
        <x:v>近似描述核对</x:v>
      </x:c>
      <x:c r="F166" s="16" t="str">
        <x:v>措辞近似，需确认含义和适用范围是否一致。</x:v>
      </x:c>
      <x:c r="G166" s="16" t="str">
        <x:v>OBS-0099, OBS-0269</x:v>
      </x:c>
      <x:c r="H166" s="16" t="str">
        <x:v>Back cladding in good condition.</x:v>
      </x:c>
      <x:c r="I166" s="16" t="str">
        <x:v>Front cladding in good condition.</x:v>
      </x:c>
      <x:c r="J166" s="17" t="str"/>
      <x:c r="K166" s="17" t="str"/>
      <x:c r="L166" s="16" t="str">
        <x:v>SRC-002</x:v>
      </x:c>
      <x:c r="M166" s="16" t="str">
        <x:f>IF(C166="待确认","待确认",IF(C166="需修改","需修改",IF(C166="保持独立","已确认",IF(OR(C166="同意合并",C166="使用模板",C166="提取短句"),IF(LEN(TRIM(D166))=0,"缺少标准文字","已确认"),"无效选择"))))</x:f>
        <x:v>待确认</x:v>
      </x:c>
    </x:row>
    <x:row r="167" ht="37" customHeight="1">
      <x:c r="A167" s="16" t="str">
        <x:v>MRG-0161</x:v>
      </x:c>
      <x:c r="B167" s="16" t="str">
        <x:v>Observation</x:v>
      </x:c>
      <x:c r="C167" s="17" t="str">
        <x:v>待确认</x:v>
      </x:c>
      <x:c r="D167" s="17" t="str">
        <x:v>Back verandah in good condition.</x:v>
      </x:c>
      <x:c r="E167" s="16" t="str">
        <x:v>近似描述核对</x:v>
      </x:c>
      <x:c r="F167" s="16" t="str">
        <x:v>措辞近似，需确认含义和适用范围是否一致。</x:v>
      </x:c>
      <x:c r="G167" s="16" t="str">
        <x:v>OBS-0007, OBS-0013</x:v>
      </x:c>
      <x:c r="H167" s="16" t="str">
        <x:v>Back verandah in good condition.</x:v>
      </x:c>
      <x:c r="I167" s="16" t="str">
        <x:v>Front verandah in good condition.</x:v>
      </x:c>
      <x:c r="J167" s="17" t="str"/>
      <x:c r="K167" s="17" t="str"/>
      <x:c r="L167" s="16" t="str">
        <x:v>SRC-011, SRC-024, SRC-026, SRC-052, SRC-060</x:v>
      </x:c>
      <x:c r="M167" s="16" t="str">
        <x:f>IF(C167="待确认","待确认",IF(C167="需修改","需修改",IF(C167="保持独立","已确认",IF(OR(C167="同意合并",C167="使用模板",C167="提取短句"),IF(LEN(TRIM(D167))=0,"缺少标准文字","已确认"),"无效选择"))))</x:f>
        <x:v>待确认</x:v>
      </x:c>
    </x:row>
    <x:row r="168" ht="37" customHeight="1">
      <x:c r="A168" s="16" t="str">
        <x:v>MRG-0162</x:v>
      </x:c>
      <x:c r="B168" s="16" t="str">
        <x:v>Observation</x:v>
      </x:c>
      <x:c r="C168" s="17" t="str">
        <x:v>待确认</x:v>
      </x:c>
      <x:c r="D168" s="17" t="str">
        <x:v>Back wall. Cladding in good and framing condition.</x:v>
      </x:c>
      <x:c r="E168" s="16" t="str">
        <x:v>近似描述核对</x:v>
      </x:c>
      <x:c r="F168" s="16" t="str">
        <x:v>措辞近似，需确认含义和适用范围是否一致。</x:v>
      </x:c>
      <x:c r="G168" s="16" t="str">
        <x:v>OBS-0033, OBS-0122</x:v>
      </x:c>
      <x:c r="H168" s="16" t="str">
        <x:v>Back wall. Cladding in good and framing condition.</x:v>
      </x:c>
      <x:c r="I168" s="16" t="str">
        <x:v>Back wall cladding in good condition</x:v>
      </x:c>
      <x:c r="J168" s="17" t="str"/>
      <x:c r="K168" s="17" t="str"/>
      <x:c r="L168" s="16" t="str">
        <x:v>SRC-003, SRC-015</x:v>
      </x:c>
      <x:c r="M168" s="16" t="str">
        <x:f>IF(C168="待确认","待确认",IF(C168="需修改","需修改",IF(C168="保持独立","已确认",IF(OR(C168="同意合并",C168="使用模板",C168="提取短句"),IF(LEN(TRIM(D168))=0,"缺少标准文字","已确认"),"无效选择"))))</x:f>
        <x:v>待确认</x:v>
      </x:c>
    </x:row>
    <x:row r="169" ht="41" customHeight="1">
      <x:c r="A169" s="16" t="str">
        <x:v>MRG-0163</x:v>
      </x:c>
      <x:c r="B169" s="16" t="str">
        <x:v>Observation</x:v>
      </x:c>
      <x:c r="C169" s="17" t="str">
        <x:v>待确认</x:v>
      </x:c>
      <x:c r="D169" s="17" t="str">
        <x:v>Front of property. Cladding and framing in good condition.</x:v>
      </x:c>
      <x:c r="E169" s="16" t="str">
        <x:v>近似描述核对</x:v>
      </x:c>
      <x:c r="F169" s="16" t="str">
        <x:v>措辞近似，需确认含义和适用范围是否一致。</x:v>
      </x:c>
      <x:c r="G169" s="16" t="str">
        <x:v>OBS-0004, OBS-0049</x:v>
      </x:c>
      <x:c r="H169" s="16" t="str">
        <x:v>Front of property. Cladding and framing in good condition.</x:v>
      </x:c>
      <x:c r="I169" s="16" t="str">
        <x:v>Front of property. Cladding in good and framing condition.</x:v>
      </x:c>
      <x:c r="J169" s="17" t="str"/>
      <x:c r="K169" s="17" t="str"/>
      <x:c r="L169" s="16" t="str">
        <x:v>SRC-001, SRC-003, SRC-004, SRC-005, SRC-011, SRC-024, SRC-026, SRC-052, SRC-056</x:v>
      </x:c>
      <x:c r="M169" s="16" t="str">
        <x:f>IF(C169="待确认","待确认",IF(C169="需修改","需修改",IF(C169="保持独立","已确认",IF(OR(C169="同意合并",C169="使用模板",C169="提取短句"),IF(LEN(TRIM(D169))=0,"缺少标准文字","已确认"),"无效选择"))))</x:f>
        <x:v>待确认</x:v>
      </x:c>
    </x:row>
    <x:row r="170" ht="37" customHeight="1">
      <x:c r="A170" s="16" t="str">
        <x:v>MRG-0164</x:v>
      </x:c>
      <x:c r="B170" s="16" t="str">
        <x:v>Observation</x:v>
      </x:c>
      <x:c r="C170" s="17" t="str">
        <x:v>待确认</x:v>
      </x:c>
      <x:c r="D170" s="17" t="str">
        <x:v>Salt staining at corner of window frame, typical to most windows.</x:v>
      </x:c>
      <x:c r="E170" s="16" t="str">
        <x:v>近似描述核对</x:v>
      </x:c>
      <x:c r="F170" s="16" t="str">
        <x:v>措辞近似，需确认含义和适用范围是否一致。</x:v>
      </x:c>
      <x:c r="G170" s="16" t="str">
        <x:v>OBS-0080, OBS-0081</x:v>
      </x:c>
      <x:c r="H170" s="16" t="str">
        <x:v>Salt staining at corner of window frame, typical to most windows.</x:v>
      </x:c>
      <x:c r="I170" s="16" t="str">
        <x:v>Salt staining on wall cladding on window frame, typical to most windows.</x:v>
      </x:c>
      <x:c r="J170" s="17" t="str"/>
      <x:c r="K170" s="17" t="str"/>
      <x:c r="L170" s="16" t="str">
        <x:v>SRC-027, SRC-049, SRC-051, SRC-059</x:v>
      </x:c>
      <x:c r="M170" s="16" t="str">
        <x:f>IF(C170="待确认","待确认",IF(C170="需修改","需修改",IF(C170="保持独立","已确认",IF(OR(C170="同意合并",C170="使用模板",C170="提取短句"),IF(LEN(TRIM(D170))=0,"缺少标准文字","已确认"),"无效选择"))))</x:f>
        <x:v>待确认</x:v>
      </x:c>
    </x:row>
    <x:row r="171" ht="41" customHeight="1">
      <x:c r="A171" s="16" t="str">
        <x:v>MRG-0165</x:v>
      </x:c>
      <x:c r="B171" s="16" t="str">
        <x:v>Observation</x:v>
      </x:c>
      <x:c r="C171" s="17" t="str">
        <x:v>待确认</x:v>
      </x:c>
      <x:c r="D171" s="17" t="str"/>
      <x:c r="E171" s="16" t="str">
        <x:v>近似描述核对</x:v>
      </x:c>
      <x:c r="F171" s="16" t="str">
        <x:v>程度、范围、处理方法、条件或编号存在差异，建议保持独立；如仅编号不同可改为模板。</x:v>
      </x:c>
      <x:c r="G171" s="16" t="str">
        <x:v>OBS-0067, OBS-0144</x:v>
      </x:c>
      <x:c r="H171" s="16" t="str">
        <x:v>Minor corrosion towards lower section of column.</x:v>
      </x:c>
      <x:c r="I171" s="16" t="str">
        <x:v>Blistering corrosion towards lower section of the column.</x:v>
      </x:c>
      <x:c r="J171" s="17" t="str"/>
      <x:c r="K171" s="17" t="str"/>
      <x:c r="L171" s="16" t="str">
        <x:v>SRC-092, SRC-100</x:v>
      </x:c>
      <x:c r="M171" s="16" t="str">
        <x:f>IF(C171="待确认","待确认",IF(C171="需修改","需修改",IF(C171="保持独立","已确认",IF(OR(C171="同意合并",C171="使用模板",C171="提取短句"),IF(LEN(TRIM(D171))=0,"缺少标准文字","已确认"),"无效选择"))))</x:f>
        <x:v>待确认</x:v>
      </x:c>
    </x:row>
    <x:row r="172" ht="41" customHeight="1">
      <x:c r="A172" s="16" t="str">
        <x:v>MRG-0166</x:v>
      </x:c>
      <x:c r="B172" s="16" t="str">
        <x:v>Observation</x:v>
      </x:c>
      <x:c r="C172" s="17" t="str">
        <x:v>待确认</x:v>
      </x:c>
      <x:c r="D172" s="17" t="str"/>
      <x:c r="E172" s="16" t="str">
        <x:v>近似描述核对</x:v>
      </x:c>
      <x:c r="F172" s="16" t="str">
        <x:v>程度、范围、处理方法、条件或编号存在差异，建议保持独立；如仅编号不同可改为模板。</x:v>
      </x:c>
      <x:c r="G172" s="16" t="str">
        <x:v>OBS-0491, OBS-0496</x:v>
      </x:c>
      <x:c r="H172" s="16" t="str">
        <x:v>Right hand side of house facing the entrance. Minor corrosion of purlins and rafters.</x:v>
      </x:c>
      <x:c r="I172" s="16" t="str">
        <x:v>Right hand side of house facing the entrance. Salt staining on purlins and rafters.</x:v>
      </x:c>
      <x:c r="J172" s="17" t="str"/>
      <x:c r="K172" s="17" t="str"/>
      <x:c r="L172" s="16" t="str">
        <x:v>SRC-025, SRC-053</x:v>
      </x:c>
      <x:c r="M172" s="16" t="str">
        <x:f>IF(C172="待确认","待确认",IF(C172="需修改","需修改",IF(C172="保持独立","已确认",IF(OR(C172="同意合并",C172="使用模板",C172="提取短句"),IF(LEN(TRIM(D172))=0,"缺少标准文字","已确认"),"无效选择"))))</x:f>
        <x:v>待确认</x:v>
      </x:c>
    </x:row>
    <x:row r="173" ht="37" customHeight="1">
      <x:c r="A173" s="16" t="str">
        <x:v>MRG-0167</x:v>
      </x:c>
      <x:c r="B173" s="16" t="str">
        <x:v>Observation</x:v>
      </x:c>
      <x:c r="C173" s="17" t="str">
        <x:v>待确认</x:v>
      </x:c>
      <x:c r="D173" s="17" t="str">
        <x:v>Carport column 1. Minor corrosion at the top column connection.</x:v>
      </x:c>
      <x:c r="E173" s="16" t="str">
        <x:v>近似描述核对</x:v>
      </x:c>
      <x:c r="F173" s="16" t="str">
        <x:v>措辞近似，需确认含义和适用范围是否一致。</x:v>
      </x:c>
      <x:c r="G173" s="16" t="str">
        <x:v>OBS-0151, OBS-0287</x:v>
      </x:c>
      <x:c r="H173" s="16" t="str">
        <x:v>Carport column 1. Minor corrosion at the top column connection.</x:v>
      </x:c>
      <x:c r="I173" s="16" t="str">
        <x:v>Front verandah Column 1. Minor corrosion at the top column connection.</x:v>
      </x:c>
      <x:c r="J173" s="17" t="str"/>
      <x:c r="K173" s="17" t="str"/>
      <x:c r="L173" s="16" t="str">
        <x:v>SRC-009</x:v>
      </x:c>
      <x:c r="M173" s="16" t="str">
        <x:f>IF(C173="待确认","待确认",IF(C173="需修改","需修改",IF(C173="保持独立","已确认",IF(OR(C173="同意合并",C173="使用模板",C173="提取短句"),IF(LEN(TRIM(D173))=0,"缺少标准文字","已确认"),"无效选择"))))</x:f>
        <x:v>待确认</x:v>
      </x:c>
    </x:row>
    <x:row r="174" ht="37" customHeight="1">
      <x:c r="A174" s="16" t="str">
        <x:v>MRG-0168</x:v>
      </x:c>
      <x:c r="B174" s="16" t="str">
        <x:v>Observation</x:v>
      </x:c>
      <x:c r="C174" s="17" t="str">
        <x:v>待确认</x:v>
      </x:c>
      <x:c r="D174" s="17" t="str">
        <x:v>Carport column 2. Minor corrosion at the top column connection.</x:v>
      </x:c>
      <x:c r="E174" s="16" t="str">
        <x:v>近似描述核对</x:v>
      </x:c>
      <x:c r="F174" s="16" t="str">
        <x:v>措辞近似，需确认含义和适用范围是否一致。</x:v>
      </x:c>
      <x:c r="G174" s="16" t="str">
        <x:v>OBS-0152, OBS-0288</x:v>
      </x:c>
      <x:c r="H174" s="16" t="str">
        <x:v>Carport column 2. Minor corrosion at the top column connection.</x:v>
      </x:c>
      <x:c r="I174" s="16" t="str">
        <x:v>Front verandah Column 2. Minor corrosion at the top column connection.</x:v>
      </x:c>
      <x:c r="J174" s="17" t="str"/>
      <x:c r="K174" s="17" t="str"/>
      <x:c r="L174" s="16" t="str">
        <x:v>SRC-009</x:v>
      </x:c>
      <x:c r="M174" s="16" t="str">
        <x:f>IF(C174="待确认","待确认",IF(C174="需修改","需修改",IF(C174="保持独立","已确认",IF(OR(C174="同意合并",C174="使用模板",C174="提取短句"),IF(LEN(TRIM(D174))=0,"缺少标准文字","已确认"),"无效选择"))))</x:f>
        <x:v>待确认</x:v>
      </x:c>
    </x:row>
    <x:row r="175" ht="37" customHeight="1">
      <x:c r="A175" s="16" t="str">
        <x:v>MRG-0169</x:v>
      </x:c>
      <x:c r="B175" s="16" t="str">
        <x:v>Observation</x:v>
      </x:c>
      <x:c r="C175" s="17" t="str">
        <x:v>待确认</x:v>
      </x:c>
      <x:c r="D175" s="17" t="str">
        <x:v>Carport column 3. Minor corrosion at the top column connection.</x:v>
      </x:c>
      <x:c r="E175" s="16" t="str">
        <x:v>近似描述核对</x:v>
      </x:c>
      <x:c r="F175" s="16" t="str">
        <x:v>措辞近似，需确认含义和适用范围是否一致。</x:v>
      </x:c>
      <x:c r="G175" s="16" t="str">
        <x:v>OBS-0153, OBS-0289</x:v>
      </x:c>
      <x:c r="H175" s="16" t="str">
        <x:v>Carport column 3. Minor corrosion at the top column connection.</x:v>
      </x:c>
      <x:c r="I175" s="16" t="str">
        <x:v>Front verandah Column 3. Minor corrosion at the top column connection.</x:v>
      </x:c>
      <x:c r="J175" s="17" t="str"/>
      <x:c r="K175" s="17" t="str"/>
      <x:c r="L175" s="16" t="str">
        <x:v>SRC-009</x:v>
      </x:c>
      <x:c r="M175" s="16" t="str">
        <x:f>IF(C175="待确认","待确认",IF(C175="需修改","需修改",IF(C175="保持独立","已确认",IF(OR(C175="同意合并",C175="使用模板",C175="提取短句"),IF(LEN(TRIM(D175))=0,"缺少标准文字","已确认"),"无效选择"))))</x:f>
        <x:v>待确认</x:v>
      </x:c>
    </x:row>
    <x:row r="176" ht="37" customHeight="1">
      <x:c r="A176" s="16" t="str">
        <x:v>MRG-0170</x:v>
      </x:c>
      <x:c r="B176" s="16" t="str">
        <x:v>Observation</x:v>
      </x:c>
      <x:c r="C176" s="17" t="str">
        <x:v>待确认</x:v>
      </x:c>
      <x:c r="D176" s="17" t="str">
        <x:v>Significant corrosion of purlins.</x:v>
      </x:c>
      <x:c r="E176" s="16" t="str">
        <x:v>近似描述核对</x:v>
      </x:c>
      <x:c r="F176" s="16" t="str">
        <x:v>措辞近似，需确认含义和适用范围是否一致。</x:v>
      </x:c>
      <x:c r="G176" s="16" t="str">
        <x:v>OBS-0574, OBS-0576</x:v>
      </x:c>
      <x:c r="H176" s="16" t="str">
        <x:v>Significant corrosion of purlins.</x:v>
      </x:c>
      <x:c r="I176" s="16" t="str">
        <x:v>Significant corrosion to the top of purlins.</x:v>
      </x:c>
      <x:c r="J176" s="17" t="str"/>
      <x:c r="K176" s="17" t="str"/>
      <x:c r="L176" s="16" t="str">
        <x:v>SRC-080</x:v>
      </x:c>
      <x:c r="M176" s="16" t="str">
        <x:f>IF(C176="待确认","待确认",IF(C176="需修改","需修改",IF(C176="保持独立","已确认",IF(OR(C176="同意合并",C176="使用模板",C176="提取短句"),IF(LEN(TRIM(D176))=0,"缺少标准文字","已确认"),"无效选择"))))</x:f>
        <x:v>待确认</x:v>
      </x:c>
    </x:row>
    <x:row r="177" ht="41" customHeight="1">
      <x:c r="A177" s="16" t="str">
        <x:v>MRG-0171</x:v>
      </x:c>
      <x:c r="B177" s="16" t="str">
        <x:v>Observation</x:v>
      </x:c>
      <x:c r="C177" s="17" t="str">
        <x:v>待确认</x:v>
      </x:c>
      <x:c r="D177" s="17" t="str"/>
      <x:c r="E177" s="16" t="str">
        <x:v>近似描述核对</x:v>
      </x:c>
      <x:c r="F177" s="16" t="str">
        <x:v>程度、范围、处理方法、条件或编号存在差异，建议保持独立；如仅编号不同可改为模板。</x:v>
      </x:c>
      <x:c r="G177" s="16" t="str">
        <x:v>OBS-0005, OBS-0265</x:v>
      </x:c>
      <x:c r="H177" s="16" t="str">
        <x:v>Fencing posts on left hand side of property facing the front entrance. Bitumen paint deterioration.</x:v>
      </x:c>
      <x:c r="I177" s="16" t="str">
        <x:v>Fencing posts on left hand side of property facing the front entrance. Corrosion.</x:v>
      </x:c>
      <x:c r="J177" s="17" t="str"/>
      <x:c r="K177" s="17" t="str"/>
      <x:c r="L177" s="16" t="str">
        <x:v>SRC-025, SRC-027, SRC-049, SRC-051, SRC-055</x:v>
      </x:c>
      <x:c r="M177" s="16" t="str">
        <x:f>IF(C177="待确认","待确认",IF(C177="需修改","需修改",IF(C177="保持独立","已确认",IF(OR(C177="同意合并",C177="使用模板",C177="提取短句"),IF(LEN(TRIM(D177))=0,"缺少标准文字","已确认"),"无效选择"))))</x:f>
        <x:v>待确认</x:v>
      </x:c>
    </x:row>
    <x:row r="178" ht="41" customHeight="1">
      <x:c r="A178" s="16" t="str">
        <x:v>MRG-0172</x:v>
      </x:c>
      <x:c r="B178" s="16" t="str">
        <x:v>Observation</x:v>
      </x:c>
      <x:c r="C178" s="17" t="str">
        <x:v>待确认</x:v>
      </x:c>
      <x:c r="D178" s="17" t="str"/>
      <x:c r="E178" s="16" t="str">
        <x:v>近似描述核对</x:v>
      </x:c>
      <x:c r="F178" s="16" t="str">
        <x:v>程度、范围、处理方法、条件或编号存在差异，建议保持独立；如仅编号不同可改为模板。</x:v>
      </x:c>
      <x:c r="G178" s="16" t="str">
        <x:v>OBS-0350, OBS-0354</x:v>
      </x:c>
      <x:c r="H178" s="16" t="str">
        <x:v>Left hand side of house facing the entrance. Minor corrosion of purlins and rafters.</x:v>
      </x:c>
      <x:c r="I178" s="16" t="str">
        <x:v>Left hand side of house facing the entrance. Salt staining on purlins and rafters.</x:v>
      </x:c>
      <x:c r="J178" s="17" t="str"/>
      <x:c r="K178" s="17" t="str"/>
      <x:c r="L178" s="16" t="str">
        <x:v>SRC-025, SRC-053</x:v>
      </x:c>
      <x:c r="M178" s="16" t="str">
        <x:f>IF(C178="待确认","待确认",IF(C178="需修改","需修改",IF(C178="保持独立","已确认",IF(OR(C178="同意合并",C178="使用模板",C178="提取短句"),IF(LEN(TRIM(D178))=0,"缺少标准文字","已确认"),"无效选择"))))</x:f>
        <x:v>待确认</x:v>
      </x:c>
    </x:row>
    <x:row r="179" ht="41" customHeight="1">
      <x:c r="A179" s="16" t="str">
        <x:v>MRG-0173</x:v>
      </x:c>
      <x:c r="B179" s="16" t="str">
        <x:v>Observation</x:v>
      </x:c>
      <x:c r="C179" s="17" t="str">
        <x:v>待确认</x:v>
      </x:c>
      <x:c r="D179" s="17" t="str">
        <x:v>Left hand side staircase facing front entrance. Spalling and exposed reinforcement.</x:v>
      </x:c>
      <x:c r="E179" s="16" t="str">
        <x:v>近似描述核对</x:v>
      </x:c>
      <x:c r="F179" s="16" t="str">
        <x:v>措辞近似，需确认含义和适用范围是否一致。</x:v>
      </x:c>
      <x:c r="G179" s="16" t="str">
        <x:v>OBS-0359, OBS-0487</x:v>
      </x:c>
      <x:c r="H179" s="16" t="str">
        <x:v>Left hand side staircase facing front entrance. Spalling and exposed reinforcement.</x:v>
      </x:c>
      <x:c r="I179" s="16" t="str">
        <x:v>Right hand side of back balcony facing front entrance. Spalling and exposed reinforcement.</x:v>
      </x:c>
      <x:c r="J179" s="17" t="str"/>
      <x:c r="K179" s="17" t="str"/>
      <x:c r="L179" s="16" t="str">
        <x:v>SRC-096</x:v>
      </x:c>
      <x:c r="M179" s="16" t="str">
        <x:f>IF(C179="待确认","待确认",IF(C179="需修改","需修改",IF(C179="保持独立","已确认",IF(OR(C179="同意合并",C179="使用模板",C179="提取短句"),IF(LEN(TRIM(D179))=0,"缺少标准文字","已确认"),"无效选择"))))</x:f>
        <x:v>待确认</x:v>
      </x:c>
    </x:row>
    <x:row r="180" ht="41" customHeight="1">
      <x:c r="A180" s="16" t="str">
        <x:v>MRG-0174</x:v>
      </x:c>
      <x:c r="B180" s="16" t="str">
        <x:v>Observation</x:v>
      </x:c>
      <x:c r="C180" s="17" t="str">
        <x:v>待确认</x:v>
      </x:c>
      <x:c r="D180" s="17" t="str"/>
      <x:c r="E180" s="16" t="str">
        <x:v>近似描述核对</x:v>
      </x:c>
      <x:c r="F180" s="16" t="str">
        <x:v>程度、范围、处理方法、条件或编号存在差异，建议保持独立；如仅编号不同可改为模板。</x:v>
      </x:c>
      <x:c r="G180" s="16" t="str">
        <x:v>OBS-0107, OBS-0108</x:v>
      </x:c>
      <x:c r="H180" s="16" t="str">
        <x:v>Back right hand side corner facing front of the house. Hole in rafter due to severe corrosion. Hole in roof above rafter has increased rate of corrosion.</x:v>
      </x:c>
      <x:c r="I180" s="16" t="str">
        <x:v>Back right hand side corner facing front of the house. Hole in roof above rafter has increased rate of corrosion.</x:v>
      </x:c>
      <x:c r="J180" s="17" t="str"/>
      <x:c r="K180" s="17" t="str"/>
      <x:c r="L180" s="16" t="str">
        <x:v>SRC-048</x:v>
      </x:c>
      <x:c r="M180" s="16" t="str">
        <x:f>IF(C180="待确认","待确认",IF(C180="需修改","需修改",IF(C180="保持独立","已确认",IF(OR(C180="同意合并",C180="使用模板",C180="提取短句"),IF(LEN(TRIM(D180))=0,"缺少标准文字","已确认"),"无效选择"))))</x:f>
        <x:v>待确认</x:v>
      </x:c>
    </x:row>
    <x:row r="181" ht="37" customHeight="1">
      <x:c r="A181" s="16" t="str">
        <x:v>MRG-0175</x:v>
      </x:c>
      <x:c r="B181" s="16" t="str">
        <x:v>Observation</x:v>
      </x:c>
      <x:c r="C181" s="17" t="str">
        <x:v>待确认</x:v>
      </x:c>
      <x:c r="D181" s="17" t="str">
        <x:v>Minor corrosion at the lower section of the post.</x:v>
      </x:c>
      <x:c r="E181" s="16" t="str">
        <x:v>近似描述核对</x:v>
      </x:c>
      <x:c r="F181" s="16" t="str">
        <x:v>措辞近似，需确认含义和适用范围是否一致。</x:v>
      </x:c>
      <x:c r="G181" s="16" t="str">
        <x:v>OBS-0386, OBS-0399</x:v>
      </x:c>
      <x:c r="H181" s="16" t="str">
        <x:v>Minor corrosion at the lower section of the post.</x:v>
      </x:c>
      <x:c r="I181" s="16" t="str">
        <x:v>Minor corrosion on lower section of the struts.</x:v>
      </x:c>
      <x:c r="J181" s="17" t="str"/>
      <x:c r="K181" s="17" t="str"/>
      <x:c r="L181" s="16" t="str">
        <x:v>SRC-063</x:v>
      </x:c>
      <x:c r="M181" s="16" t="str">
        <x:f>IF(C181="待确认","待确认",IF(C181="需修改","需修改",IF(C181="保持独立","已确认",IF(OR(C181="同意合并",C181="使用模板",C181="提取短句"),IF(LEN(TRIM(D181))=0,"缺少标准文字","已确认"),"无效选择"))))</x:f>
        <x:v>待确认</x:v>
      </x:c>
    </x:row>
    <x:row r="182" ht="37" customHeight="1">
      <x:c r="A182" s="16" t="str">
        <x:v>MRG-0176</x:v>
      </x:c>
      <x:c r="B182" s="16" t="str">
        <x:v>Observation</x:v>
      </x:c>
      <x:c r="C182" s="17" t="str">
        <x:v>待确认</x:v>
      </x:c>
      <x:c r="D182" s="17" t="str">
        <x:v>Backyard fencing. Severe corrosion and bitumen paint deterioration.</x:v>
      </x:c>
      <x:c r="E182" s="16" t="str">
        <x:v>近似描述核对</x:v>
      </x:c>
      <x:c r="F182" s="16" t="str">
        <x:v>措辞近似，需确认含义和适用范围是否一致。</x:v>
      </x:c>
      <x:c r="G182" s="16" t="str">
        <x:v>OBS-0135, OBS-0557</x:v>
      </x:c>
      <x:c r="H182" s="16" t="str">
        <x:v>Backyard fencing. Severe corrosion and bitumen paint deterioration.</x:v>
      </x:c>
      <x:c r="I182" s="16" t="str">
        <x:v>Severe corrosion and bitumen paint deterioration.</x:v>
      </x:c>
      <x:c r="J182" s="17" t="str"/>
      <x:c r="K182" s="17" t="str"/>
      <x:c r="L182" s="16" t="str">
        <x:v>SRC-011, SRC-056</x:v>
      </x:c>
      <x:c r="M182" s="16" t="str">
        <x:f>IF(C182="待确认","待确认",IF(C182="需修改","需修改",IF(C182="保持独立","已确认",IF(OR(C182="同意合并",C182="使用模板",C182="提取短句"),IF(LEN(TRIM(D182))=0,"缺少标准文字","已确认"),"无效选择"))))</x:f>
        <x:v>待确认</x:v>
      </x:c>
    </x:row>
    <x:row r="183" ht="41" customHeight="1">
      <x:c r="A183" s="16" t="str">
        <x:v>MRG-0177</x:v>
      </x:c>
      <x:c r="B183" s="16" t="str">
        <x:v>Observation</x:v>
      </x:c>
      <x:c r="C183" s="17" t="str">
        <x:v>待确认</x:v>
      </x:c>
      <x:c r="D183" s="17" t="str"/>
      <x:c r="E183" s="16" t="str">
        <x:v>近似描述核对</x:v>
      </x:c>
      <x:c r="F183" s="16" t="str">
        <x:v>程度、范围、处理方法、条件或编号存在差异，建议保持独立；如仅编号不同可改为模板。</x:v>
      </x:c>
      <x:c r="G183" s="16" t="str">
        <x:v>OBS-0016, OBS-0587</x:v>
      </x:c>
      <x:c r="H183" s="16" t="str">
        <x:v>Minor surface corrosion.</x:v>
      </x:c>
      <x:c r="I183" s="16" t="str">
        <x:v>Surface corrosion.</x:v>
      </x:c>
      <x:c r="J183" s="17" t="str"/>
      <x:c r="K183" s="17" t="str"/>
      <x:c r="L183" s="16" t="str">
        <x:v>SRC-061, SRC-065, SRC-068, SRC-104</x:v>
      </x:c>
      <x:c r="M183" s="16" t="str">
        <x:f>IF(C183="待确认","待确认",IF(C183="需修改","需修改",IF(C183="保持独立","已确认",IF(OR(C183="同意合并",C183="使用模板",C183="提取短句"),IF(LEN(TRIM(D183))=0,"缺少标准文字","已确认"),"无效选择"))))</x:f>
        <x:v>待确认</x:v>
      </x:c>
    </x:row>
    <x:row r="184" ht="37" customHeight="1">
      <x:c r="A184" s="16" t="str">
        <x:v>MRG-0178</x:v>
      </x:c>
      <x:c r="B184" s="16" t="str">
        <x:v>Observation</x:v>
      </x:c>
      <x:c r="C184" s="17" t="str">
        <x:v>待确认</x:v>
      </x:c>
      <x:c r="D184" s="17" t="str">
        <x:v>Back verandah column in good condition.</x:v>
      </x:c>
      <x:c r="E184" s="16" t="str">
        <x:v>近似描述核对</x:v>
      </x:c>
      <x:c r="F184" s="16" t="str">
        <x:v>措辞近似，需确认含义和适用范围是否一致。</x:v>
      </x:c>
      <x:c r="G184" s="16" t="str">
        <x:v>OBS-0109, OBS-0138</x:v>
      </x:c>
      <x:c r="H184" s="16" t="str">
        <x:v>Back verandah column in good condition.</x:v>
      </x:c>
      <x:c r="I184" s="16" t="str">
        <x:v>Backyard verandah. In good condition.</x:v>
      </x:c>
      <x:c r="J184" s="17" t="str"/>
      <x:c r="K184" s="17" t="str"/>
      <x:c r="L184" s="16" t="str">
        <x:v>SRC-012, SRC-052</x:v>
      </x:c>
      <x:c r="M184" s="16" t="str">
        <x:f>IF(C184="待确认","待确认",IF(C184="需修改","需修改",IF(C184="保持独立","已确认",IF(OR(C184="同意合并",C184="使用模板",C184="提取短句"),IF(LEN(TRIM(D184))=0,"缺少标准文字","已确认"),"无效选择"))))</x:f>
        <x:v>待确认</x:v>
      </x:c>
    </x:row>
    <x:row r="185" ht="37" customHeight="1">
      <x:c r="A185" s="16" t="str">
        <x:v>MRG-0179</x:v>
      </x:c>
      <x:c r="B185" s="16" t="str">
        <x:v>Observation</x:v>
      </x:c>
      <x:c r="C185" s="17" t="str">
        <x:v>待确认</x:v>
      </x:c>
      <x:c r="D185" s="17" t="str">
        <x:v>Front verandah.</x:v>
      </x:c>
      <x:c r="E185" s="16" t="str">
        <x:v>近似描述核对</x:v>
      </x:c>
      <x:c r="F185" s="16" t="str">
        <x:v>措辞近似，需确认含义和适用范围是否一致。</x:v>
      </x:c>
      <x:c r="G185" s="16" t="str">
        <x:v>OBS-0014, OBS-0316</x:v>
      </x:c>
      <x:c r="H185" s="16" t="str">
        <x:v>Front verandah.</x:v>
      </x:c>
      <x:c r="I185" s="16" t="str">
        <x:v>Front yard verandah.</x:v>
      </x:c>
      <x:c r="J185" s="17" t="str"/>
      <x:c r="K185" s="17" t="str"/>
      <x:c r="L185" s="16" t="str">
        <x:v>SRC-009, SRC-014, SRC-048, SRC-061, SRC-092</x:v>
      </x:c>
      <x:c r="M185" s="16" t="str">
        <x:f>IF(C185="待确认","待确认",IF(C185="需修改","需修改",IF(C185="保持独立","已确认",IF(OR(C185="同意合并",C185="使用模板",C185="提取短句"),IF(LEN(TRIM(D185))=0,"缺少标准文字","已确认"),"无效选择"))))</x:f>
        <x:v>待确认</x:v>
      </x:c>
    </x:row>
    <x:row r="186" ht="41" customHeight="1">
      <x:c r="A186" s="16" t="str">
        <x:v>MRG-0180</x:v>
      </x:c>
      <x:c r="B186" s="16" t="str">
        <x:v>Observation</x:v>
      </x:c>
      <x:c r="C186" s="17" t="str">
        <x:v>待确认</x:v>
      </x:c>
      <x:c r="D186" s="17" t="str"/>
      <x:c r="E186" s="16" t="str">
        <x:v>近似描述核对</x:v>
      </x:c>
      <x:c r="F186" s="16" t="str">
        <x:v>程度、范围、处理方法、条件或编号存在差异，建议保持独立；如仅编号不同可改为模板。</x:v>
      </x:c>
      <x:c r="G186" s="16" t="str">
        <x:v>OBS-0066, OBS-0586</x:v>
      </x:c>
      <x:c r="H186" s="16" t="str">
        <x:v>Minor corrosion on roof sheeting</x:v>
      </x:c>
      <x:c r="I186" s="16" t="str">
        <x:v>Surface corrosion on roof sheeting.</x:v>
      </x:c>
      <x:c r="J186" s="17" t="str"/>
      <x:c r="K186" s="17" t="str"/>
      <x:c r="L186" s="16" t="str">
        <x:v>SRC-059, SRC-063, SRC-092</x:v>
      </x:c>
      <x:c r="M186" s="16" t="str">
        <x:f>IF(C186="待确认","待确认",IF(C186="需修改","需修改",IF(C186="保持独立","已确认",IF(OR(C186="同意合并",C186="使用模板",C186="提取短句"),IF(LEN(TRIM(D186))=0,"缺少标准文字","已确认"),"无效选择"))))</x:f>
        <x:v>待确认</x:v>
      </x:c>
    </x:row>
    <x:row r="187" ht="37" customHeight="1">
      <x:c r="A187" s="16" t="str">
        <x:v>MRG-0181</x:v>
      </x:c>
      <x:c r="B187" s="16" t="str">
        <x:v>Observation</x:v>
      </x:c>
      <x:c r="C187" s="17" t="str">
        <x:v>待确认</x:v>
      </x:c>
      <x:c r="D187" s="17" t="str">
        <x:v>Overview of front entrance verandah.</x:v>
      </x:c>
      <x:c r="E187" s="16" t="str">
        <x:v>近似描述核对</x:v>
      </x:c>
      <x:c r="F187" s="16" t="str">
        <x:v>措辞近似，需确认含义和适用范围是否一致。</x:v>
      </x:c>
      <x:c r="G187" s="16" t="str">
        <x:v>OBS-0429, OBS-0431</x:v>
      </x:c>
      <x:c r="H187" s="16" t="str">
        <x:v>Overview of front entrance verandah.</x:v>
      </x:c>
      <x:c r="I187" s="16" t="str">
        <x:v>Overview of front yard verandah</x:v>
      </x:c>
      <x:c r="J187" s="17" t="str"/>
      <x:c r="K187" s="17" t="str"/>
      <x:c r="L187" s="16" t="str">
        <x:v>SRC-002, SRC-063</x:v>
      </x:c>
      <x:c r="M187" s="16" t="str">
        <x:f>IF(C187="待确认","待确认",IF(C187="需修改","需修改",IF(C187="保持独立","已确认",IF(OR(C187="同意合并",C187="使用模板",C187="提取短句"),IF(LEN(TRIM(D187))=0,"缺少标准文字","已确认"),"无效选择"))))</x:f>
        <x:v>待确认</x:v>
      </x:c>
    </x:row>
    <x:row r="188" ht="41" customHeight="1">
      <x:c r="A188" s="16" t="str">
        <x:v>MRG-0182</x:v>
      </x:c>
      <x:c r="B188" s="16" t="str">
        <x:v>Observation</x:v>
      </x:c>
      <x:c r="C188" s="17" t="str">
        <x:v>待确认</x:v>
      </x:c>
      <x:c r="D188" s="17" t="str"/>
      <x:c r="E188" s="16" t="str">
        <x:v>近似描述核对</x:v>
      </x:c>
      <x:c r="F188" s="16" t="str">
        <x:v>程度、范围、处理方法、条件或编号存在差异，建议保持独立；如仅编号不同可改为模板。 数值或章节引用需保留。</x:v>
      </x:c>
      <x:c r="G188" s="16" t="str">
        <x:v>OBS-0453, OBS-0475</x:v>
      </x:c>
      <x:c r="H188" s="16" t="str">
        <x:v>Pier 10. Corrosion at support location. Expansion of steel due to corrosion causing brickwork to crack.</x:v>
      </x:c>
      <x:c r="I188" s="16" t="str">
        <x:v>Rafter at the top of pier 5. Severe corrosion at support location. Expansion of steel due to corrosion causing the brickwork to crack.</x:v>
      </x:c>
      <x:c r="J188" s="17" t="str"/>
      <x:c r="K188" s="17" t="str"/>
      <x:c r="L188" s="16" t="str">
        <x:v>SRC-006</x:v>
      </x:c>
      <x:c r="M188" s="16" t="str">
        <x:f>IF(C188="待确认","待确认",IF(C188="需修改","需修改",IF(C188="保持独立","已确认",IF(OR(C188="同意合并",C188="使用模板",C188="提取短句"),IF(LEN(TRIM(D188))=0,"缺少标准文字","已确认"),"无效选择"))))</x:f>
        <x:v>待确认</x:v>
      </x:c>
    </x:row>
    <x:row r="189" ht="41" customHeight="1">
      <x:c r="A189" s="16" t="str">
        <x:v>MRG-0183</x:v>
      </x:c>
      <x:c r="B189" s="16" t="str">
        <x:v>Observation</x:v>
      </x:c>
      <x:c r="C189" s="17" t="str">
        <x:v>待确认</x:v>
      </x:c>
      <x:c r="D189" s="17" t="str"/>
      <x:c r="E189" s="16" t="str">
        <x:v>近似描述核对</x:v>
      </x:c>
      <x:c r="F189" s="16" t="str">
        <x:v>程度、范围、处理方法、条件或编号存在差异，建议保持独立；如仅编号不同可改为模板。 数值或章节引用需保留。</x:v>
      </x:c>
      <x:c r="G189" s="16" t="str">
        <x:v>OBS-0521, OBS-0523</x:v>
      </x:c>
      <x:c r="H189" s="16" t="str">
        <x:v>Row 1 Column 1. Minor corrosion at lower portion of column.</x:v>
      </x:c>
      <x:c r="I189" s="16" t="str">
        <x:v>Row 1 Column 2. Minor corrosion and salt staining at lower portion of column.</x:v>
      </x:c>
      <x:c r="J189" s="17" t="str"/>
      <x:c r="K189" s="17" t="str"/>
      <x:c r="L189" s="16" t="str">
        <x:v>SRC-059</x:v>
      </x:c>
      <x:c r="M189" s="16" t="str">
        <x:f>IF(C189="待确认","待确认",IF(C189="需修改","需修改",IF(C189="保持独立","已确认",IF(OR(C189="同意合并",C189="使用模板",C189="提取短句"),IF(LEN(TRIM(D189))=0,"缺少标准文字","已确认"),"无效选择"))))</x:f>
        <x:v>待确认</x:v>
      </x:c>
    </x:row>
    <x:row r="190" ht="41" customHeight="1">
      <x:c r="A190" s="16" t="str">
        <x:v>MRG-0184</x:v>
      </x:c>
      <x:c r="B190" s="16" t="str">
        <x:v>Observation</x:v>
      </x:c>
      <x:c r="C190" s="17" t="str">
        <x:v>待确认</x:v>
      </x:c>
      <x:c r="D190" s="17" t="str"/>
      <x:c r="E190" s="16" t="str">
        <x:v>近似描述核对</x:v>
      </x:c>
      <x:c r="F190" s="16" t="str">
        <x:v>程度、范围、处理方法、条件或编号存在差异，建议保持独立；如仅编号不同可改为模板。 数值或章节引用需保留。</x:v>
      </x:c>
      <x:c r="G190" s="16" t="str">
        <x:v>OBS-0524, OBS-0529</x:v>
      </x:c>
      <x:c r="H190" s="16" t="str">
        <x:v>Row 1 Column 2. Minor corrosion at lower portion of column.</x:v>
      </x:c>
      <x:c r="I190" s="16" t="str">
        <x:v>Row 2 Column 2. Minor corrosion and salt staining at lower portion of column.</x:v>
      </x:c>
      <x:c r="J190" s="17" t="str"/>
      <x:c r="K190" s="17" t="str"/>
      <x:c r="L190" s="16" t="str">
        <x:v>SRC-055</x:v>
      </x:c>
      <x:c r="M190" s="16" t="str">
        <x:f>IF(C190="待确认","待确认",IF(C190="需修改","需修改",IF(C190="保持独立","已确认",IF(OR(C190="同意合并",C190="使用模板",C190="提取短句"),IF(LEN(TRIM(D190))=0,"缺少标准文字","已确认"),"无效选择"))))</x:f>
        <x:v>待确认</x:v>
      </x:c>
    </x:row>
    <x:row r="191" ht="41" customHeight="1">
      <x:c r="A191" s="16" t="str">
        <x:v>MRG-0185</x:v>
      </x:c>
      <x:c r="B191" s="16" t="str">
        <x:v>Observation</x:v>
      </x:c>
      <x:c r="C191" s="17" t="str">
        <x:v>待确认</x:v>
      </x:c>
      <x:c r="D191" s="17" t="str">
        <x:v>Carport verandah in good condition.</x:v>
      </x:c>
      <x:c r="E191" s="16" t="str">
        <x:v>近似描述核对</x:v>
      </x:c>
      <x:c r="F191" s="16" t="str">
        <x:v>措辞近似，需确认含义和适用范围是否一致。</x:v>
      </x:c>
      <x:c r="G191" s="16" t="str">
        <x:v>OBS-0003, OBS-0165</x:v>
      </x:c>
      <x:c r="H191" s="16" t="str">
        <x:v>Carport verandah in good condition.</x:v>
      </x:c>
      <x:c r="I191" s="16" t="str">
        <x:v>Carport in good condition.</x:v>
      </x:c>
      <x:c r="J191" s="17" t="str"/>
      <x:c r="K191" s="17" t="str"/>
      <x:c r="L191" s="16" t="str">
        <x:v>SRC-002, SRC-008, SRC-011, SRC-024, SRC-026, SRC-052, SRC-060, SRC-062</x:v>
      </x:c>
      <x:c r="M191" s="16" t="str">
        <x:f>IF(C191="待确认","待确认",IF(C191="需修改","需修改",IF(C191="保持独立","已确认",IF(OR(C191="同意合并",C191="使用模板",C191="提取短句"),IF(LEN(TRIM(D191))=0,"缺少标准文字","已确认"),"无效选择"))))</x:f>
        <x:v>待确认</x:v>
      </x:c>
    </x:row>
    <x:row r="192" ht="41" customHeight="1">
      <x:c r="A192" s="16" t="str">
        <x:v>MRG-0186</x:v>
      </x:c>
      <x:c r="B192" s="16" t="str">
        <x:v>Observation</x:v>
      </x:c>
      <x:c r="C192" s="17" t="str">
        <x:v>待确认</x:v>
      </x:c>
      <x:c r="D192" s="17" t="str"/>
      <x:c r="E192" s="16" t="str">
        <x:v>近似描述核对</x:v>
      </x:c>
      <x:c r="F192" s="16" t="str">
        <x:v>程度、范围、处理方法、条件或编号存在差异，建议保持独立；如仅编号不同可改为模板。 数值或章节引用需保留。</x:v>
      </x:c>
      <x:c r="G192" s="16" t="str">
        <x:v>OBS-0390, OBS-0607</x:v>
      </x:c>
      <x:c r="H192" s="16" t="str">
        <x:v>Minor corrosion of lintel</x:v>
      </x:c>
      <x:c r="I192" s="16" t="str">
        <x:v>Window 1. Minor corrosion of lintel.</x:v>
      </x:c>
      <x:c r="J192" s="17" t="str"/>
      <x:c r="K192" s="17" t="str"/>
      <x:c r="L192" s="16" t="str">
        <x:v>SRC-057</x:v>
      </x:c>
      <x:c r="M192" s="16" t="str">
        <x:f>IF(C192="待确认","待确认",IF(C192="需修改","需修改",IF(C192="保持独立","已确认",IF(OR(C192="同意合并",C192="使用模板",C192="提取短句"),IF(LEN(TRIM(D192))=0,"缺少标准文字","已确认"),"无效选择"))))</x:f>
        <x:v>待确认</x:v>
      </x:c>
    </x:row>
    <x:row r="193" ht="41" customHeight="1">
      <x:c r="A193" s="16" t="str">
        <x:v>MRG-0187</x:v>
      </x:c>
      <x:c r="B193" s="16" t="str">
        <x:v>Observation</x:v>
      </x:c>
      <x:c r="C193" s="17" t="str">
        <x:v>待确认</x:v>
      </x:c>
      <x:c r="D193" s="17" t="str"/>
      <x:c r="E193" s="16" t="str">
        <x:v>近似描述核对</x:v>
      </x:c>
      <x:c r="F193" s="16" t="str">
        <x:v>程度、范围、处理方法、条件或编号存在差异，建议保持独立；如仅编号不同可改为模板。 数值或章节引用需保留。</x:v>
      </x:c>
      <x:c r="G193" s="16" t="str">
        <x:v>OBS-0390, OBS-0608</x:v>
      </x:c>
      <x:c r="H193" s="16" t="str">
        <x:v>Minor corrosion of lintel</x:v>
      </x:c>
      <x:c r="I193" s="16" t="str">
        <x:v>Window 2. Minor corrosion of lintel.</x:v>
      </x:c>
      <x:c r="J193" s="17" t="str"/>
      <x:c r="K193" s="17" t="str"/>
      <x:c r="L193" s="16" t="str">
        <x:v>SRC-057</x:v>
      </x:c>
      <x:c r="M193" s="16" t="str">
        <x:f>IF(C193="待确认","待确认",IF(C193="需修改","需修改",IF(C193="保持独立","已确认",IF(OR(C193="同意合并",C193="使用模板",C193="提取短句"),IF(LEN(TRIM(D193))=0,"缺少标准文字","已确认"),"无效选择"))))</x:f>
        <x:v>待确认</x:v>
      </x:c>
    </x:row>
    <x:row r="194" ht="55" customHeight="1">
      <x:c r="A194" s="16" t="str">
        <x:v>MRG-0188</x:v>
      </x:c>
      <x:c r="B194" s="16" t="str">
        <x:v>Observation</x:v>
      </x:c>
      <x:c r="C194" s="17" t="str">
        <x:v>待确认</x:v>
      </x:c>
      <x:c r="D194" s="17" t="str">
        <x:v>Backyard fencing posts on left hand side of property facing the front entrance. Minor surface corrosion along the length of the post.</x:v>
      </x:c>
      <x:c r="E194" s="16" t="str">
        <x:v>近似描述核对</x:v>
      </x:c>
      <x:c r="F194" s="16" t="str">
        <x:v>措辞近似，需确认含义和适用范围是否一致。</x:v>
      </x:c>
      <x:c r="G194" s="16" t="str">
        <x:v>OBS-0131, OBS-0132</x:v>
      </x:c>
      <x:c r="H194" s="16" t="str">
        <x:v>Backyard fencing posts on left hand side of property facing the front entrance. Minor surface corrosion along the length of the post.</x:v>
      </x:c>
      <x:c r="I194" s="16" t="str">
        <x:v>Backyard fencing posts on left hand side of property facing the front entrance. Minor surface corrosion along the length of the post. Delamination of steel towards the lower section.</x:v>
      </x:c>
      <x:c r="J194" s="17" t="str"/>
      <x:c r="K194" s="17" t="str"/>
      <x:c r="L194" s="16" t="str">
        <x:v>SRC-001, SRC-003</x:v>
      </x:c>
      <x:c r="M194" s="16" t="str">
        <x:f>IF(C194="待确认","待确认",IF(C194="需修改","需修改",IF(C194="保持独立","已确认",IF(OR(C194="同意合并",C194="使用模板",C194="提取短句"),IF(LEN(TRIM(D194))=0,"缺少标准文字","已确认"),"无效选择"))))</x:f>
        <x:v>待确认</x:v>
      </x:c>
    </x:row>
    <x:row r="195" ht="37" customHeight="1">
      <x:c r="A195" s="16" t="str">
        <x:v>MRG-0189</x:v>
      </x:c>
      <x:c r="B195" s="16" t="str">
        <x:v>Observation</x:v>
      </x:c>
      <x:c r="C195" s="17" t="str">
        <x:v>待确认</x:v>
      </x:c>
      <x:c r="D195" s="17" t="str">
        <x:v>Carport wall cladding in good condition.</x:v>
      </x:c>
      <x:c r="E195" s="16" t="str">
        <x:v>近似描述核对</x:v>
      </x:c>
      <x:c r="F195" s="16" t="str">
        <x:v>措辞近似，需确认含义和适用范围是否一致。</x:v>
      </x:c>
      <x:c r="G195" s="16" t="str">
        <x:v>OBS-0038, OBS-0269</x:v>
      </x:c>
      <x:c r="H195" s="16" t="str">
        <x:v>Carport wall cladding in good condition.</x:v>
      </x:c>
      <x:c r="I195" s="16" t="str">
        <x:v>Front cladding in good condition.</x:v>
      </x:c>
      <x:c r="J195" s="17" t="str"/>
      <x:c r="K195" s="17" t="str"/>
      <x:c r="L195" s="16" t="str">
        <x:v>SRC-002, SRC-026, SRC-052</x:v>
      </x:c>
      <x:c r="M195" s="16" t="str">
        <x:f>IF(C195="待确认","待确认",IF(C195="需修改","需修改",IF(C195="保持独立","已确认",IF(OR(C195="同意合并",C195="使用模板",C195="提取短句"),IF(LEN(TRIM(D195))=0,"缺少标准文字","已确认"),"无效选择"))))</x:f>
        <x:v>待确认</x:v>
      </x:c>
    </x:row>
    <x:row r="196" ht="41" customHeight="1">
      <x:c r="A196" s="16" t="str">
        <x:v>MRG-0190</x:v>
      </x:c>
      <x:c r="B196" s="16" t="str">
        <x:v>Observation</x:v>
      </x:c>
      <x:c r="C196" s="17" t="str">
        <x:v>待确认</x:v>
      </x:c>
      <x:c r="D196" s="17" t="str">
        <x:v>Left-hand side facing front of house. Tek screws and flange of top-hat corroded away.</x:v>
      </x:c>
      <x:c r="E196" s="16" t="str">
        <x:v>近似描述核对</x:v>
      </x:c>
      <x:c r="F196" s="16" t="str">
        <x:v>措辞近似，需确认含义和适用范围是否一致。</x:v>
      </x:c>
      <x:c r="G196" s="16" t="str">
        <x:v>OBS-0367, OBS-0511</x:v>
      </x:c>
      <x:c r="H196" s="16" t="str">
        <x:v>Left-hand side facing front of house. Tek screws and flange of top-hat corroded away.</x:v>
      </x:c>
      <x:c r="I196" s="16" t="str">
        <x:v>Right-hand side corner facing back wall of house. Tek screws and flange of top-hat corroded away.</x:v>
      </x:c>
      <x:c r="J196" s="17" t="str"/>
      <x:c r="K196" s="17" t="str"/>
      <x:c r="L196" s="16" t="str">
        <x:v>SRC-015</x:v>
      </x:c>
      <x:c r="M196" s="16" t="str">
        <x:f>IF(C196="待确认","待确认",IF(C196="需修改","需修改",IF(C196="保持独立","已确认",IF(OR(C196="同意合并",C196="使用模板",C196="提取短句"),IF(LEN(TRIM(D196))=0,"缺少标准文字","已确认"),"无效选择"))))</x:f>
        <x:v>待确认</x:v>
      </x:c>
    </x:row>
    <x:row r="197" ht="37" customHeight="1">
      <x:c r="A197" s="16" t="str">
        <x:v>MRG-0191</x:v>
      </x:c>
      <x:c r="B197" s="16" t="str">
        <x:v>Observation</x:v>
      </x:c>
      <x:c r="C197" s="17" t="str">
        <x:v>待确认</x:v>
      </x:c>
      <x:c r="D197" s="17" t="str">
        <x:v>Front verandah column in good condition.</x:v>
      </x:c>
      <x:c r="E197" s="16" t="str">
        <x:v>近似描述核对</x:v>
      </x:c>
      <x:c r="F197" s="16" t="str">
        <x:v>措辞近似，需确认含义和适用范围是否一致。</x:v>
      </x:c>
      <x:c r="G197" s="16" t="str">
        <x:v>OBS-0051, OBS-0313</x:v>
      </x:c>
      <x:c r="H197" s="16" t="str">
        <x:v>Front verandah column in good condition.</x:v>
      </x:c>
      <x:c r="I197" s="16" t="str">
        <x:v>Front yard verandah in good condition.</x:v>
      </x:c>
      <x:c r="J197" s="17" t="str"/>
      <x:c r="K197" s="17" t="str"/>
      <x:c r="L197" s="16" t="str">
        <x:v>SRC-002, SRC-050, SRC-052</x:v>
      </x:c>
      <x:c r="M197" s="16" t="str">
        <x:f>IF(C197="待确认","待确认",IF(C197="需修改","需修改",IF(C197="保持独立","已确认",IF(OR(C197="同意合并",C197="使用模板",C197="提取短句"),IF(LEN(TRIM(D197))=0,"缺少标准文字","已确认"),"无效选择"))))</x:f>
        <x:v>待确认</x:v>
      </x:c>
    </x:row>
    <x:row r="198" ht="37" customHeight="1">
      <x:c r="A198" s="16" t="str">
        <x:v>MRG-0192</x:v>
      </x:c>
      <x:c r="B198" s="16" t="str">
        <x:v>Observation</x:v>
      </x:c>
      <x:c r="C198" s="17" t="str">
        <x:v>待确认</x:v>
      </x:c>
      <x:c r="D198" s="17" t="str">
        <x:v>Overview of carport verandah.</x:v>
      </x:c>
      <x:c r="E198" s="16" t="str">
        <x:v>近似描述核对</x:v>
      </x:c>
      <x:c r="F198" s="16" t="str">
        <x:v>措辞近似，需确认含义和适用范围是否一致。</x:v>
      </x:c>
      <x:c r="G198" s="16" t="str">
        <x:v>OBS-0009, OBS-0071</x:v>
      </x:c>
      <x:c r="H198" s="16" t="str">
        <x:v>Overview of carport verandah.</x:v>
      </x:c>
      <x:c r="I198" s="16" t="str">
        <x:v>Overview of backyard verandah.</x:v>
      </x:c>
      <x:c r="J198" s="17" t="str"/>
      <x:c r="K198" s="17" t="str"/>
      <x:c r="L198" s="16" t="str">
        <x:v>SRC-010, SRC-023, SRC-025, SRC-027, SRC-057</x:v>
      </x:c>
      <x:c r="M198" s="16" t="str">
        <x:f>IF(C198="待确认","待确认",IF(C198="需修改","需修改",IF(C198="保持独立","已确认",IF(OR(C198="同意合并",C198="使用模板",C198="提取短句"),IF(LEN(TRIM(D198))=0,"缺少标准文字","已确认"),"无效选择"))))</x:f>
        <x:v>待确认</x:v>
      </x:c>
    </x:row>
    <x:row r="199" ht="41" customHeight="1">
      <x:c r="A199" s="16" t="str">
        <x:v>MRG-0193</x:v>
      </x:c>
      <x:c r="B199" s="16" t="str">
        <x:v>Observation</x:v>
      </x:c>
      <x:c r="C199" s="17" t="str">
        <x:v>待确认</x:v>
      </x:c>
      <x:c r="D199" s="17" t="str">
        <x:v>Right hand side of house facing the entrance. Minor corrosion of purlins and rafters.</x:v>
      </x:c>
      <x:c r="E199" s="16" t="str">
        <x:v>近似描述核对</x:v>
      </x:c>
      <x:c r="F199" s="16" t="str">
        <x:v>措辞近似，需确认含义和适用范围是否一致。</x:v>
      </x:c>
      <x:c r="G199" s="16" t="str">
        <x:v>OBS-0491, OBS-0494</x:v>
      </x:c>
      <x:c r="H199" s="16" t="str">
        <x:v>Right hand side of house facing the entrance. Minor corrosion of purlins and rafters.</x:v>
      </x:c>
      <x:c r="I199" s="16" t="str">
        <x:v>Right hand side of house facing the entrance. Minor corrosion of verandah column and beam.</x:v>
      </x:c>
      <x:c r="J199" s="17" t="str"/>
      <x:c r="K199" s="17" t="str"/>
      <x:c r="L199" s="16" t="str">
        <x:v>SRC-010, SRC-025</x:v>
      </x:c>
      <x:c r="M199" s="16" t="str">
        <x:f>IF(C199="待确认","待确认",IF(C199="需修改","需修改",IF(C199="保持独立","已确认",IF(OR(C199="同意合并",C199="使用模板",C199="提取短句"),IF(LEN(TRIM(D199))=0,"缺少标准文字","已确认"),"无效选择"))))</x:f>
        <x:v>待确认</x:v>
      </x:c>
    </x:row>
    <x:row r="200" ht="41" customHeight="1">
      <x:c r="A200" s="16" t="str">
        <x:v>MRG-0194</x:v>
      </x:c>
      <x:c r="B200" s="16" t="str">
        <x:v>Observation</x:v>
      </x:c>
      <x:c r="C200" s="17" t="str">
        <x:v>待确认</x:v>
      </x:c>
      <x:c r="D200" s="17" t="str"/>
      <x:c r="E200" s="16" t="str">
        <x:v>近似描述核对</x:v>
      </x:c>
      <x:c r="F200" s="16" t="str">
        <x:v>程度、范围、处理方法、条件或编号存在差异，建议保持独立；如仅编号不同可改为模板。 数值或章节引用需保留。</x:v>
      </x:c>
      <x:c r="G200" s="16" t="str">
        <x:v>OBS-0210, OBS-0215</x:v>
      </x:c>
      <x:c r="H200" s="16" t="str">
        <x:v>Column C6.1 has been rusted with holes through at the base and is close to failure</x:v>
      </x:c>
      <x:c r="I200" s="16" t="str">
        <x:v>Columns C2.1, C2.2 and C2.3 had been rusted through at the base and is close to failure.</x:v>
      </x:c>
      <x:c r="J200" s="17" t="str"/>
      <x:c r="K200" s="17" t="str"/>
      <x:c r="L200" s="16" t="str">
        <x:v>SRC-029</x:v>
      </x:c>
      <x:c r="M200" s="16" t="str">
        <x:f>IF(C200="待确认","待确认",IF(C200="需修改","需修改",IF(C200="保持独立","已确认",IF(OR(C200="同意合并",C200="使用模板",C200="提取短句"),IF(LEN(TRIM(D200))=0,"缺少标准文字","已确认"),"无效选择"))))</x:f>
        <x:v>待确认</x:v>
      </x:c>
    </x:row>
    <x:row r="201" ht="37" customHeight="1">
      <x:c r="A201" s="16" t="str">
        <x:v>MRG-0195</x:v>
      </x:c>
      <x:c r="B201" s="16" t="str">
        <x:v>Observation</x:v>
      </x:c>
      <x:c r="C201" s="17" t="str">
        <x:v>待确认</x:v>
      </x:c>
      <x:c r="D201" s="17" t="str">
        <x:v>Porch verandah in good condition</x:v>
      </x:c>
      <x:c r="E201" s="16" t="str">
        <x:v>近似描述核对</x:v>
      </x:c>
      <x:c r="F201" s="16" t="str">
        <x:v>措辞近似，需确认含义和适用范围是否一致。</x:v>
      </x:c>
      <x:c r="G201" s="16" t="str">
        <x:v>OBS-0078, OBS-0313</x:v>
      </x:c>
      <x:c r="H201" s="16" t="str">
        <x:v>Porch verandah in good condition</x:v>
      </x:c>
      <x:c r="I201" s="16" t="str">
        <x:v>Front yard verandah in good condition.</x:v>
      </x:c>
      <x:c r="J201" s="17" t="str"/>
      <x:c r="K201" s="17" t="str"/>
      <x:c r="L201" s="16" t="str">
        <x:v>SRC-001, SRC-002, SRC-062</x:v>
      </x:c>
      <x:c r="M201" s="16" t="str">
        <x:f>IF(C201="待确认","待确认",IF(C201="需修改","需修改",IF(C201="保持独立","已确认",IF(OR(C201="同意合并",C201="使用模板",C201="提取短句"),IF(LEN(TRIM(D201))=0,"缺少标准文字","已确认"),"无效选择"))))</x:f>
        <x:v>待确认</x:v>
      </x:c>
    </x:row>
    <x:row r="202" ht="37" customHeight="1">
      <x:c r="A202" s="16" t="str">
        <x:v>MRG-0196</x:v>
      </x:c>
      <x:c r="B202" s="16" t="str">
        <x:v>Recommendation</x:v>
      </x:c>
      <x:c r="C202" s="17" t="str">
        <x:v>待确认</x:v>
      </x:c>
      <x:c r="D202" s="17" t="str">
        <x:v>Replace the column to match existing.</x:v>
      </x:c>
      <x:c r="E202" s="16" t="str">
        <x:v>近似描述核对</x:v>
      </x:c>
      <x:c r="F202" s="16" t="str">
        <x:v>措辞近似，需确认含义和适用范围是否一致。</x:v>
      </x:c>
      <x:c r="G202" s="16" t="str">
        <x:v>REC-0017, REC-0043</x:v>
      </x:c>
      <x:c r="H202" s="16" t="str">
        <x:v>Replace the column to match existing.</x:v>
      </x:c>
      <x:c r="I202" s="16" t="str">
        <x:v>Replace the columns to match existing.</x:v>
      </x:c>
      <x:c r="J202" s="17" t="str"/>
      <x:c r="K202" s="17" t="str"/>
      <x:c r="L202" s="16" t="str">
        <x:v>SRC-029</x:v>
      </x:c>
      <x:c r="M202" s="16" t="str">
        <x:f>IF(C202="待确认","待确认",IF(C202="需修改","需修改",IF(C202="保持独立","已确认",IF(OR(C202="同意合并",C202="使用模板",C202="提取短句"),IF(LEN(TRIM(D202))=0,"缺少标准文字","已确认"),"无效选择"))))</x:f>
        <x:v>待确认</x:v>
      </x:c>
    </x:row>
    <x:row r="203" ht="41" customHeight="1">
      <x:c r="A203" s="16" t="str">
        <x:v>MRG-0197</x:v>
      </x:c>
      <x:c r="B203" s="16" t="str">
        <x:v>Recommendation</x:v>
      </x:c>
      <x:c r="C203" s="17" t="str">
        <x:v>待确认</x:v>
      </x:c>
      <x:c r="D203" s="17" t="str">
        <x:v>Clean, wire brush and repaint. Expose the posts base and investigate the condition. Undertake appropriate repair stated within Section 3.</x:v>
      </x:c>
      <x:c r="E203" s="16" t="str">
        <x:v>近似描述核对</x:v>
      </x:c>
      <x:c r="F203" s="16" t="str">
        <x:v>措辞近似，需确认含义和适用范围是否一致。</x:v>
      </x:c>
      <x:c r="G203" s="16" t="str">
        <x:v>REC-0026, REC-0081</x:v>
      </x:c>
      <x:c r="H203" s="16" t="str">
        <x:v>Clean, wire brush and repaint. Expose the posts base and investigate the condition. Undertake appropriate repair stated within Section 3.</x:v>
      </x:c>
      <x:c r="I203" s="16" t="str">
        <x:v>Clean, wire brush and repaint. Expose the base and investigate the condition. Undertake appropriate repair stated within Section 3.</x:v>
      </x:c>
      <x:c r="J203" s="17" t="str"/>
      <x:c r="K203" s="17" t="str"/>
      <x:c r="L203" s="16" t="str">
        <x:v>SRC-010, SRC-026, SRC-059</x:v>
      </x:c>
      <x:c r="M203" s="16" t="str">
        <x:f>IF(C203="待确认","待确认",IF(C203="需修改","需修改",IF(C203="保持独立","已确认",IF(OR(C203="同意合并",C203="使用模板",C203="提取短句"),IF(LEN(TRIM(D203))=0,"缺少标准文字","已确认"),"无效选择"))))</x:f>
        <x:v>待确认</x:v>
      </x:c>
    </x:row>
    <x:row r="204" ht="41" customHeight="1">
      <x:c r="A204" s="16" t="str">
        <x:v>MRG-0198</x:v>
      </x:c>
      <x:c r="B204" s="16" t="str">
        <x:v>Recommendation</x:v>
      </x:c>
      <x:c r="C204" s="17" t="str">
        <x:v>待确认</x:v>
      </x:c>
      <x:c r="D204" s="17" t="str"/>
      <x:c r="E204" s="16" t="str">
        <x:v>近似描述核对</x:v>
      </x:c>
      <x:c r="F204" s="16" t="str">
        <x:v>程度、范围、处理方法、条件或编号存在差异，建议保持独立；如仅编号不同可改为模板。 数值或章节引用需保留。</x:v>
      </x:c>
      <x:c r="G204" s="16" t="str">
        <x:v>REC-0055, REC-0057</x:v>
      </x:c>
      <x:c r="H204" s="16" t="str">
        <x:v>Clean and repaint. Expose posts’ base and investigate the condition. Undertake appropriate repair stated within Section 3.</x:v>
      </x:c>
      <x:c r="I204" s="16" t="str">
        <x:v>Clean and repaint. Expose the posts’ base and investigate the condition. Undertake appropriate repair stated within Section 3.1.</x:v>
      </x:c>
      <x:c r="J204" s="17" t="str"/>
      <x:c r="K204" s="17" t="str"/>
      <x:c r="L204" s="16" t="str">
        <x:v>SRC-051, SRC-055</x:v>
      </x:c>
      <x:c r="M204" s="16" t="str">
        <x:f>IF(C204="待确认","待确认",IF(C204="需修改","需修改",IF(C204="保持独立","已确认",IF(OR(C204="同意合并",C204="使用模板",C204="提取短句"),IF(LEN(TRIM(D204))=0,"缺少标准文字","已确认"),"无效选择"))))</x:f>
        <x:v>待确认</x:v>
      </x:c>
    </x:row>
    <x:row r="205" ht="41" customHeight="1">
      <x:c r="A205" s="16" t="str">
        <x:v>MRG-0199</x:v>
      </x:c>
      <x:c r="B205" s="16" t="str">
        <x:v>Recommendation</x:v>
      </x:c>
      <x:c r="C205" s="17" t="str">
        <x:v>待确认</x:v>
      </x:c>
      <x:c r="D205" s="17" t="str">
        <x:v>Clean and repaint. Expose posts’ base and investigate the condition. Undertake appropriate repair stated within Section 3.</x:v>
      </x:c>
      <x:c r="E205" s="16" t="str">
        <x:v>近似描述核对</x:v>
      </x:c>
      <x:c r="F205" s="16" t="str">
        <x:v>措辞近似，需确认含义和适用范围是否一致。</x:v>
      </x:c>
      <x:c r="G205" s="16" t="str">
        <x:v>REC-0055, REC-0056</x:v>
      </x:c>
      <x:c r="H205" s="16" t="str">
        <x:v>Clean and repaint. Expose posts’ base and investigate the condition. Undertake appropriate repair stated within Section 3.</x:v>
      </x:c>
      <x:c r="I205" s="16" t="str">
        <x:v>Clean and repaint. Expose the base and investigate the condition. Undertake appropriate repair stated within Section 3.</x:v>
      </x:c>
      <x:c r="J205" s="17" t="str"/>
      <x:c r="K205" s="17" t="str"/>
      <x:c r="L205" s="16" t="str">
        <x:v>SRC-049, SRC-055</x:v>
      </x:c>
      <x:c r="M205" s="16" t="str">
        <x:f>IF(C205="待确认","待确认",IF(C205="需修改","需修改",IF(C205="保持独立","已确认",IF(OR(C205="同意合并",C205="使用模板",C205="提取短句"),IF(LEN(TRIM(D205))=0,"缺少标准文字","已确认"),"无效选择"))))</x:f>
        <x:v>待确认</x:v>
      </x:c>
    </x:row>
    <x:row r="206" ht="41" customHeight="1">
      <x:c r="A206" s="16" t="str">
        <x:v>MRG-0200</x:v>
      </x:c>
      <x:c r="B206" s="16" t="str">
        <x:v>Recommendation</x:v>
      </x:c>
      <x:c r="C206" s="17" t="str">
        <x:v>待确认</x:v>
      </x:c>
      <x:c r="D206" s="17" t="str">
        <x:v>Clean, wire brush and repaint. Expose the posts base and investigate the condition. Undertake appropriate repair stated within Section 3.</x:v>
      </x:c>
      <x:c r="E206" s="16" t="str">
        <x:v>近似描述核对</x:v>
      </x:c>
      <x:c r="F206" s="16" t="str">
        <x:v>措辞近似，需确认含义和适用范围是否一致。</x:v>
      </x:c>
      <x:c r="G206" s="16" t="str">
        <x:v>REC-0026, REC-0080</x:v>
      </x:c>
      <x:c r="H206" s="16" t="str">
        <x:v>Clean, wire brush and repaint. Expose the posts base and investigate the condition. Undertake appropriate repair stated within Section 3.</x:v>
      </x:c>
      <x:c r="I206" s="16" t="str">
        <x:v>Clean, wire brush and repaint. Expose fencing posts’ base and investigate the condition. Undertake appropriate repair stated within Section 3.</x:v>
      </x:c>
      <x:c r="J206" s="17" t="str"/>
      <x:c r="K206" s="17" t="str"/>
      <x:c r="L206" s="16" t="str">
        <x:v>SRC-010, SRC-023, SRC-059</x:v>
      </x:c>
      <x:c r="M206" s="16" t="str">
        <x:f>IF(C206="待确认","待确认",IF(C206="需修改","需修改",IF(C206="保持独立","已确认",IF(OR(C206="同意合并",C206="使用模板",C206="提取短句"),IF(LEN(TRIM(D206))=0,"缺少标准文字","已确认"),"无效选择"))))</x:f>
        <x:v>待确认</x:v>
      </x:c>
    </x:row>
    <x:row r="207" ht="41" customHeight="1">
      <x:c r="A207" s="16" t="str">
        <x:v>MRG-0201</x:v>
      </x:c>
      <x:c r="B207" s="16" t="str">
        <x:v>Recommendation</x:v>
      </x:c>
      <x:c r="C207" s="17" t="str">
        <x:v>待确认</x:v>
      </x:c>
      <x:c r="D207" s="17" t="str"/>
      <x:c r="E207" s="16" t="str">
        <x:v>近似描述核对</x:v>
      </x:c>
      <x:c r="F207" s="16" t="str">
        <x:v>程度、范围、处理方法、条件或编号存在差异，建议保持独立；如仅编号不同可改为模板。 数值或章节引用需保留。</x:v>
      </x:c>
      <x:c r="G207" s="16" t="str">
        <x:v>REC-0056, REC-0057</x:v>
      </x:c>
      <x:c r="H207" s="16" t="str">
        <x:v>Clean and repaint. Expose the base and investigate the condition. Undertake appropriate repair stated within Section 3.</x:v>
      </x:c>
      <x:c r="I207" s="16" t="str">
        <x:v>Clean and repaint. Expose the posts’ base and investigate the condition. Undertake appropriate repair stated within Section 3.1.</x:v>
      </x:c>
      <x:c r="J207" s="17" t="str"/>
      <x:c r="K207" s="17" t="str"/>
      <x:c r="L207" s="16" t="str">
        <x:v>SRC-049, SRC-051</x:v>
      </x:c>
      <x:c r="M207" s="16" t="str">
        <x:f>IF(C207="待确认","待确认",IF(C207="需修改","需修改",IF(C207="保持独立","已确认",IF(OR(C207="同意合并",C207="使用模板",C207="提取短句"),IF(LEN(TRIM(D207))=0,"缺少标准文字","已确认"),"无效选择"))))</x:f>
        <x:v>待确认</x:v>
      </x:c>
    </x:row>
    <x:row r="208" ht="41" customHeight="1">
      <x:c r="A208" s="16" t="str">
        <x:v>MRG-0202</x:v>
      </x:c>
      <x:c r="B208" s="16" t="str">
        <x:v>Recommendation</x:v>
      </x:c>
      <x:c r="C208" s="17" t="str">
        <x:v>待确认</x:v>
      </x:c>
      <x:c r="D208" s="17" t="str">
        <x:v>Clean, wire brush and repaint. Excavate all fencing posts to the base and investigate the condition. Undertake appropriate repair stated within Section 3.</x:v>
      </x:c>
      <x:c r="E208" s="16" t="str">
        <x:v>近似描述核对</x:v>
      </x:c>
      <x:c r="F208" s="16" t="str">
        <x:v>措辞近似，需确认含义和适用范围是否一致。</x:v>
      </x:c>
      <x:c r="G208" s="16" t="str">
        <x:v>REC-0011, REC-0054</x:v>
      </x:c>
      <x:c r="H208" s="16" t="str">
        <x:v>Clean, wire brush and repaint. Excavate all fencing posts to the base and investigate the condition. Undertake appropriate repair stated within Section 3.</x:v>
      </x:c>
      <x:c r="I208" s="16" t="str">
        <x:v>Clean and repaint. Excavate all fencing posts to the base and investigate the condition. Undertake appropriate repair stated within Section 3.</x:v>
      </x:c>
      <x:c r="J208" s="17" t="str"/>
      <x:c r="K208" s="17" t="str"/>
      <x:c r="L208" s="16" t="str">
        <x:v>SRC-001, SRC-024, SRC-025, SRC-027, SRC-028, SRC-060</x:v>
      </x:c>
      <x:c r="M208" s="16" t="str">
        <x:f>IF(C208="待确认","待确认",IF(C208="需修改","需修改",IF(C208="保持独立","已确认",IF(OR(C208="同意合并",C208="使用模板",C208="提取短句"),IF(LEN(TRIM(D208))=0,"缺少标准文字","已确认"),"无效选择"))))</x:f>
        <x:v>待确认</x:v>
      </x:c>
    </x:row>
    <x:row r="209" ht="37" customHeight="1">
      <x:c r="A209" s="16" t="str">
        <x:v>MRG-0203</x:v>
      </x:c>
      <x:c r="B209" s="16" t="str">
        <x:v>Recommendation</x:v>
      </x:c>
      <x:c r="C209" s="17" t="str">
        <x:v>待确认</x:v>
      </x:c>
      <x:c r="D209" s="17" t="str">
        <x:v>Cap purlin holes to prevent water ingress. Clean all salt staining.</x:v>
      </x:c>
      <x:c r="E209" s="16" t="str">
        <x:v>近似描述核对</x:v>
      </x:c>
      <x:c r="F209" s="16" t="str">
        <x:v>措辞近似，需确认含义和适用范围是否一致。</x:v>
      </x:c>
      <x:c r="G209" s="16" t="str">
        <x:v>REC-0050, REC-0086</x:v>
      </x:c>
      <x:c r="H209" s="16" t="str">
        <x:v>Cap purlin holes to prevent water ingress. Clean all salt staining.</x:v>
      </x:c>
      <x:c r="I209" s="16" t="str">
        <x:v>Cover purlin holes to prevent water ingress. Clean all salt staining.</x:v>
      </x:c>
      <x:c r="J209" s="17" t="str"/>
      <x:c r="K209" s="17" t="str"/>
      <x:c r="L209" s="16" t="str">
        <x:v>SRC-001</x:v>
      </x:c>
      <x:c r="M209" s="16" t="str">
        <x:f>IF(C209="待确认","待确认",IF(C209="需修改","需修改",IF(C209="保持独立","已确认",IF(OR(C209="同意合并",C209="使用模板",C209="提取短句"),IF(LEN(TRIM(D209))=0,"缺少标准文字","已确认"),"无效选择"))))</x:f>
        <x:v>待确认</x:v>
      </x:c>
    </x:row>
    <x:row r="210" ht="41" customHeight="1">
      <x:c r="A210" s="16" t="str">
        <x:v>MRG-0204</x:v>
      </x:c>
      <x:c r="B210" s="16" t="str">
        <x:v>Recommendation</x:v>
      </x:c>
      <x:c r="C210" s="17" t="str">
        <x:v>待确认</x:v>
      </x:c>
      <x:c r="D210" s="17" t="str">
        <x:v>Clean and repaint. Expose the base and investigate the condition. Undertake appropriate repair stated within Section 3.</x:v>
      </x:c>
      <x:c r="E210" s="16" t="str">
        <x:v>近似描述核对</x:v>
      </x:c>
      <x:c r="F210" s="16" t="str">
        <x:v>措辞近似，需确认含义和适用范围是否一致。</x:v>
      </x:c>
      <x:c r="G210" s="16" t="str">
        <x:v>REC-0056, REC-0081</x:v>
      </x:c>
      <x:c r="H210" s="16" t="str">
        <x:v>Clean and repaint. Expose the base and investigate the condition. Undertake appropriate repair stated within Section 3.</x:v>
      </x:c>
      <x:c r="I210" s="16" t="str">
        <x:v>Clean, wire brush and repaint. Expose the base and investigate the condition. Undertake appropriate repair stated within Section 3.</x:v>
      </x:c>
      <x:c r="J210" s="17" t="str"/>
      <x:c r="K210" s="17" t="str"/>
      <x:c r="L210" s="16" t="str">
        <x:v>SRC-026, SRC-049</x:v>
      </x:c>
      <x:c r="M210" s="16" t="str">
        <x:f>IF(C210="待确认","待确认",IF(C210="需修改","需修改",IF(C210="保持独立","已确认",IF(OR(C210="同意合并",C210="使用模板",C210="提取短句"),IF(LEN(TRIM(D210))=0,"缺少标准文字","已确认"),"无效选择"))))</x:f>
        <x:v>待确认</x:v>
      </x:c>
    </x:row>
    <x:row r="211" ht="41" customHeight="1">
      <x:c r="A211" s="16" t="str">
        <x:v>MRG-0205</x:v>
      </x:c>
      <x:c r="B211" s="16" t="str">
        <x:v>Recommendation</x:v>
      </x:c>
      <x:c r="C211" s="17" t="str">
        <x:v>待确认</x:v>
      </x:c>
      <x:c r="D211" s="17" t="str"/>
      <x:c r="E211" s="16" t="str">
        <x:v>近似描述核对</x:v>
      </x:c>
      <x:c r="F211" s="16" t="str">
        <x:v>程度、范围、处理方法、条件或编号存在差异，建议保持独立；如仅编号不同可改为模板。 数值或章节引用需保留。</x:v>
      </x:c>
      <x:c r="G211" s="16" t="str">
        <x:v>REC-0026, REC-0057</x:v>
      </x:c>
      <x:c r="H211" s="16" t="str">
        <x:v>Clean, wire brush and repaint. Expose the posts base and investigate the condition. Undertake appropriate repair stated within Section 3.</x:v>
      </x:c>
      <x:c r="I211" s="16" t="str">
        <x:v>Clean and repaint. Expose the posts’ base and investigate the condition. Undertake appropriate repair stated within Section 3.1.</x:v>
      </x:c>
      <x:c r="J211" s="17" t="str"/>
      <x:c r="K211" s="17" t="str"/>
      <x:c r="L211" s="16" t="str">
        <x:v>SRC-010, SRC-051, SRC-059</x:v>
      </x:c>
      <x:c r="M211" s="16" t="str">
        <x:f>IF(C211="待确认","待确认",IF(C211="需修改","需修改",IF(C211="保持独立","已确认",IF(OR(C211="同意合并",C211="使用模板",C211="提取短句"),IF(LEN(TRIM(D211))=0,"缺少标准文字","已确认"),"无效选择"))))</x:f>
        <x:v>待确认</x:v>
      </x:c>
    </x:row>
    <x:row r="212" ht="41" customHeight="1">
      <x:c r="A212" s="16" t="str">
        <x:v>MRG-0206</x:v>
      </x:c>
      <x:c r="B212" s="16" t="str">
        <x:v>Recommendation</x:v>
      </x:c>
      <x:c r="C212" s="17" t="str">
        <x:v>待确认</x:v>
      </x:c>
      <x:c r="D212" s="17" t="str"/>
      <x:c r="E212" s="16" t="str">
        <x:v>近似描述核对</x:v>
      </x:c>
      <x:c r="F212" s="16" t="str">
        <x:v>程度、范围、处理方法、条件或编号存在差异，建议保持独立；如仅编号不同可改为模板。</x:v>
      </x:c>
      <x:c r="G212" s="16" t="str">
        <x:v>REC-0011, REC-0065</x:v>
      </x:c>
      <x:c r="H212" s="16" t="str">
        <x:v>Clean, wire brush and repaint. Excavate all fencing posts to the base and investigate the condition. Undertake appropriate repair stated within Section 3.</x:v>
      </x:c>
      <x:c r="I212" s="16" t="str">
        <x:v>Clean, remove corrosion and repaint. Excavate all fencing posts to the base and investigate the condition. Undertake appropriate repair stated within Section 3.</x:v>
      </x:c>
      <x:c r="J212" s="17" t="str"/>
      <x:c r="K212" s="17" t="str"/>
      <x:c r="L212" s="16" t="str">
        <x:v>SRC-001, SRC-011, SRC-024, SRC-025, SRC-028, SRC-060</x:v>
      </x:c>
      <x:c r="M212" s="16" t="str">
        <x:f>IF(C212="待确认","待确认",IF(C212="需修改","需修改",IF(C212="保持独立","已确认",IF(OR(C212="同意合并",C212="使用模板",C212="提取短句"),IF(LEN(TRIM(D212))=0,"缺少标准文字","已确认"),"无效选择"))))</x:f>
        <x:v>待确认</x:v>
      </x:c>
    </x:row>
    <x:row r="213" ht="41" customHeight="1">
      <x:c r="A213" s="16" t="str">
        <x:v>MRG-0207</x:v>
      </x:c>
      <x:c r="B213" s="16" t="str">
        <x:v>Recommendation</x:v>
      </x:c>
      <x:c r="C213" s="17" t="str">
        <x:v>待确认</x:v>
      </x:c>
      <x:c r="D213" s="17" t="str">
        <x:v>Clean, wire brush and repaint. Expose fencing posts’ base and investigate the condition. Undertake appropriate repair stated within Section 3.</x:v>
      </x:c>
      <x:c r="E213" s="16" t="str">
        <x:v>近似描述核对</x:v>
      </x:c>
      <x:c r="F213" s="16" t="str">
        <x:v>措辞近似，需确认含义和适用范围是否一致。</x:v>
      </x:c>
      <x:c r="G213" s="16" t="str">
        <x:v>REC-0080, REC-0081</x:v>
      </x:c>
      <x:c r="H213" s="16" t="str">
        <x:v>Clean, wire brush and repaint. Expose fencing posts’ base and investigate the condition. Undertake appropriate repair stated within Section 3.</x:v>
      </x:c>
      <x:c r="I213" s="16" t="str">
        <x:v>Clean, wire brush and repaint. Expose the base and investigate the condition. Undertake appropriate repair stated within Section 3.</x:v>
      </x:c>
      <x:c r="J213" s="17" t="str"/>
      <x:c r="K213" s="17" t="str"/>
      <x:c r="L213" s="16" t="str">
        <x:v>SRC-023, SRC-026</x:v>
      </x:c>
      <x:c r="M213" s="16" t="str">
        <x:f>IF(C213="待确认","待确认",IF(C213="需修改","需修改",IF(C213="保持独立","已确认",IF(OR(C213="同意合并",C213="使用模板",C213="提取短句"),IF(LEN(TRIM(D213))=0,"缺少标准文字","已确认"),"无效选择"))))</x:f>
        <x:v>待确认</x:v>
      </x:c>
    </x:row>
    <x:row r="214" ht="55" customHeight="1">
      <x:c r="A214" s="16" t="str">
        <x:v>MRG-0208</x:v>
      </x:c>
      <x:c r="B214" s="16" t="str">
        <x:v>Recommendation</x:v>
      </x:c>
      <x:c r="C214" s="17" t="str">
        <x:v>待确认</x:v>
      </x:c>
      <x:c r="D214" s="17" t="str">
        <x:v>Clean, remove corrosion and repaint.</x:v>
      </x:c>
      <x:c r="E214" s="16" t="str">
        <x:v>近似描述核对</x:v>
      </x:c>
      <x:c r="F214" s="16" t="str">
        <x:v>措辞近似，需确认含义和适用范围是否一致。</x:v>
      </x:c>
      <x:c r="G214" s="16" t="str">
        <x:v>REC-0002, REC-0025</x:v>
      </x:c>
      <x:c r="H214" s="16" t="str">
        <x:v>Clean, remove corrosion and repaint.</x:v>
      </x:c>
      <x:c r="I214" s="16" t="str">
        <x:v>Clean, remove the corrosion and repaint.</x:v>
      </x:c>
      <x:c r="J214" s="17" t="str"/>
      <x:c r="K214" s="17" t="str"/>
      <x:c r="L214" s="16" t="str">
        <x:v>SRC-006, SRC-009, SRC-012, SRC-015, SRC-055, SRC-063, SRC-071, SRC-080, SRC-092, SRC-094, SRC-100</x:v>
      </x:c>
      <x:c r="M214" s="16" t="str">
        <x:f>IF(C214="待确认","待确认",IF(C214="需修改","需修改",IF(C214="保持独立","已确认",IF(OR(C214="同意合并",C214="使用模板",C214="提取短句"),IF(LEN(TRIM(D214))=0,"缺少标准文字","已确认"),"无效选择"))))</x:f>
        <x:v>待确认</x:v>
      </x:c>
    </x:row>
    <x:row r="215" ht="37" customHeight="1">
      <x:c r="A215" s="16" t="str">
        <x:v>MRG-0209</x:v>
      </x:c>
      <x:c r="B215" s="16" t="str">
        <x:v>Recommendation</x:v>
      </x:c>
      <x:c r="C215" s="17" t="str">
        <x:v>待确认</x:v>
      </x:c>
      <x:c r="D215" s="17" t="str">
        <x:v>Replace the columns to match existing.</x:v>
      </x:c>
      <x:c r="E215" s="16" t="str">
        <x:v>近似描述核对</x:v>
      </x:c>
      <x:c r="F215" s="16" t="str">
        <x:v>措辞近似，需确认含义和适用范围是否一致。</x:v>
      </x:c>
      <x:c r="G215" s="16" t="str">
        <x:v>REC-0043, REC-0145</x:v>
      </x:c>
      <x:c r="H215" s="16" t="str">
        <x:v>Replace the columns to match existing.</x:v>
      </x:c>
      <x:c r="I215" s="16" t="str">
        <x:v>Replace columns to match existing.</x:v>
      </x:c>
      <x:c r="J215" s="17" t="str"/>
      <x:c r="K215" s="17" t="str"/>
      <x:c r="L215" s="16" t="str">
        <x:v>SRC-029</x:v>
      </x:c>
      <x:c r="M215" s="16" t="str">
        <x:f>IF(C215="待确认","待确认",IF(C215="需修改","需修改",IF(C215="保持独立","已确认",IF(OR(C215="同意合并",C215="使用模板",C215="提取短句"),IF(LEN(TRIM(D215))=0,"缺少标准文字","已确认"),"无效选择"))))</x:f>
        <x:v>待确认</x:v>
      </x:c>
    </x:row>
    <x:row r="216" ht="37" customHeight="1">
      <x:c r="A216" s="16" t="str">
        <x:v>MRG-0210</x:v>
      </x:c>
      <x:c r="B216" s="16" t="str">
        <x:v>Recommendation</x:v>
      </x:c>
      <x:c r="C216" s="17" t="str">
        <x:v>待确认</x:v>
      </x:c>
      <x:c r="D216" s="17" t="str">
        <x:v>Replace the rafter and cracked bricks.</x:v>
      </x:c>
      <x:c r="E216" s="16" t="str">
        <x:v>近似描述核对</x:v>
      </x:c>
      <x:c r="F216" s="16" t="str">
        <x:v>措辞近似，需确认含义和适用范围是否一致。</x:v>
      </x:c>
      <x:c r="G216" s="16" t="str">
        <x:v>REC-0012, REC-0150</x:v>
      </x:c>
      <x:c r="H216" s="16" t="str">
        <x:v>Replace the rafter and cracked bricks.</x:v>
      </x:c>
      <x:c r="I216" s="16" t="str">
        <x:v>Replace rafter and cracked bricks.</x:v>
      </x:c>
      <x:c r="J216" s="17" t="str"/>
      <x:c r="K216" s="17" t="str"/>
      <x:c r="L216" s="16" t="str">
        <x:v>SRC-006</x:v>
      </x:c>
      <x:c r="M216" s="16" t="str">
        <x:f>IF(C216="待确认","待确认",IF(C216="需修改","需修改",IF(C216="保持独立","已确认",IF(OR(C216="同意合并",C216="使用模板",C216="提取短句"),IF(LEN(TRIM(D216))=0,"缺少标准文字","已确认"),"无效选择"))))</x:f>
        <x:v>待确认</x:v>
      </x:c>
    </x:row>
    <x:row r="217" ht="41" customHeight="1">
      <x:c r="A217" s="16" t="str">
        <x:v>MRG-0211</x:v>
      </x:c>
      <x:c r="B217" s="16" t="str">
        <x:v>Recommendation</x:v>
      </x:c>
      <x:c r="C217" s="17" t="str">
        <x:v>待确认</x:v>
      </x:c>
      <x:c r="D217" s="17" t="str"/>
      <x:c r="E217" s="16" t="str">
        <x:v>近似描述核对</x:v>
      </x:c>
      <x:c r="F217" s="16" t="str">
        <x:v>程度、范围、处理方法、条件或编号存在差异，建议保持独立；如仅编号不同可改为模板。</x:v>
      </x:c>
      <x:c r="G217" s="16" t="str">
        <x:v>REC-0054, REC-0065</x:v>
      </x:c>
      <x:c r="H217" s="16" t="str">
        <x:v>Clean and repaint. Excavate all fencing posts to the base and investigate the condition. Undertake appropriate repair stated within Section 3.</x:v>
      </x:c>
      <x:c r="I217" s="16" t="str">
        <x:v>Clean, remove corrosion and repaint. Excavate all fencing posts to the base and investigate the condition. Undertake appropriate repair stated within Section 3.</x:v>
      </x:c>
      <x:c r="J217" s="17" t="str"/>
      <x:c r="K217" s="17" t="str"/>
      <x:c r="L217" s="16" t="str">
        <x:v>SRC-011, SRC-027</x:v>
      </x:c>
      <x:c r="M217" s="16" t="str">
        <x:f>IF(C217="待确认","待确认",IF(C217="需修改","需修改",IF(C217="保持独立","已确认",IF(OR(C217="同意合并",C217="使用模板",C217="提取短句"),IF(LEN(TRIM(D217))=0,"缺少标准文字","已确认"),"无效选择"))))</x:f>
        <x:v>待确认</x:v>
      </x:c>
    </x:row>
    <x:row r="218" ht="41" customHeight="1">
      <x:c r="A218" s="16" t="str">
        <x:v>MRG-0212</x:v>
      </x:c>
      <x:c r="B218" s="16" t="str">
        <x:v>Recommendation</x:v>
      </x:c>
      <x:c r="C218" s="17" t="str">
        <x:v>待确认</x:v>
      </x:c>
      <x:c r="D218" s="17" t="str">
        <x:v>Excavate all columns to the base and investigate the condition. Undertake appropriate repair stated within Section 3.</x:v>
      </x:c>
      <x:c r="E218" s="16" t="str">
        <x:v>近似描述核对</x:v>
      </x:c>
      <x:c r="F218" s="16" t="str">
        <x:v>措辞近似，需确认含义和适用范围是否一致。</x:v>
      </x:c>
      <x:c r="G218" s="16" t="str">
        <x:v>REC-0090, REC-0091</x:v>
      </x:c>
      <x:c r="H218" s="16" t="str">
        <x:v>Excavate all columns to the base and investigate the condition. Undertake appropriate repair stated within Section 3.</x:v>
      </x:c>
      <x:c r="I218" s="16" t="str">
        <x:v>Excavate all fencing posts to the base and investigate the condition. Undertake appropriate repair stated within Section 3.</x:v>
      </x:c>
      <x:c r="J218" s="17" t="str"/>
      <x:c r="K218" s="17" t="str"/>
      <x:c r="L218" s="16" t="str">
        <x:v>SRC-012, SRC-057</x:v>
      </x:c>
      <x:c r="M218" s="16" t="str">
        <x:f>IF(C218="待确认","待确认",IF(C218="需修改","需修改",IF(C218="保持独立","已确认",IF(OR(C218="同意合并",C218="使用模板",C218="提取短句"),IF(LEN(TRIM(D218))=0,"缺少标准文字","已确认"),"无效选择"))))</x:f>
        <x:v>待确认</x:v>
      </x:c>
    </x:row>
    <x:row r="219" ht="41" customHeight="1">
      <x:c r="A219" s="16" t="str">
        <x:v>MRG-0213</x:v>
      </x:c>
      <x:c r="B219" s="16" t="str">
        <x:v>Recommendation</x:v>
      </x:c>
      <x:c r="C219" s="17" t="str">
        <x:v>待确认</x:v>
      </x:c>
      <x:c r="D219" s="17" t="str">
        <x:v>Clean, wire brush and repaint. Expose the posts base and investigate the condition. Undertake appropriate repair stated within Section 3.</x:v>
      </x:c>
      <x:c r="E219" s="16" t="str">
        <x:v>近似描述核对</x:v>
      </x:c>
      <x:c r="F219" s="16" t="str">
        <x:v>措辞近似，需确认含义和适用范围是否一致。</x:v>
      </x:c>
      <x:c r="G219" s="16" t="str">
        <x:v>REC-0026, REC-0055</x:v>
      </x:c>
      <x:c r="H219" s="16" t="str">
        <x:v>Clean, wire brush and repaint. Expose the posts base and investigate the condition. Undertake appropriate repair stated within Section 3.</x:v>
      </x:c>
      <x:c r="I219" s="16" t="str">
        <x:v>Clean and repaint. Expose posts’ base and investigate the condition. Undertake appropriate repair stated within Section 3.</x:v>
      </x:c>
      <x:c r="J219" s="17" t="str"/>
      <x:c r="K219" s="17" t="str"/>
      <x:c r="L219" s="16" t="str">
        <x:v>SRC-010, SRC-055, SRC-059</x:v>
      </x:c>
      <x:c r="M219" s="16" t="str">
        <x:f>IF(C219="待确认","待确认",IF(C219="需修改","需修改",IF(C219="保持独立","已确认",IF(OR(C219="同意合并",C219="使用模板",C219="提取短句"),IF(LEN(TRIM(D219))=0,"缺少标准文字","已确认"),"无效选择"))))</x:f>
        <x:v>待确认</x:v>
      </x:c>
    </x:row>
    <x:row r="220" ht="41" customHeight="1">
      <x:c r="A220" s="16" t="str">
        <x:v>MRG-0214</x:v>
      </x:c>
      <x:c r="B220" s="16" t="str">
        <x:v>Recommendation</x:v>
      </x:c>
      <x:c r="C220" s="17" t="str">
        <x:v>待确认</x:v>
      </x:c>
      <x:c r="D220" s="17" t="str">
        <x:v>Clean, wire brush and repaint. Excavate and expose fencing posts and investigate the condition. Undertake appropriate repair stated within Section 3.</x:v>
      </x:c>
      <x:c r="E220" s="16" t="str">
        <x:v>近似描述核对</x:v>
      </x:c>
      <x:c r="F220" s="16" t="str">
        <x:v>措辞近似，需确认含义和适用范围是否一致。</x:v>
      </x:c>
      <x:c r="G220" s="16" t="str">
        <x:v>REC-0079, REC-0080</x:v>
      </x:c>
      <x:c r="H220" s="16" t="str">
        <x:v>Clean, wire brush and repaint. Excavate and expose fencing posts and investigate the condition. Undertake appropriate repair stated within Section 3.</x:v>
      </x:c>
      <x:c r="I220" s="16" t="str">
        <x:v>Clean, wire brush and repaint. Expose fencing posts’ base and investigate the condition. Undertake appropriate repair stated within Section 3.</x:v>
      </x:c>
      <x:c r="J220" s="17" t="str"/>
      <x:c r="K220" s="17" t="str"/>
      <x:c r="L220" s="16" t="str">
        <x:v>SRC-023, SRC-056</x:v>
      </x:c>
      <x:c r="M220" s="16" t="str">
        <x:f>IF(C220="待确认","待确认",IF(C220="需修改","需修改",IF(C220="保持独立","已确认",IF(OR(C220="同意合并",C220="使用模板",C220="提取短句"),IF(LEN(TRIM(D220))=0,"缺少标准文字","已确认"),"无效选择"))))</x:f>
        <x:v>待确认</x:v>
      </x:c>
    </x:row>
    <x:row r="221" ht="41" customHeight="1">
      <x:c r="A221" s="16" t="str">
        <x:v>MRG-0215</x:v>
      </x:c>
      <x:c r="B221" s="16" t="str">
        <x:v>Recommendation</x:v>
      </x:c>
      <x:c r="C221" s="17" t="str">
        <x:v>待确认</x:v>
      </x:c>
      <x:c r="D221" s="17" t="str"/>
      <x:c r="E221" s="16" t="str">
        <x:v>近似描述核对</x:v>
      </x:c>
      <x:c r="F221" s="16" t="str">
        <x:v>程度、范围、处理方法、条件或编号存在差异，建议保持独立；如仅编号不同可改为模板。</x:v>
      </x:c>
      <x:c r="G221" s="16" t="str">
        <x:v>REC-0011, REC-0080</x:v>
      </x:c>
      <x:c r="H221" s="16" t="str">
        <x:v>Clean, wire brush and repaint. Excavate all fencing posts to the base and investigate the condition. Undertake appropriate repair stated within Section 3.</x:v>
      </x:c>
      <x:c r="I221" s="16" t="str">
        <x:v>Clean, wire brush and repaint. Expose fencing posts’ base and investigate the condition. Undertake appropriate repair stated within Section 3.</x:v>
      </x:c>
      <x:c r="J221" s="17" t="str"/>
      <x:c r="K221" s="17" t="str"/>
      <x:c r="L221" s="16" t="str">
        <x:v>SRC-001, SRC-023, SRC-024, SRC-025, SRC-028, SRC-060</x:v>
      </x:c>
      <x:c r="M221" s="16" t="str">
        <x:f>IF(C221="待确认","待确认",IF(C221="需修改","需修改",IF(C221="保持独立","已确认",IF(OR(C221="同意合并",C221="使用模板",C221="提取短句"),IF(LEN(TRIM(D221))=0,"缺少标准文字","已确认"),"无效选择"))))</x:f>
        <x:v>待确认</x:v>
      </x:c>
    </x:row>
    <x:row r="222" ht="41" customHeight="1">
      <x:c r="A222" s="16" t="str">
        <x:v>MRG-0216</x:v>
      </x:c>
      <x:c r="B222" s="16" t="str">
        <x:v>Recommendation</x:v>
      </x:c>
      <x:c r="C222" s="17" t="str">
        <x:v>待确认</x:v>
      </x:c>
      <x:c r="D222" s="17" t="str">
        <x:v>Clean, wire brush and repaint. Expose the posts base and investigate the condition. Undertake appropriate repair stated within Section 3.</x:v>
      </x:c>
      <x:c r="E222" s="16" t="str">
        <x:v>近似描述核对</x:v>
      </x:c>
      <x:c r="F222" s="16" t="str">
        <x:v>措辞近似，需确认含义和适用范围是否一致。</x:v>
      </x:c>
      <x:c r="G222" s="16" t="str">
        <x:v>REC-0026, REC-0056</x:v>
      </x:c>
      <x:c r="H222" s="16" t="str">
        <x:v>Clean, wire brush and repaint. Expose the posts base and investigate the condition. Undertake appropriate repair stated within Section 3.</x:v>
      </x:c>
      <x:c r="I222" s="16" t="str">
        <x:v>Clean and repaint. Expose the base and investigate the condition. Undertake appropriate repair stated within Section 3.</x:v>
      </x:c>
      <x:c r="J222" s="17" t="str"/>
      <x:c r="K222" s="17" t="str"/>
      <x:c r="L222" s="16" t="str">
        <x:v>SRC-010, SRC-049, SRC-059</x:v>
      </x:c>
      <x:c r="M222" s="16" t="str">
        <x:f>IF(C222="待确认","待确认",IF(C222="需修改","需修改",IF(C222="保持独立","已确认",IF(OR(C222="同意合并",C222="使用模板",C222="提取短句"),IF(LEN(TRIM(D222))=0,"缺少标准文字","已确认"),"无效选择"))))</x:f>
        <x:v>待确认</x:v>
      </x:c>
    </x:row>
    <x:row r="223" ht="41" customHeight="1">
      <x:c r="A223" s="16" t="str">
        <x:v>MRG-0217</x:v>
      </x:c>
      <x:c r="B223" s="16" t="str">
        <x:v>Recommendation</x:v>
      </x:c>
      <x:c r="C223" s="17" t="str">
        <x:v>待确认</x:v>
      </x:c>
      <x:c r="D223" s="17" t="str"/>
      <x:c r="E223" s="16" t="str">
        <x:v>近似描述核对</x:v>
      </x:c>
      <x:c r="F223" s="16" t="str">
        <x:v>程度、范围、处理方法、条件或编号存在差异，建议保持独立；如仅编号不同可改为模板。</x:v>
      </x:c>
      <x:c r="G223" s="16" t="str">
        <x:v>REC-0054, REC-0091</x:v>
      </x:c>
      <x:c r="H223" s="16" t="str">
        <x:v>Clean and repaint. Excavate all fencing posts to the base and investigate the condition. Undertake appropriate repair stated within Section 3.</x:v>
      </x:c>
      <x:c r="I223" s="16" t="str">
        <x:v>Excavate all fencing posts to the base and investigate the condition. Undertake appropriate repair stated within Section 3.</x:v>
      </x:c>
      <x:c r="J223" s="17" t="str"/>
      <x:c r="K223" s="17" t="str"/>
      <x:c r="L223" s="16" t="str">
        <x:v>SRC-027, SRC-057</x:v>
      </x:c>
      <x:c r="M223" s="16" t="str">
        <x:f>IF(C223="待确认","待确认",IF(C223="需修改","需修改",IF(C223="保持独立","已确认",IF(OR(C223="同意合并",C223="使用模板",C223="提取短句"),IF(LEN(TRIM(D223))=0,"缺少标准文字","已确认"),"无效选择"))))</x:f>
        <x:v>待确认</x:v>
      </x:c>
    </x:row>
    <x:row r="224" ht="41" customHeight="1">
      <x:c r="A224" s="16" t="str">
        <x:v>MRG-0218</x:v>
      </x:c>
      <x:c r="B224" s="16" t="str">
        <x:v>Recommendation</x:v>
      </x:c>
      <x:c r="C224" s="17" t="str">
        <x:v>待确认</x:v>
      </x:c>
      <x:c r="D224" s="17" t="str">
        <x:v>Clean and repaint. Expose posts’ base and investigate the condition. Undertake appropriate repair stated within Section 3.</x:v>
      </x:c>
      <x:c r="E224" s="16" t="str">
        <x:v>近似描述核对</x:v>
      </x:c>
      <x:c r="F224" s="16" t="str">
        <x:v>措辞近似，需确认含义和适用范围是否一致。</x:v>
      </x:c>
      <x:c r="G224" s="16" t="str">
        <x:v>REC-0055, REC-0081</x:v>
      </x:c>
      <x:c r="H224" s="16" t="str">
        <x:v>Clean and repaint. Expose posts’ base and investigate the condition. Undertake appropriate repair stated within Section 3.</x:v>
      </x:c>
      <x:c r="I224" s="16" t="str">
        <x:v>Clean, wire brush and repaint. Expose the base and investigate the condition. Undertake appropriate repair stated within Section 3.</x:v>
      </x:c>
      <x:c r="J224" s="17" t="str"/>
      <x:c r="K224" s="17" t="str"/>
      <x:c r="L224" s="16" t="str">
        <x:v>SRC-026, SRC-055</x:v>
      </x:c>
      <x:c r="M224" s="16" t="str">
        <x:f>IF(C224="待确认","待确认",IF(C224="需修改","需修改",IF(C224="保持独立","已确认",IF(OR(C224="同意合并",C224="使用模板",C224="提取短句"),IF(LEN(TRIM(D224))=0,"缺少标准文字","已确认"),"无效选择"))))</x:f>
        <x:v>待确认</x:v>
      </x:c>
    </x:row>
    <x:row r="225" ht="41" customHeight="1">
      <x:c r="A225" s="16" t="str">
        <x:v>MRG-0219</x:v>
      </x:c>
      <x:c r="B225" s="16" t="str">
        <x:v>Recommendation</x:v>
      </x:c>
      <x:c r="C225" s="17" t="str">
        <x:v>待确认</x:v>
      </x:c>
      <x:c r="D225" s="17" t="str">
        <x:v>Clean the area, remove all corrosion, and inspect the remaining steel. It may require either replacement or repainting.</x:v>
      </x:c>
      <x:c r="E225" s="16" t="str">
        <x:v>近似描述核对</x:v>
      </x:c>
      <x:c r="F225" s="16" t="str">
        <x:v>措辞近似，需确认含义和适用范围是否一致。</x:v>
      </x:c>
      <x:c r="G225" s="16" t="str">
        <x:v>REC-0024, REC-0060</x:v>
      </x:c>
      <x:c r="H225" s="16" t="str">
        <x:v>Clean the area, remove all corrosion, and inspect the remaining steel. It may require either replacement or repainting.</x:v>
      </x:c>
      <x:c r="I225" s="16" t="str">
        <x:v>Clean the area, remove all corrosion, and inspect the remaining steel. It may require either replacement or repainting. Regrout the base.</x:v>
      </x:c>
      <x:c r="J225" s="17" t="str"/>
      <x:c r="K225" s="17" t="str"/>
      <x:c r="L225" s="16" t="str">
        <x:v>SRC-092</x:v>
      </x:c>
      <x:c r="M225" s="16" t="str">
        <x:f>IF(C225="待确认","待确认",IF(C225="需修改","需修改",IF(C225="保持独立","已确认",IF(OR(C225="同意合并",C225="使用模板",C225="提取短句"),IF(LEN(TRIM(D225))=0,"缺少标准文字","已确认"),"无效选择"))))</x:f>
        <x:v>待确认</x:v>
      </x:c>
    </x:row>
    <x:row r="226" ht="37" customHeight="1">
      <x:c r="A226" s="16" t="str">
        <x:v>MRG-0220</x:v>
      </x:c>
      <x:c r="B226" s="16" t="str">
        <x:v>Recommendation</x:v>
      </x:c>
      <x:c r="C226" s="17" t="str">
        <x:v>待确认</x:v>
      </x:c>
      <x:c r="D226" s="17" t="str">
        <x:v>Replace the column to match existing.</x:v>
      </x:c>
      <x:c r="E226" s="16" t="str">
        <x:v>近似描述核对</x:v>
      </x:c>
      <x:c r="F226" s="16" t="str">
        <x:v>措辞近似，需确认含义和适用范围是否一致。</x:v>
      </x:c>
      <x:c r="G226" s="16" t="str">
        <x:v>REC-0017, REC-0145</x:v>
      </x:c>
      <x:c r="H226" s="16" t="str">
        <x:v>Replace the column to match existing.</x:v>
      </x:c>
      <x:c r="I226" s="16" t="str">
        <x:v>Replace columns to match existing.</x:v>
      </x:c>
      <x:c r="J226" s="17" t="str"/>
      <x:c r="K226" s="17" t="str"/>
      <x:c r="L226" s="16" t="str">
        <x:v>SRC-029</x:v>
      </x:c>
      <x:c r="M226" s="16" t="str">
        <x:f>IF(C226="待确认","待确认",IF(C226="需修改","需修改",IF(C226="保持独立","已确认",IF(OR(C226="同意合并",C226="使用模板",C226="提取短句"),IF(LEN(TRIM(D226))=0,"缺少标准文字","已确认"),"无效选择"))))</x:f>
        <x:v>待确认</x:v>
      </x:c>
    </x:row>
    <x:row r="227" ht="41" customHeight="1">
      <x:c r="A227" s="16" t="str">
        <x:v>MRG-0221</x:v>
      </x:c>
      <x:c r="B227" s="16" t="str">
        <x:v>Recommendation</x:v>
      </x:c>
      <x:c r="C227" s="17" t="str">
        <x:v>待确认</x:v>
      </x:c>
      <x:c r="D227" s="17" t="str">
        <x:v>Clean and repaint. Expose posts’ base and investigate the condition. Undertake appropriate repair stated within Section 3.</x:v>
      </x:c>
      <x:c r="E227" s="16" t="str">
        <x:v>近似描述核对</x:v>
      </x:c>
      <x:c r="F227" s="16" t="str">
        <x:v>措辞近似，需确认含义和适用范围是否一致。</x:v>
      </x:c>
      <x:c r="G227" s="16" t="str">
        <x:v>REC-0055, REC-0080</x:v>
      </x:c>
      <x:c r="H227" s="16" t="str">
        <x:v>Clean and repaint. Expose posts’ base and investigate the condition. Undertake appropriate repair stated within Section 3.</x:v>
      </x:c>
      <x:c r="I227" s="16" t="str">
        <x:v>Clean, wire brush and repaint. Expose fencing posts’ base and investigate the condition. Undertake appropriate repair stated within Section 3.</x:v>
      </x:c>
      <x:c r="J227" s="17" t="str"/>
      <x:c r="K227" s="17" t="str"/>
      <x:c r="L227" s="16" t="str">
        <x:v>SRC-023, SRC-055</x:v>
      </x:c>
      <x:c r="M227" s="16" t="str">
        <x:f>IF(C227="待确认","待确认",IF(C227="需修改","需修改",IF(C227="保持独立","已确认",IF(OR(C227="同意合并",C227="使用模板",C227="提取短句"),IF(LEN(TRIM(D227))=0,"缺少标准文字","已确认"),"无效选择"))))</x:f>
        <x:v>待确认</x:v>
      </x:c>
    </x:row>
    <x:row r="228" ht="41" customHeight="1">
      <x:c r="A228" s="16" t="str">
        <x:v>MRG-0222</x:v>
      </x:c>
      <x:c r="B228" s="16" t="str">
        <x:v>Recommendation</x:v>
      </x:c>
      <x:c r="C228" s="17" t="str">
        <x:v>待确认</x:v>
      </x:c>
      <x:c r="D228" s="17" t="str"/>
      <x:c r="E228" s="16" t="str">
        <x:v>近似描述核对</x:v>
      </x:c>
      <x:c r="F228" s="16" t="str">
        <x:v>程度、范围、处理方法、条件或编号存在差异，建议保持独立；如仅编号不同可改为模板。 数值或章节引用需保留。</x:v>
      </x:c>
      <x:c r="G228" s="16" t="str">
        <x:v>REC-0057, REC-0081</x:v>
      </x:c>
      <x:c r="H228" s="16" t="str">
        <x:v>Clean and repaint. Expose the posts’ base and investigate the condition. Undertake appropriate repair stated within Section 3.1.</x:v>
      </x:c>
      <x:c r="I228" s="16" t="str">
        <x:v>Clean, wire brush and repaint. Expose the base and investigate the condition. Undertake appropriate repair stated within Section 3.</x:v>
      </x:c>
      <x:c r="J228" s="17" t="str"/>
      <x:c r="K228" s="17" t="str"/>
      <x:c r="L228" s="16" t="str">
        <x:v>SRC-026, SRC-051</x:v>
      </x:c>
      <x:c r="M228" s="16" t="str">
        <x:f>IF(C228="待确认","待确认",IF(C228="需修改","需修改",IF(C228="保持独立","已确认",IF(OR(C228="同意合并",C228="使用模板",C228="提取短句"),IF(LEN(TRIM(D228))=0,"缺少标准文字","已确认"),"无效选择"))))</x:f>
        <x:v>待确认</x:v>
      </x:c>
    </x:row>
    <x:row r="229" ht="41" customHeight="1">
      <x:c r="A229" s="16" t="str">
        <x:v>MRG-0223</x:v>
      </x:c>
      <x:c r="B229" s="16" t="str">
        <x:v>Recommendation</x:v>
      </x:c>
      <x:c r="C229" s="17" t="str">
        <x:v>待确认</x:v>
      </x:c>
      <x:c r="D229" s="17" t="str"/>
      <x:c r="E229" s="16" t="str">
        <x:v>近似描述核对</x:v>
      </x:c>
      <x:c r="F229" s="16" t="str">
        <x:v>程度、范围、处理方法、条件或编号存在差异，建议保持独立；如仅编号不同可改为模板。</x:v>
      </x:c>
      <x:c r="G229" s="16" t="str">
        <x:v>REC-0011, REC-0079</x:v>
      </x:c>
      <x:c r="H229" s="16" t="str">
        <x:v>Clean, wire brush and repaint. Excavate all fencing posts to the base and investigate the condition. Undertake appropriate repair stated within Section 3.</x:v>
      </x:c>
      <x:c r="I229" s="16" t="str">
        <x:v>Clean, wire brush and repaint. Excavate and expose fencing posts and investigate the condition. Undertake appropriate repair stated within Section 3.</x:v>
      </x:c>
      <x:c r="J229" s="17" t="str"/>
      <x:c r="K229" s="17" t="str"/>
      <x:c r="L229" s="16" t="str">
        <x:v>SRC-001, SRC-024, SRC-025, SRC-028, SRC-056, SRC-060</x:v>
      </x:c>
      <x:c r="M229" s="16" t="str">
        <x:f>IF(C229="待确认","待确认",IF(C229="需修改","需修改",IF(C229="保持独立","已确认",IF(OR(C229="同意合并",C229="使用模板",C229="提取短句"),IF(LEN(TRIM(D229))=0,"缺少标准文字","已确认"),"无效选择"))))</x:f>
        <x:v>待确认</x:v>
      </x:c>
    </x:row>
    <x:row r="230" ht="41" customHeight="1">
      <x:c r="A230" s="16" t="str">
        <x:v>MRG-0224</x:v>
      </x:c>
      <x:c r="B230" s="16" t="str">
        <x:v>Recommendation</x:v>
      </x:c>
      <x:c r="C230" s="17" t="str">
        <x:v>待确认</x:v>
      </x:c>
      <x:c r="D230" s="17" t="str"/>
      <x:c r="E230" s="16" t="str">
        <x:v>近似描述核对</x:v>
      </x:c>
      <x:c r="F230" s="16" t="str">
        <x:v>程度、范围、处理方法、条件或编号存在差异，建议保持独立；如仅编号不同可改为模板。 数值或章节引用需保留。</x:v>
      </x:c>
      <x:c r="G230" s="16" t="str">
        <x:v>REC-0057, REC-0080</x:v>
      </x:c>
      <x:c r="H230" s="16" t="str">
        <x:v>Clean and repaint. Expose the posts’ base and investigate the condition. Undertake appropriate repair stated within Section 3.1.</x:v>
      </x:c>
      <x:c r="I230" s="16" t="str">
        <x:v>Clean, wire brush and repaint. Expose fencing posts’ base and investigate the condition. Undertake appropriate repair stated within Section 3.</x:v>
      </x:c>
      <x:c r="J230" s="17" t="str"/>
      <x:c r="K230" s="17" t="str"/>
      <x:c r="L230" s="16" t="str">
        <x:v>SRC-023, SRC-051</x:v>
      </x:c>
      <x:c r="M230" s="16" t="str">
        <x:f>IF(C230="待确认","待确认",IF(C230="需修改","需修改",IF(C230="保持独立","已确认",IF(OR(C230="同意合并",C230="使用模板",C230="提取短句"),IF(LEN(TRIM(D230))=0,"缺少标准文字","已确认"),"无效选择"))))</x:f>
        <x:v>待确认</x:v>
      </x:c>
    </x:row>
    <x:row r="231" ht="41" customHeight="1">
      <x:c r="A231" s="16" t="str">
        <x:v>MRG-0225</x:v>
      </x:c>
      <x:c r="B231" s="16" t="str">
        <x:v>Recommendation</x:v>
      </x:c>
      <x:c r="C231" s="17" t="str">
        <x:v>待确认</x:v>
      </x:c>
      <x:c r="D231" s="17" t="str"/>
      <x:c r="E231" s="16" t="str">
        <x:v>近似描述核对</x:v>
      </x:c>
      <x:c r="F231" s="16" t="str">
        <x:v>程度、范围、处理方法、条件或编号存在差异，建议保持独立；如仅编号不同可改为模板。</x:v>
      </x:c>
      <x:c r="G231" s="16" t="str">
        <x:v>REC-0011, REC-0081</x:v>
      </x:c>
      <x:c r="H231" s="16" t="str">
        <x:v>Clean, wire brush and repaint. Excavate all fencing posts to the base and investigate the condition. Undertake appropriate repair stated within Section 3.</x:v>
      </x:c>
      <x:c r="I231" s="16" t="str">
        <x:v>Clean, wire brush and repaint. Expose the base and investigate the condition. Undertake appropriate repair stated within Section 3.</x:v>
      </x:c>
      <x:c r="J231" s="17" t="str"/>
      <x:c r="K231" s="17" t="str"/>
      <x:c r="L231" s="16" t="str">
        <x:v>SRC-001, SRC-024, SRC-025, SRC-026, SRC-028, SRC-060</x:v>
      </x:c>
      <x:c r="M231" s="16" t="str">
        <x:f>IF(C231="待确认","待确认",IF(C231="需修改","需修改",IF(C231="保持独立","已确认",IF(OR(C231="同意合并",C231="使用模板",C231="提取短句"),IF(LEN(TRIM(D231))=0,"缺少标准文字","已确认"),"无效选择"))))</x:f>
        <x:v>待确认</x:v>
      </x:c>
    </x:row>
    <x:row r="232" ht="41" customHeight="1">
      <x:c r="A232" s="16" t="str">
        <x:v>MRG-0226</x:v>
      </x:c>
      <x:c r="B232" s="16" t="str">
        <x:v>Recommendation</x:v>
      </x:c>
      <x:c r="C232" s="17" t="str">
        <x:v>待确认</x:v>
      </x:c>
      <x:c r="D232" s="17" t="str">
        <x:v>Clean, wire brush and repaint. Expose the posts base and investigate the condition. Undertake appropriate repair stated within Section 3.</x:v>
      </x:c>
      <x:c r="E232" s="16" t="str">
        <x:v>近似描述核对</x:v>
      </x:c>
      <x:c r="F232" s="16" t="str">
        <x:v>措辞近似，需确认含义和适用范围是否一致。</x:v>
      </x:c>
      <x:c r="G232" s="16" t="str">
        <x:v>REC-0026, REC-0079</x:v>
      </x:c>
      <x:c r="H232" s="16" t="str">
        <x:v>Clean, wire brush and repaint. Expose the posts base and investigate the condition. Undertake appropriate repair stated within Section 3.</x:v>
      </x:c>
      <x:c r="I232" s="16" t="str">
        <x:v>Clean, wire brush and repaint. Excavate and expose fencing posts and investigate the condition. Undertake appropriate repair stated within Section 3.</x:v>
      </x:c>
      <x:c r="J232" s="17" t="str"/>
      <x:c r="K232" s="17" t="str"/>
      <x:c r="L232" s="16" t="str">
        <x:v>SRC-010, SRC-056, SRC-059</x:v>
      </x:c>
      <x:c r="M232" s="16" t="str">
        <x:f>IF(C232="待确认","待确认",IF(C232="需修改","需修改",IF(C232="保持独立","已确认",IF(OR(C232="同意合并",C232="使用模板",C232="提取短句"),IF(LEN(TRIM(D232))=0,"缺少标准文字","已确认"),"无效选择"))))</x:f>
        <x:v>待确认</x:v>
      </x:c>
    </x:row>
    <x:row r="233" ht="41" customHeight="1">
      <x:c r="A233" s="16" t="str">
        <x:v>MRG-0227</x:v>
      </x:c>
      <x:c r="B233" s="16" t="str">
        <x:v>Recommendation</x:v>
      </x:c>
      <x:c r="C233" s="17" t="str">
        <x:v>待确认</x:v>
      </x:c>
      <x:c r="D233" s="17" t="str">
        <x:v>Clean off salt staining.</x:v>
      </x:c>
      <x:c r="E233" s="16" t="str">
        <x:v>近似描述核对</x:v>
      </x:c>
      <x:c r="F233" s="16" t="str">
        <x:v>措辞近似，需确认含义和适用范围是否一致。</x:v>
      </x:c>
      <x:c r="G233" s="16" t="str">
        <x:v>REC-0008, REC-0009</x:v>
      </x:c>
      <x:c r="H233" s="16" t="str">
        <x:v>Clean off salt staining.</x:v>
      </x:c>
      <x:c r="I233" s="16" t="str">
        <x:v>Clean salt staining.</x:v>
      </x:c>
      <x:c r="J233" s="17" t="str"/>
      <x:c r="K233" s="17" t="str"/>
      <x:c r="L233" s="16" t="str">
        <x:v>SRC-001, SRC-011, SRC-024, SRC-026, SRC-028, SRC-050, SRC-052, SRC-056, SRC-060</x:v>
      </x:c>
      <x:c r="M233" s="16" t="str">
        <x:f>IF(C233="待确认","待确认",IF(C233="需修改","需修改",IF(C233="保持独立","已确认",IF(OR(C233="同意合并",C233="使用模板",C233="提取短句"),IF(LEN(TRIM(D233))=0,"缺少标准文字","已确认"),"无效选择"))))</x:f>
        <x:v>待确认</x:v>
      </x:c>
    </x:row>
    <x:row r="234" ht="41" customHeight="1">
      <x:c r="A234" s="16" t="str">
        <x:v>MRG-0228</x:v>
      </x:c>
      <x:c r="B234" s="16" t="str">
        <x:v>Recommendation</x:v>
      </x:c>
      <x:c r="C234" s="17" t="str">
        <x:v>待确认</x:v>
      </x:c>
      <x:c r="D234" s="17" t="str"/>
      <x:c r="E234" s="16" t="str">
        <x:v>近似描述核对</x:v>
      </x:c>
      <x:c r="F234" s="16" t="str">
        <x:v>程度、范围、处理方法、条件或编号存在差异，建议保持独立；如仅编号不同可改为模板。</x:v>
      </x:c>
      <x:c r="G234" s="16" t="str">
        <x:v>REC-0009, REC-0013</x:v>
      </x:c>
      <x:c r="H234" s="16" t="str">
        <x:v>Clean salt staining.</x:v>
      </x:c>
      <x:c r="I234" s="16" t="str">
        <x:v>Clean all salt staining.</x:v>
      </x:c>
      <x:c r="J234" s="17" t="str"/>
      <x:c r="K234" s="17" t="str"/>
      <x:c r="L234" s="16" t="str">
        <x:v>SRC-001, SRC-025, SRC-027, SRC-028, SRC-049, SRC-050</x:v>
      </x:c>
      <x:c r="M234" s="16" t="str">
        <x:f>IF(C234="待确认","待确认",IF(C234="需修改","需修改",IF(C234="保持独立","已确认",IF(OR(C234="同意合并",C234="使用模板",C234="提取短句"),IF(LEN(TRIM(D234))=0,"缺少标准文字","已确认"),"无效选择"))))</x:f>
        <x:v>待确认</x:v>
      </x:c>
    </x:row>
    <x:row r="235" ht="41" customHeight="1">
      <x:c r="A235" s="16" t="str">
        <x:v>MRG-0229</x:v>
      </x:c>
      <x:c r="B235" s="16" t="str">
        <x:v>Recommendation</x:v>
      </x:c>
      <x:c r="C235" s="17" t="str">
        <x:v>待确认</x:v>
      </x:c>
      <x:c r="D235" s="17" t="str"/>
      <x:c r="E235" s="16" t="str">
        <x:v>近似描述核对</x:v>
      </x:c>
      <x:c r="F235" s="16" t="str">
        <x:v>程度、范围、处理方法、条件或编号存在差异，建议保持独立；如仅编号不同可改为模板。</x:v>
      </x:c>
      <x:c r="G235" s="16" t="str">
        <x:v>REC-0011, REC-0026</x:v>
      </x:c>
      <x:c r="H235" s="16" t="str">
        <x:v>Clean, wire brush and repaint. Excavate all fencing posts to the base and investigate the condition. Undertake appropriate repair stated within Section 3.</x:v>
      </x:c>
      <x:c r="I235" s="16" t="str">
        <x:v>Clean, wire brush and repaint. Expose the posts base and investigate the condition. Undertake appropriate repair stated within Section 3.</x:v>
      </x:c>
      <x:c r="J235" s="17" t="str"/>
      <x:c r="K235" s="17" t="str"/>
      <x:c r="L235" s="16" t="str">
        <x:v>SRC-001, SRC-010, SRC-024, SRC-025, SRC-028, SRC-059, SRC-060</x:v>
      </x:c>
      <x:c r="M235" s="16" t="str">
        <x:f>IF(C235="待确认","待确认",IF(C235="需修改","需修改",IF(C235="保持独立","已确认",IF(OR(C235="同意合并",C235="使用模板",C235="提取短句"),IF(LEN(TRIM(D235))=0,"缺少标准文字","已确认"),"无效选择"))))</x:f>
        <x:v>待确认</x:v>
      </x:c>
    </x:row>
    <x:row r="236" ht="41" customHeight="1">
      <x:c r="A236" s="16" t="str">
        <x:v>MRG-0230</x:v>
      </x:c>
      <x:c r="B236" s="16" t="str">
        <x:v>Recommendation</x:v>
      </x:c>
      <x:c r="C236" s="17" t="str">
        <x:v>待确认</x:v>
      </x:c>
      <x:c r="D236" s="17" t="str"/>
      <x:c r="E236" s="16" t="str">
        <x:v>近似描述核对</x:v>
      </x:c>
      <x:c r="F236" s="16" t="str">
        <x:v>程度、范围、处理方法、条件或编号存在差异，建议保持独立；如仅编号不同可改为模板。</x:v>
      </x:c>
      <x:c r="G236" s="16" t="str">
        <x:v>REC-0054, REC-0056</x:v>
      </x:c>
      <x:c r="H236" s="16" t="str">
        <x:v>Clean and repaint. Excavate all fencing posts to the base and investigate the condition. Undertake appropriate repair stated within Section 3.</x:v>
      </x:c>
      <x:c r="I236" s="16" t="str">
        <x:v>Clean and repaint. Expose the base and investigate the condition. Undertake appropriate repair stated within Section 3.</x:v>
      </x:c>
      <x:c r="J236" s="17" t="str"/>
      <x:c r="K236" s="17" t="str"/>
      <x:c r="L236" s="16" t="str">
        <x:v>SRC-027, SRC-049</x:v>
      </x:c>
      <x:c r="M236" s="16" t="str">
        <x:f>IF(C236="待确认","待确认",IF(C236="需修改","需修改",IF(C236="保持独立","已确认",IF(OR(C236="同意合并",C236="使用模板",C236="提取短句"),IF(LEN(TRIM(D236))=0,"缺少标准文字","已确认"),"无效选择"))))</x:f>
        <x:v>待确认</x:v>
      </x:c>
    </x:row>
    <x:row r="237" ht="41" customHeight="1">
      <x:c r="A237" s="16" t="str">
        <x:v>MRG-0231</x:v>
      </x:c>
      <x:c r="B237" s="16" t="str">
        <x:v>Recommendation</x:v>
      </x:c>
      <x:c r="C237" s="17" t="str">
        <x:v>待确认</x:v>
      </x:c>
      <x:c r="D237" s="17" t="str">
        <x:v>Clean and repaint. Expose the base and investigate the condition. Undertake appropriate repair stated within Section 3.</x:v>
      </x:c>
      <x:c r="E237" s="16" t="str">
        <x:v>近似描述核对</x:v>
      </x:c>
      <x:c r="F237" s="16" t="str">
        <x:v>措辞近似，需确认含义和适用范围是否一致。</x:v>
      </x:c>
      <x:c r="G237" s="16" t="str">
        <x:v>REC-0056, REC-0080</x:v>
      </x:c>
      <x:c r="H237" s="16" t="str">
        <x:v>Clean and repaint. Expose the base and investigate the condition. Undertake appropriate repair stated within Section 3.</x:v>
      </x:c>
      <x:c r="I237" s="16" t="str">
        <x:v>Clean, wire brush and repaint. Expose fencing posts’ base and investigate the condition. Undertake appropriate repair stated within Section 3.</x:v>
      </x:c>
      <x:c r="J237" s="17" t="str"/>
      <x:c r="K237" s="17" t="str"/>
      <x:c r="L237" s="16" t="str">
        <x:v>SRC-023, SRC-049</x:v>
      </x:c>
      <x:c r="M237" s="16" t="str">
        <x:f>IF(C237="待确认","待确认",IF(C237="需修改","需修改",IF(C237="保持独立","已确认",IF(OR(C237="同意合并",C237="使用模板",C237="提取短句"),IF(LEN(TRIM(D237))=0,"缺少标准文字","已确认"),"无效选择"))))</x:f>
        <x:v>待确认</x:v>
      </x:c>
    </x:row>
    <x:row r="238" ht="37" customHeight="1">
      <x:c r="A238" s="16" t="str">
        <x:v>MRG-0232</x:v>
      </x:c>
      <x:c r="B238" s="16" t="str">
        <x:v>Recommendation</x:v>
      </x:c>
      <x:c r="C238" s="17" t="str">
        <x:v>待确认</x:v>
      </x:c>
      <x:c r="D238" s="17" t="str">
        <x:v>Replace the post to match existing.</x:v>
      </x:c>
      <x:c r="E238" s="16" t="str">
        <x:v>近似描述核对</x:v>
      </x:c>
      <x:c r="F238" s="16" t="str">
        <x:v>措辞近似，需确认含义和适用范围是否一致。</x:v>
      </x:c>
      <x:c r="G238" s="16" t="str">
        <x:v>REC-0021, REC-0043</x:v>
      </x:c>
      <x:c r="H238" s="16" t="str">
        <x:v>Replace the post to match existing.</x:v>
      </x:c>
      <x:c r="I238" s="16" t="str">
        <x:v>Replace the columns to match existing.</x:v>
      </x:c>
      <x:c r="J238" s="17" t="str"/>
      <x:c r="K238" s="17" t="str"/>
      <x:c r="L238" s="16" t="str">
        <x:v>SRC-029</x:v>
      </x:c>
      <x:c r="M238" s="16" t="str">
        <x:f>IF(C238="待确认","待确认",IF(C238="需修改","需修改",IF(C238="保持独立","已确认",IF(OR(C238="同意合并",C238="使用模板",C238="提取短句"),IF(LEN(TRIM(D238))=0,"缺少标准文字","已确认"),"无效选择"))))</x:f>
        <x:v>待确认</x:v>
      </x:c>
    </x:row>
    <x:row r="239" ht="41" customHeight="1">
      <x:c r="A239" s="16" t="str">
        <x:v>MRG-0233</x:v>
      </x:c>
      <x:c r="B239" s="16" t="str">
        <x:v>Recommendation</x:v>
      </x:c>
      <x:c r="C239" s="17" t="str">
        <x:v>待确认</x:v>
      </x:c>
      <x:c r="D239" s="17" t="str">
        <x:v>Clean, wire brush and repaint. Excavate and expose fencing posts and investigate the condition. Undertake appropriate repair stated within Section 3.</x:v>
      </x:c>
      <x:c r="E239" s="16" t="str">
        <x:v>近似描述核对</x:v>
      </x:c>
      <x:c r="F239" s="16" t="str">
        <x:v>措辞近似，需确认含义和适用范围是否一致。</x:v>
      </x:c>
      <x:c r="G239" s="16" t="str">
        <x:v>REC-0079, REC-0081</x:v>
      </x:c>
      <x:c r="H239" s="16" t="str">
        <x:v>Clean, wire brush and repaint. Excavate and expose fencing posts and investigate the condition. Undertake appropriate repair stated within Section 3.</x:v>
      </x:c>
      <x:c r="I239" s="16" t="str">
        <x:v>Clean, wire brush and repaint. Expose the base and investigate the condition. Undertake appropriate repair stated within Section 3.</x:v>
      </x:c>
      <x:c r="J239" s="17" t="str"/>
      <x:c r="K239" s="17" t="str"/>
      <x:c r="L239" s="16" t="str">
        <x:v>SRC-026, SRC-056</x:v>
      </x:c>
      <x:c r="M239" s="16" t="str">
        <x:f>IF(C239="待确认","待确认",IF(C239="需修改","需修改",IF(C239="保持独立","已确认",IF(OR(C239="同意合并",C239="使用模板",C239="提取短句"),IF(LEN(TRIM(D239))=0,"缺少标准文字","已确认"),"无效选择"))))</x:f>
        <x:v>待确认</x:v>
      </x:c>
    </x:row>
    <x:row r="240" ht="41" customHeight="1">
      <x:c r="A240" s="16" t="str">
        <x:v>MRG-0234</x:v>
      </x:c>
      <x:c r="B240" s="16" t="str">
        <x:v>Recommendation</x:v>
      </x:c>
      <x:c r="C240" s="17" t="str">
        <x:v>待确认</x:v>
      </x:c>
      <x:c r="D240" s="17" t="str"/>
      <x:c r="E240" s="16" t="str">
        <x:v>近似描述核对</x:v>
      </x:c>
      <x:c r="F240" s="16" t="str">
        <x:v>程度、范围、处理方法、条件或编号存在差异，建议保持独立；如仅编号不同可改为模板。</x:v>
      </x:c>
      <x:c r="G240" s="16" t="str">
        <x:v>REC-0054, REC-0055</x:v>
      </x:c>
      <x:c r="H240" s="16" t="str">
        <x:v>Clean and repaint. Excavate all fencing posts to the base and investigate the condition. Undertake appropriate repair stated within Section 3.</x:v>
      </x:c>
      <x:c r="I240" s="16" t="str">
        <x:v>Clean and repaint. Expose posts’ base and investigate the condition. Undertake appropriate repair stated within Section 3.</x:v>
      </x:c>
      <x:c r="J240" s="17" t="str"/>
      <x:c r="K240" s="17" t="str"/>
      <x:c r="L240" s="16" t="str">
        <x:v>SRC-027, SRC-055</x:v>
      </x:c>
      <x:c r="M240" s="16" t="str">
        <x:f>IF(C240="待确认","待确认",IF(C240="需修改","需修改",IF(C240="保持独立","已确认",IF(OR(C240="同意合并",C240="使用模板",C240="提取短句"),IF(LEN(TRIM(D240))=0,"缺少标准文字","已确认"),"无效选择"))))</x:f>
        <x:v>待确认</x:v>
      </x:c>
    </x:row>
    <x:row r="241" ht="55" customHeight="1">
      <x:c r="A241" s="16" t="str">
        <x:v>MRG-0235</x:v>
      </x:c>
      <x:c r="B241" s="16" t="str">
        <x:v>Recommendation</x:v>
      </x:c>
      <x:c r="C241" s="17" t="str">
        <x:v>待确认</x:v>
      </x:c>
      <x:c r="D241" s="17" t="str">
        <x:v>Clean, remove corrosion and repaint.</x:v>
      </x:c>
      <x:c r="E241" s="16" t="str">
        <x:v>近似描述核对</x:v>
      </x:c>
      <x:c r="F241" s="16" t="str">
        <x:v>措辞近似，需确认含义和适用范围是否一致。</x:v>
      </x:c>
      <x:c r="G241" s="16" t="str">
        <x:v>REC-0002, REC-0064</x:v>
      </x:c>
      <x:c r="H241" s="16" t="str">
        <x:v>Clean, remove corrosion and repaint.</x:v>
      </x:c>
      <x:c r="I241" s="16" t="str">
        <x:v>Clean, remove corrosion and repaint rafters.</x:v>
      </x:c>
      <x:c r="J241" s="17" t="str"/>
      <x:c r="K241" s="17" t="str"/>
      <x:c r="L241" s="16" t="str">
        <x:v>SRC-006, SRC-009, SRC-012, SRC-015, SRC-055, SRC-063, SRC-071, SRC-092, SRC-094, SRC-100</x:v>
      </x:c>
      <x:c r="M241" s="16" t="str">
        <x:f>IF(C241="待确认","待确认",IF(C241="需修改","需修改",IF(C241="保持独立","已确认",IF(OR(C241="同意合并",C241="使用模板",C241="提取短句"),IF(LEN(TRIM(D241))=0,"缺少标准文字","已确认"),"无效选择"))))</x:f>
        <x:v>待确认</x:v>
      </x:c>
    </x:row>
    <x:row r="242" ht="37" customHeight="1">
      <x:c r="A242" s="16" t="str">
        <x:v>MRG-0236</x:v>
      </x:c>
      <x:c r="B242" s="16" t="str">
        <x:v>Recommendation</x:v>
      </x:c>
      <x:c r="C242" s="17" t="str">
        <x:v>待确认</x:v>
      </x:c>
      <x:c r="D242" s="17" t="str">
        <x:v>Clean, remove corrosion and repaint all sections.</x:v>
      </x:c>
      <x:c r="E242" s="16" t="str">
        <x:v>近似描述核对</x:v>
      </x:c>
      <x:c r="F242" s="16" t="str">
        <x:v>措辞近似，需确认含义和适用范围是否一致。</x:v>
      </x:c>
      <x:c r="G242" s="16" t="str">
        <x:v>REC-0018, REC-0062</x:v>
      </x:c>
      <x:c r="H242" s="16" t="str">
        <x:v>Clean, remove corrosion and repaint all sections.</x:v>
      </x:c>
      <x:c r="I242" s="16" t="str">
        <x:v>Clean, remove corrosion and repaint all surfaces.</x:v>
      </x:c>
      <x:c r="J242" s="17" t="str"/>
      <x:c r="K242" s="17" t="str"/>
      <x:c r="L242" s="16" t="str">
        <x:v>SRC-071, SRC-104</x:v>
      </x:c>
      <x:c r="M242" s="16" t="str">
        <x:f>IF(C242="待确认","待确认",IF(C242="需修改","需修改",IF(C242="保持独立","已确认",IF(OR(C242="同意合并",C242="使用模板",C242="提取短句"),IF(LEN(TRIM(D242))=0,"缺少标准文字","已确认"),"无效选择"))))</x:f>
        <x:v>待确认</x:v>
      </x:c>
    </x:row>
    <x:row r="243" ht="41" customHeight="1">
      <x:c r="A243" s="16" t="str">
        <x:v>MRG-0237</x:v>
      </x:c>
      <x:c r="B243" s="16" t="str">
        <x:v>Recommendation</x:v>
      </x:c>
      <x:c r="C243" s="17" t="str">
        <x:v>待确认</x:v>
      </x:c>
      <x:c r="D243" s="17" t="str"/>
      <x:c r="E243" s="16" t="str">
        <x:v>近似描述核对</x:v>
      </x:c>
      <x:c r="F243" s="16" t="str">
        <x:v>程度、范围、处理方法、条件或编号存在差异，建议保持独立；如仅编号不同可改为模板。</x:v>
      </x:c>
      <x:c r="G243" s="16" t="str">
        <x:v>REC-0011, REC-0091</x:v>
      </x:c>
      <x:c r="H243" s="16" t="str">
        <x:v>Clean, wire brush and repaint. Excavate all fencing posts to the base and investigate the condition. Undertake appropriate repair stated within Section 3.</x:v>
      </x:c>
      <x:c r="I243" s="16" t="str">
        <x:v>Excavate all fencing posts to the base and investigate the condition. Undertake appropriate repair stated within Section 3.</x:v>
      </x:c>
      <x:c r="J243" s="17" t="str"/>
      <x:c r="K243" s="17" t="str"/>
      <x:c r="L243" s="16" t="str">
        <x:v>SRC-001, SRC-024, SRC-025, SRC-028, SRC-057, SRC-060</x:v>
      </x:c>
      <x:c r="M243" s="16" t="str">
        <x:f>IF(C243="待确认","待确认",IF(C243="需修改","需修改",IF(C243="保持独立","已确认",IF(OR(C243="同意合并",C243="使用模板",C243="提取短句"),IF(LEN(TRIM(D243))=0,"缺少标准文字","已确认"),"无效选择"))))</x:f>
        <x:v>待确认</x:v>
      </x:c>
    </x:row>
    <x:row r="244" ht="41" customHeight="1">
      <x:c r="A244" s="16" t="str">
        <x:v>MRG-0238</x:v>
      </x:c>
      <x:c r="B244" s="16" t="str">
        <x:v>Recommendation</x:v>
      </x:c>
      <x:c r="C244" s="17" t="str">
        <x:v>待确认</x:v>
      </x:c>
      <x:c r="D244" s="17" t="str"/>
      <x:c r="E244" s="16" t="str">
        <x:v>近似描述核对</x:v>
      </x:c>
      <x:c r="F244" s="16" t="str">
        <x:v>程度、范围、处理方法、条件或编号存在差异，建议保持独立；如仅编号不同可改为模板。</x:v>
      </x:c>
      <x:c r="G244" s="16" t="str">
        <x:v>REC-0054, REC-0080</x:v>
      </x:c>
      <x:c r="H244" s="16" t="str">
        <x:v>Clean and repaint. Excavate all fencing posts to the base and investigate the condition. Undertake appropriate repair stated within Section 3.</x:v>
      </x:c>
      <x:c r="I244" s="16" t="str">
        <x:v>Clean, wire brush and repaint. Expose fencing posts’ base and investigate the condition. Undertake appropriate repair stated within Section 3.</x:v>
      </x:c>
      <x:c r="J244" s="17" t="str"/>
      <x:c r="K244" s="17" t="str"/>
      <x:c r="L244" s="16" t="str">
        <x:v>SRC-023, SRC-027</x:v>
      </x:c>
      <x:c r="M244" s="16" t="str">
        <x:f>IF(C244="待确认","待确认",IF(C244="需修改","需修改",IF(C244="保持独立","已确认",IF(OR(C244="同意合并",C244="使用模板",C244="提取短句"),IF(LEN(TRIM(D244))=0,"缺少标准文字","已确认"),"无效选择"))))</x:f>
        <x:v>待确认</x:v>
      </x:c>
    </x:row>
    <x:row r="245" ht="41" customHeight="1">
      <x:c r="A245" s="16" t="str">
        <x:v>MRG-0239</x:v>
      </x:c>
      <x:c r="B245" s="16" t="str">
        <x:v>Recommendation</x:v>
      </x:c>
      <x:c r="C245" s="17" t="str">
        <x:v>待确认</x:v>
      </x:c>
      <x:c r="D245" s="17" t="str"/>
      <x:c r="E245" s="16" t="str">
        <x:v>近似描述核对</x:v>
      </x:c>
      <x:c r="F245" s="16" t="str">
        <x:v>程度、范围、处理方法、条件或编号存在差异，建议保持独立；如仅编号不同可改为模板。 数值或章节引用需保留。</x:v>
      </x:c>
      <x:c r="G245" s="16" t="str">
        <x:v>REC-0054, REC-0057</x:v>
      </x:c>
      <x:c r="H245" s="16" t="str">
        <x:v>Clean and repaint. Excavate all fencing posts to the base and investigate the condition. Undertake appropriate repair stated within Section 3.</x:v>
      </x:c>
      <x:c r="I245" s="16" t="str">
        <x:v>Clean and repaint. Expose the posts’ base and investigate the condition. Undertake appropriate repair stated within Section 3.1.</x:v>
      </x:c>
      <x:c r="J245" s="17" t="str"/>
      <x:c r="K245" s="17" t="str"/>
      <x:c r="L245" s="16" t="str">
        <x:v>SRC-027, SRC-051</x:v>
      </x:c>
      <x:c r="M245" s="16" t="str">
        <x:f>IF(C245="待确认","待确认",IF(C245="需修改","需修改",IF(C245="保持独立","已确认",IF(OR(C245="同意合并",C245="使用模板",C245="提取短句"),IF(LEN(TRIM(D245))=0,"缺少标准文字","已确认"),"无效选择"))))</x:f>
        <x:v>待确认</x:v>
      </x:c>
    </x:row>
    <x:row r="246" ht="37" customHeight="1">
      <x:c r="A246" s="16" t="str">
        <x:v>MRG-0240</x:v>
      </x:c>
      <x:c r="B246" s="16" t="str">
        <x:v>Recommendation</x:v>
      </x:c>
      <x:c r="C246" s="17" t="str">
        <x:v>待确认</x:v>
      </x:c>
      <x:c r="D246" s="17" t="str">
        <x:v>Replace the column to match existing.</x:v>
      </x:c>
      <x:c r="E246" s="16" t="str">
        <x:v>近似描述核对</x:v>
      </x:c>
      <x:c r="F246" s="16" t="str">
        <x:v>措辞近似，需确认含义和适用范围是否一致。</x:v>
      </x:c>
      <x:c r="G246" s="16" t="str">
        <x:v>REC-0017, REC-0021</x:v>
      </x:c>
      <x:c r="H246" s="16" t="str">
        <x:v>Replace the column to match existing.</x:v>
      </x:c>
      <x:c r="I246" s="16" t="str">
        <x:v>Replace the post to match existing.</x:v>
      </x:c>
      <x:c r="J246" s="17" t="str"/>
      <x:c r="K246" s="17" t="str"/>
      <x:c r="L246" s="16" t="str">
        <x:v>SRC-029</x:v>
      </x:c>
      <x:c r="M246" s="16" t="str">
        <x:f>IF(C246="待确认","待确认",IF(C246="需修改","需修改",IF(C246="保持独立","已确认",IF(OR(C246="同意合并",C246="使用模板",C246="提取短句"),IF(LEN(TRIM(D246))=0,"缺少标准文字","已确认"),"无效选择"))))</x:f>
        <x:v>待确认</x:v>
      </x:c>
    </x:row>
    <x:row r="247" ht="41" customHeight="1">
      <x:c r="A247" s="16" t="str">
        <x:v>MRG-0241</x:v>
      </x:c>
      <x:c r="B247" s="16" t="str">
        <x:v>Recommendation</x:v>
      </x:c>
      <x:c r="C247" s="17" t="str">
        <x:v>待确认</x:v>
      </x:c>
      <x:c r="D247" s="17" t="str"/>
      <x:c r="E247" s="16" t="str">
        <x:v>近似描述核对</x:v>
      </x:c>
      <x:c r="F247" s="16" t="str">
        <x:v>程度、范围、处理方法、条件或编号存在差异，建议保持独立；如仅编号不同可改为模板。</x:v>
      </x:c>
      <x:c r="G247" s="16" t="str">
        <x:v>REC-0065, REC-0080</x:v>
      </x:c>
      <x:c r="H247" s="16" t="str">
        <x:v>Clean, remove corrosion and repaint. Excavate all fencing posts to the base and investigate the condition. Undertake appropriate repair stated within Section 3.</x:v>
      </x:c>
      <x:c r="I247" s="16" t="str">
        <x:v>Clean, wire brush and repaint. Expose fencing posts’ base and investigate the condition. Undertake appropriate repair stated within Section 3.</x:v>
      </x:c>
      <x:c r="J247" s="17" t="str"/>
      <x:c r="K247" s="17" t="str"/>
      <x:c r="L247" s="16" t="str">
        <x:v>SRC-011, SRC-023</x:v>
      </x:c>
      <x:c r="M247" s="16" t="str">
        <x:f>IF(C247="待确认","待确认",IF(C247="需修改","需修改",IF(C247="保持独立","已确认",IF(OR(C247="同意合并",C247="使用模板",C247="提取短句"),IF(LEN(TRIM(D247))=0,"缺少标准文字","已确认"),"无效选择"))))</x:f>
        <x:v>待确认</x:v>
      </x:c>
    </x:row>
    <x:row r="248" ht="41" customHeight="1">
      <x:c r="A248" s="16" t="str">
        <x:v>MRG-0242</x:v>
      </x:c>
      <x:c r="B248" s="16" t="str">
        <x:v>Recommendation</x:v>
      </x:c>
      <x:c r="C248" s="17" t="str">
        <x:v>待确认</x:v>
      </x:c>
      <x:c r="D248" s="17" t="str"/>
      <x:c r="E248" s="16" t="str">
        <x:v>近似描述核对</x:v>
      </x:c>
      <x:c r="F248" s="16" t="str">
        <x:v>程度、范围、处理方法、条件或编号存在差异，建议保持独立；如仅编号不同可改为模板。</x:v>
      </x:c>
      <x:c r="G248" s="16" t="str">
        <x:v>REC-0054, REC-0079</x:v>
      </x:c>
      <x:c r="H248" s="16" t="str">
        <x:v>Clean and repaint. Excavate all fencing posts to the base and investigate the condition. Undertake appropriate repair stated within Section 3.</x:v>
      </x:c>
      <x:c r="I248" s="16" t="str">
        <x:v>Clean, wire brush and repaint. Excavate and expose fencing posts and investigate the condition. Undertake appropriate repair stated within Section 3.</x:v>
      </x:c>
      <x:c r="J248" s="17" t="str"/>
      <x:c r="K248" s="17" t="str"/>
      <x:c r="L248" s="16" t="str">
        <x:v>SRC-027, SRC-056</x:v>
      </x:c>
      <x:c r="M248" s="16" t="str">
        <x:f>IF(C248="待确认","待确认",IF(C248="需修改","需修改",IF(C248="保持独立","已确认",IF(OR(C248="同意合并",C248="使用模板",C248="提取短句"),IF(LEN(TRIM(D248))=0,"缺少标准文字","已确认"),"无效选择"))))</x:f>
        <x:v>待确认</x:v>
      </x:c>
    </x:row>
    <x:row r="249" ht="41" customHeight="1">
      <x:c r="A249" s="16" t="str">
        <x:v>MRG-0243</x:v>
      </x:c>
      <x:c r="B249" s="16" t="str">
        <x:v>Recommendation</x:v>
      </x:c>
      <x:c r="C249" s="17" t="str">
        <x:v>待确认</x:v>
      </x:c>
      <x:c r="D249" s="17" t="str"/>
      <x:c r="E249" s="16" t="str">
        <x:v>近似描述核对</x:v>
      </x:c>
      <x:c r="F249" s="16" t="str">
        <x:v>程度、范围、处理方法、条件或编号存在差异，建议保持独立；如仅编号不同可改为模板。</x:v>
      </x:c>
      <x:c r="G249" s="16" t="str">
        <x:v>REC-0065, REC-0091</x:v>
      </x:c>
      <x:c r="H249" s="16" t="str">
        <x:v>Clean, remove corrosion and repaint. Excavate all fencing posts to the base and investigate the condition. Undertake appropriate repair stated within Section 3.</x:v>
      </x:c>
      <x:c r="I249" s="16" t="str">
        <x:v>Excavate all fencing posts to the base and investigate the condition. Undertake appropriate repair stated within Section 3.</x:v>
      </x:c>
      <x:c r="J249" s="17" t="str"/>
      <x:c r="K249" s="17" t="str"/>
      <x:c r="L249" s="16" t="str">
        <x:v>SRC-011, SRC-057</x:v>
      </x:c>
      <x:c r="M249" s="16" t="str">
        <x:f>IF(C249="待确认","待确认",IF(C249="需修改","需修改",IF(C249="保持独立","已确认",IF(OR(C249="同意合并",C249="使用模板",C249="提取短句"),IF(LEN(TRIM(D249))=0,"缺少标准文字","已确认"),"无效选择"))))</x:f>
        <x:v>待确认</x:v>
      </x:c>
    </x:row>
    <x:row r="250" ht="41" customHeight="1">
      <x:c r="A250" s="16" t="str">
        <x:v>MRG-0244</x:v>
      </x:c>
      <x:c r="B250" s="16" t="str">
        <x:v>Recommendation</x:v>
      </x:c>
      <x:c r="C250" s="17" t="str">
        <x:v>待确认</x:v>
      </x:c>
      <x:c r="D250" s="17" t="str"/>
      <x:c r="E250" s="16" t="str">
        <x:v>近似描述核对</x:v>
      </x:c>
      <x:c r="F250" s="16" t="str">
        <x:v>程度、范围、处理方法、条件或编号存在差异，建议保持独立；如仅编号不同可改为模板。</x:v>
      </x:c>
      <x:c r="G250" s="16" t="str">
        <x:v>REC-0008, REC-0013</x:v>
      </x:c>
      <x:c r="H250" s="16" t="str">
        <x:v>Clean off salt staining.</x:v>
      </x:c>
      <x:c r="I250" s="16" t="str">
        <x:v>Clean all salt staining.</x:v>
      </x:c>
      <x:c r="J250" s="17" t="str"/>
      <x:c r="K250" s="17" t="str"/>
      <x:c r="L250" s="16" t="str">
        <x:v>SRC-011, SRC-024, SRC-025, SRC-026, SRC-027, SRC-049, SRC-052, SRC-056, SRC-060</x:v>
      </x:c>
      <x:c r="M250" s="16" t="str">
        <x:f>IF(C250="待确认","待确认",IF(C250="需修改","需修改",IF(C250="保持独立","已确认",IF(OR(C250="同意合并",C250="使用模板",C250="提取短句"),IF(LEN(TRIM(D250))=0,"缺少标准文字","已确认"),"无效选择"))))</x:f>
        <x:v>待确认</x:v>
      </x:c>
    </x:row>
    <x:row r="251" ht="41" customHeight="1">
      <x:c r="A251" s="16" t="str">
        <x:v>MRG-0245</x:v>
      </x:c>
      <x:c r="B251" s="16" t="str">
        <x:v>Recommendation</x:v>
      </x:c>
      <x:c r="C251" s="17" t="str">
        <x:v>待确认</x:v>
      </x:c>
      <x:c r="D251" s="17" t="str"/>
      <x:c r="E251" s="16" t="str">
        <x:v>近似描述核对</x:v>
      </x:c>
      <x:c r="F251" s="16" t="str">
        <x:v>程度、范围、处理方法、条件或编号存在差异，建议保持独立；如仅编号不同可改为模板。</x:v>
      </x:c>
      <x:c r="G251" s="16" t="str">
        <x:v>REC-0065, REC-0079</x:v>
      </x:c>
      <x:c r="H251" s="16" t="str">
        <x:v>Clean, remove corrosion and repaint. Excavate all fencing posts to the base and investigate the condition. Undertake appropriate repair stated within Section 3.</x:v>
      </x:c>
      <x:c r="I251" s="16" t="str">
        <x:v>Clean, wire brush and repaint. Excavate and expose fencing posts and investigate the condition. Undertake appropriate repair stated within Section 3.</x:v>
      </x:c>
      <x:c r="J251" s="17" t="str"/>
      <x:c r="K251" s="17" t="str"/>
      <x:c r="L251" s="16" t="str">
        <x:v>SRC-011, SRC-056</x:v>
      </x:c>
      <x:c r="M251" s="16" t="str">
        <x:f>IF(C251="待确认","待确认",IF(C251="需修改","需修改",IF(C251="保持独立","已确认",IF(OR(C251="同意合并",C251="使用模板",C251="提取短句"),IF(LEN(TRIM(D251))=0,"缺少标准文字","已确认"),"无效选择"))))</x:f>
        <x:v>待确认</x:v>
      </x:c>
    </x:row>
    <x:row r="252" ht="41" customHeight="1">
      <x:c r="A252" s="16" t="str">
        <x:v>MRG-0246</x:v>
      </x:c>
      <x:c r="B252" s="16" t="str">
        <x:v>Recommendation</x:v>
      </x:c>
      <x:c r="C252" s="17" t="str">
        <x:v>待确认</x:v>
      </x:c>
      <x:c r="D252" s="17" t="str"/>
      <x:c r="E252" s="16" t="str">
        <x:v>近似描述核对</x:v>
      </x:c>
      <x:c r="F252" s="16" t="str">
        <x:v>程度、范围、处理方法、条件或编号存在差异，建议保持独立；如仅编号不同可改为模板。</x:v>
      </x:c>
      <x:c r="G252" s="16" t="str">
        <x:v>REC-0056, REC-0091</x:v>
      </x:c>
      <x:c r="H252" s="16" t="str">
        <x:v>Clean and repaint. Expose the base and investigate the condition. Undertake appropriate repair stated within Section 3.</x:v>
      </x:c>
      <x:c r="I252" s="16" t="str">
        <x:v>Excavate all fencing posts to the base and investigate the condition. Undertake appropriate repair stated within Section 3.</x:v>
      </x:c>
      <x:c r="J252" s="17" t="str"/>
      <x:c r="K252" s="17" t="str"/>
      <x:c r="L252" s="16" t="str">
        <x:v>SRC-049, SRC-057</x:v>
      </x:c>
      <x:c r="M252" s="16" t="str">
        <x:f>IF(C252="待确认","待确认",IF(C252="需修改","需修改",IF(C252="保持独立","已确认",IF(OR(C252="同意合并",C252="使用模板",C252="提取短句"),IF(LEN(TRIM(D252))=0,"缺少标准文字","已确认"),"无效选择"))))</x:f>
        <x:v>待确认</x:v>
      </x:c>
    </x:row>
    <x:row r="253" ht="41" customHeight="1">
      <x:c r="A253" s="16" t="str">
        <x:v>MRG-0247</x:v>
      </x:c>
      <x:c r="B253" s="16" t="str">
        <x:v>Recommendation</x:v>
      </x:c>
      <x:c r="C253" s="17" t="str">
        <x:v>待确认</x:v>
      </x:c>
      <x:c r="D253" s="17" t="str"/>
      <x:c r="E253" s="16" t="str">
        <x:v>近似描述核对</x:v>
      </x:c>
      <x:c r="F253" s="16" t="str">
        <x:v>程度、范围、处理方法、条件或编号存在差异，建议保持独立；如仅编号不同可改为模板。</x:v>
      </x:c>
      <x:c r="G253" s="16" t="str">
        <x:v>REC-0092, REC-0093</x:v>
      </x:c>
      <x:c r="H253" s="16" t="str">
        <x:v>Excavate to base and investigate corrosion. Clean, wire brush and repaint.</x:v>
      </x:c>
      <x:c r="I253" s="16" t="str">
        <x:v>Excavate to the base and investigate corrosion. Clean, remove corrosion and repaint.</x:v>
      </x:c>
      <x:c r="J253" s="17" t="str"/>
      <x:c r="K253" s="17" t="str"/>
      <x:c r="L253" s="16" t="str">
        <x:v>SRC-009, SRC-048</x:v>
      </x:c>
      <x:c r="M253" s="16" t="str">
        <x:f>IF(C253="待确认","待确认",IF(C253="需修改","需修改",IF(C253="保持独立","已确认",IF(OR(C253="同意合并",C253="使用模板",C253="提取短句"),IF(LEN(TRIM(D253))=0,"缺少标准文字","已确认"),"无效选择"))))</x:f>
        <x:v>待确认</x:v>
      </x:c>
    </x:row>
    <x:row r="254" ht="41" customHeight="1">
      <x:c r="A254" s="16" t="str">
        <x:v>MRG-0248</x:v>
      </x:c>
      <x:c r="B254" s="16" t="str">
        <x:v>Recommendation</x:v>
      </x:c>
      <x:c r="C254" s="17" t="str">
        <x:v>待确认</x:v>
      </x:c>
      <x:c r="D254" s="17" t="str"/>
      <x:c r="E254" s="16" t="str">
        <x:v>近似描述核对</x:v>
      </x:c>
      <x:c r="F254" s="16" t="str">
        <x:v>程度、范围、处理方法、条件或编号存在差异，建议保持独立；如仅编号不同可改为模板。</x:v>
      </x:c>
      <x:c r="G254" s="16" t="str">
        <x:v>REC-0054, REC-0090</x:v>
      </x:c>
      <x:c r="H254" s="16" t="str">
        <x:v>Clean and repaint. Excavate all fencing posts to the base and investigate the condition. Undertake appropriate repair stated within Section 3.</x:v>
      </x:c>
      <x:c r="I254" s="16" t="str">
        <x:v>Excavate all columns to the base and investigate the condition. Undertake appropriate repair stated within Section 3.</x:v>
      </x:c>
      <x:c r="J254" s="17" t="str"/>
      <x:c r="K254" s="17" t="str"/>
      <x:c r="L254" s="16" t="str">
        <x:v>SRC-012, SRC-027</x:v>
      </x:c>
      <x:c r="M254" s="16" t="str">
        <x:f>IF(C254="待确认","待确认",IF(C254="需修改","需修改",IF(C254="保持独立","已确认",IF(OR(C254="同意合并",C254="使用模板",C254="提取短句"),IF(LEN(TRIM(D254))=0,"缺少标准文字","已确认"),"无效选择"))))</x:f>
        <x:v>待确认</x:v>
      </x:c>
    </x:row>
    <x:row r="255" ht="41" customHeight="1">
      <x:c r="A255" s="16" t="str">
        <x:v>MRG-0249</x:v>
      </x:c>
      <x:c r="B255" s="16" t="str">
        <x:v>Recommendation</x:v>
      </x:c>
      <x:c r="C255" s="17" t="str">
        <x:v>待确认</x:v>
      </x:c>
      <x:c r="D255" s="17" t="str"/>
      <x:c r="E255" s="16" t="str">
        <x:v>近似描述核对</x:v>
      </x:c>
      <x:c r="F255" s="16" t="str">
        <x:v>程度、范围、处理方法、条件或编号存在差异，建议保持独立；如仅编号不同可改为模板。</x:v>
      </x:c>
      <x:c r="G255" s="16" t="str">
        <x:v>REC-0056, REC-0090</x:v>
      </x:c>
      <x:c r="H255" s="16" t="str">
        <x:v>Clean and repaint. Expose the base and investigate the condition. Undertake appropriate repair stated within Section 3.</x:v>
      </x:c>
      <x:c r="I255" s="16" t="str">
        <x:v>Excavate all columns to the base and investigate the condition. Undertake appropriate repair stated within Section 3.</x:v>
      </x:c>
      <x:c r="J255" s="17" t="str"/>
      <x:c r="K255" s="17" t="str"/>
      <x:c r="L255" s="16" t="str">
        <x:v>SRC-012, SRC-049</x:v>
      </x:c>
      <x:c r="M255" s="16" t="str">
        <x:f>IF(C255="待确认","待确认",IF(C255="需修改","需修改",IF(C255="保持独立","已确认",IF(OR(C255="同意合并",C255="使用模板",C255="提取短句"),IF(LEN(TRIM(D255))=0,"缺少标准文字","已确认"),"无效选择"))))</x:f>
        <x:v>待确认</x:v>
      </x:c>
    </x:row>
    <x:row r="256" ht="41" customHeight="1">
      <x:c r="A256" s="16" t="str">
        <x:v>MRG-0250</x:v>
      </x:c>
      <x:c r="B256" s="16" t="str">
        <x:v>Recommendation</x:v>
      </x:c>
      <x:c r="C256" s="17" t="str">
        <x:v>待确认</x:v>
      </x:c>
      <x:c r="D256" s="17" t="str"/>
      <x:c r="E256" s="16" t="str">
        <x:v>近似描述核对</x:v>
      </x:c>
      <x:c r="F256" s="16" t="str">
        <x:v>程度、范围、处理方法、条件或编号存在差异，建议保持独立；如仅编号不同可改为模板。</x:v>
      </x:c>
      <x:c r="G256" s="16" t="str">
        <x:v>REC-0054, REC-0081</x:v>
      </x:c>
      <x:c r="H256" s="16" t="str">
        <x:v>Clean and repaint. Excavate all fencing posts to the base and investigate the condition. Undertake appropriate repair stated within Section 3.</x:v>
      </x:c>
      <x:c r="I256" s="16" t="str">
        <x:v>Clean, wire brush and repaint. Expose the base and investigate the condition. Undertake appropriate repair stated within Section 3.</x:v>
      </x:c>
      <x:c r="J256" s="17" t="str"/>
      <x:c r="K256" s="17" t="str"/>
      <x:c r="L256" s="16" t="str">
        <x:v>SRC-026, SRC-027</x:v>
      </x:c>
      <x:c r="M256" s="16" t="str">
        <x:f>IF(C256="待确认","待确认",IF(C256="需修改","需修改",IF(C256="保持独立","已确认",IF(OR(C256="同意合并",C256="使用模板",C256="提取短句"),IF(LEN(TRIM(D256))=0,"缺少标准文字","已确认"),"无效选择"))))</x:f>
        <x:v>待确认</x:v>
      </x:c>
    </x:row>
    <x:row r="257" ht="41" customHeight="1">
      <x:c r="A257" s="16" t="str">
        <x:v>MRG-0251</x:v>
      </x:c>
      <x:c r="B257" s="16" t="str">
        <x:v>Recommendation</x:v>
      </x:c>
      <x:c r="C257" s="17" t="str">
        <x:v>待确认</x:v>
      </x:c>
      <x:c r="D257" s="17" t="str"/>
      <x:c r="E257" s="16" t="str">
        <x:v>近似描述核对</x:v>
      </x:c>
      <x:c r="F257" s="16" t="str">
        <x:v>程度、范围、处理方法、条件或编号存在差异，建议保持独立；如仅编号不同可改为模板。</x:v>
      </x:c>
      <x:c r="G257" s="16" t="str">
        <x:v>REC-0011, REC-0056</x:v>
      </x:c>
      <x:c r="H257" s="16" t="str">
        <x:v>Clean, wire brush and repaint. Excavate all fencing posts to the base and investigate the condition. Undertake appropriate repair stated within Section 3.</x:v>
      </x:c>
      <x:c r="I257" s="16" t="str">
        <x:v>Clean and repaint. Expose the base and investigate the condition. Undertake appropriate repair stated within Section 3.</x:v>
      </x:c>
      <x:c r="J257" s="17" t="str"/>
      <x:c r="K257" s="17" t="str"/>
      <x:c r="L257" s="16" t="str">
        <x:v>SRC-001, SRC-024, SRC-025, SRC-028, SRC-049, SRC-060</x:v>
      </x:c>
      <x:c r="M257" s="16" t="str">
        <x:f>IF(C257="待确认","待确认",IF(C257="需修改","需修改",IF(C257="保持独立","已确认",IF(OR(C257="同意合并",C257="使用模板",C257="提取短句"),IF(LEN(TRIM(D257))=0,"缺少标准文字","已确认"),"无效选择"))))</x:f>
        <x:v>待确认</x:v>
      </x:c>
    </x:row>
    <x:row r="258" ht="41" customHeight="1">
      <x:c r="A258" s="16" t="str">
        <x:v>MRG-0252</x:v>
      </x:c>
      <x:c r="B258" s="16" t="str">
        <x:v>Recommendation</x:v>
      </x:c>
      <x:c r="C258" s="17" t="str">
        <x:v>待确认</x:v>
      </x:c>
      <x:c r="D258" s="17" t="str"/>
      <x:c r="E258" s="16" t="str">
        <x:v>近似描述核对</x:v>
      </x:c>
      <x:c r="F258" s="16" t="str">
        <x:v>程度、范围、处理方法、条件或编号存在差异，建议保持独立；如仅编号不同可改为模板。</x:v>
      </x:c>
      <x:c r="G258" s="16" t="str">
        <x:v>REC-0026, REC-0054</x:v>
      </x:c>
      <x:c r="H258" s="16" t="str">
        <x:v>Clean, wire brush and repaint. Expose the posts base and investigate the condition. Undertake appropriate repair stated within Section 3.</x:v>
      </x:c>
      <x:c r="I258" s="16" t="str">
        <x:v>Clean and repaint. Excavate all fencing posts to the base and investigate the condition. Undertake appropriate repair stated within Section 3.</x:v>
      </x:c>
      <x:c r="J258" s="17" t="str"/>
      <x:c r="K258" s="17" t="str"/>
      <x:c r="L258" s="16" t="str">
        <x:v>SRC-010, SRC-027, SRC-059</x:v>
      </x:c>
      <x:c r="M258" s="16" t="str">
        <x:f>IF(C258="待确认","待确认",IF(C258="需修改","需修改",IF(C258="保持独立","已确认",IF(OR(C258="同意合并",C258="使用模板",C258="提取短句"),IF(LEN(TRIM(D258))=0,"缺少标准文字","已确认"),"无效选择"))))</x:f>
        <x:v>待确认</x:v>
      </x:c>
    </x:row>
    <x:row r="259" ht="41" customHeight="1">
      <x:c r="A259" s="16" t="str">
        <x:v>MRG-0253</x:v>
      </x:c>
      <x:c r="B259" s="16" t="str">
        <x:v>Recommendation</x:v>
      </x:c>
      <x:c r="C259" s="17" t="str">
        <x:v>待确认</x:v>
      </x:c>
      <x:c r="D259" s="17" t="str">
        <x:v>Clean and repaint. Expose posts’ base and investigate the condition. Undertake appropriate repair stated within Section 3.</x:v>
      </x:c>
      <x:c r="E259" s="16" t="str">
        <x:v>近似描述核对</x:v>
      </x:c>
      <x:c r="F259" s="16" t="str">
        <x:v>措辞近似，需确认含义和适用范围是否一致。</x:v>
      </x:c>
      <x:c r="G259" s="16" t="str">
        <x:v>REC-0055, REC-0079</x:v>
      </x:c>
      <x:c r="H259" s="16" t="str">
        <x:v>Clean and repaint. Expose posts’ base and investigate the condition. Undertake appropriate repair stated within Section 3.</x:v>
      </x:c>
      <x:c r="I259" s="16" t="str">
        <x:v>Clean, wire brush and repaint. Excavate and expose fencing posts and investigate the condition. Undertake appropriate repair stated within Section 3.</x:v>
      </x:c>
      <x:c r="J259" s="17" t="str"/>
      <x:c r="K259" s="17" t="str"/>
      <x:c r="L259" s="16" t="str">
        <x:v>SRC-055, SRC-056</x:v>
      </x:c>
      <x:c r="M259" s="16" t="str">
        <x:f>IF(C259="待确认","待确认",IF(C259="需修改","需修改",IF(C259="保持独立","已确认",IF(OR(C259="同意合并",C259="使用模板",C259="提取短句"),IF(LEN(TRIM(D259))=0,"缺少标准文字","已确认"),"无效选择"))))</x:f>
        <x:v>待确认</x:v>
      </x:c>
    </x:row>
    <x:row r="260" ht="41" customHeight="1">
      <x:c r="A260" s="16" t="str">
        <x:v>MRG-0254</x:v>
      </x:c>
      <x:c r="B260" s="16" t="str">
        <x:v>Recommendation</x:v>
      </x:c>
      <x:c r="C260" s="17" t="str">
        <x:v>待确认</x:v>
      </x:c>
      <x:c r="D260" s="17" t="str"/>
      <x:c r="E260" s="16" t="str">
        <x:v>近似描述核对</x:v>
      </x:c>
      <x:c r="F260" s="16" t="str">
        <x:v>程度、范围、处理方法、条件或编号存在差异，建议保持独立；如仅编号不同可改为模板。</x:v>
      </x:c>
      <x:c r="G260" s="16" t="str">
        <x:v>REC-0011, REC-0055</x:v>
      </x:c>
      <x:c r="H260" s="16" t="str">
        <x:v>Clean, wire brush and repaint. Excavate all fencing posts to the base and investigate the condition. Undertake appropriate repair stated within Section 3.</x:v>
      </x:c>
      <x:c r="I260" s="16" t="str">
        <x:v>Clean and repaint. Expose posts’ base and investigate the condition. Undertake appropriate repair stated within Section 3.</x:v>
      </x:c>
      <x:c r="J260" s="17" t="str"/>
      <x:c r="K260" s="17" t="str"/>
      <x:c r="L260" s="16" t="str">
        <x:v>SRC-001, SRC-024, SRC-025, SRC-028, SRC-055, SRC-060</x:v>
      </x:c>
      <x:c r="M260" s="16" t="str">
        <x:f>IF(C260="待确认","待确认",IF(C260="需修改","需修改",IF(C260="保持独立","已确认",IF(OR(C260="同意合并",C260="使用模板",C260="提取短句"),IF(LEN(TRIM(D260))=0,"缺少标准文字","已确认"),"无效选择"))))</x:f>
        <x:v>待确认</x:v>
      </x:c>
    </x:row>
    <x:row r="261" ht="41" customHeight="1">
      <x:c r="A261" s="16" t="str">
        <x:v>MRG-0255</x:v>
      </x:c>
      <x:c r="B261" s="16" t="str">
        <x:v>Recommendation</x:v>
      </x:c>
      <x:c r="C261" s="17" t="str">
        <x:v>待确认</x:v>
      </x:c>
      <x:c r="D261" s="17" t="str">
        <x:v>Remove salt staining.</x:v>
      </x:c>
      <x:c r="E261" s="16" t="str">
        <x:v>近似描述核对</x:v>
      </x:c>
      <x:c r="F261" s="16" t="str">
        <x:v>措辞近似，需确认含义和适用范围是否一致。</x:v>
      </x:c>
      <x:c r="G261" s="16" t="str">
        <x:v>REC-0004, REC-0133</x:v>
      </x:c>
      <x:c r="H261" s="16" t="str">
        <x:v>Remove salt staining.</x:v>
      </x:c>
      <x:c r="I261" s="16" t="str">
        <x:v>Remove staining.</x:v>
      </x:c>
      <x:c r="J261" s="17" t="str"/>
      <x:c r="K261" s="17" t="str"/>
      <x:c r="L261" s="16" t="str">
        <x:v>SRC-002, SRC-005, SRC-008, SRC-011, SRC-024, SRC-058, SRC-059, SRC-060</x:v>
      </x:c>
      <x:c r="M261" s="16" t="str">
        <x:f>IF(C261="待确认","待确认",IF(C261="需修改","需修改",IF(C261="保持独立","已确认",IF(OR(C261="同意合并",C261="使用模板",C261="提取短句"),IF(LEN(TRIM(D261))=0,"缺少标准文字","已确认"),"无效选择"))))</x:f>
        <x:v>待确认</x:v>
      </x:c>
    </x:row>
    <x:row r="262" ht="41" customHeight="1">
      <x:c r="A262" s="16" t="str">
        <x:v>MRG-0256</x:v>
      </x:c>
      <x:c r="B262" s="16" t="str">
        <x:v>Recommendation</x:v>
      </x:c>
      <x:c r="C262" s="17" t="str">
        <x:v>待确认</x:v>
      </x:c>
      <x:c r="D262" s="17" t="str"/>
      <x:c r="E262" s="16" t="str">
        <x:v>近似描述核对</x:v>
      </x:c>
      <x:c r="F262" s="16" t="str">
        <x:v>程度、范围、处理方法、条件或编号存在差异，建议保持独立；如仅编号不同可改为模板。 数值或章节引用需保留。</x:v>
      </x:c>
      <x:c r="G262" s="16" t="str">
        <x:v>REC-0057, REC-0079</x:v>
      </x:c>
      <x:c r="H262" s="16" t="str">
        <x:v>Clean and repaint. Expose the posts’ base and investigate the condition. Undertake appropriate repair stated within Section 3.1.</x:v>
      </x:c>
      <x:c r="I262" s="16" t="str">
        <x:v>Clean, wire brush and repaint. Excavate and expose fencing posts and investigate the condition. Undertake appropriate repair stated within Section 3.</x:v>
      </x:c>
      <x:c r="J262" s="17" t="str"/>
      <x:c r="K262" s="17" t="str"/>
      <x:c r="L262" s="16" t="str">
        <x:v>SRC-051, SRC-056</x:v>
      </x:c>
      <x:c r="M262" s="16" t="str">
        <x:f>IF(C262="待确认","待确认",IF(C262="需修改","需修改",IF(C262="保持独立","已确认",IF(OR(C262="同意合并",C262="使用模板",C262="提取短句"),IF(LEN(TRIM(D262))=0,"缺少标准文字","已确认"),"无效选择"))))</x:f>
        <x:v>待确认</x:v>
      </x:c>
    </x:row>
    <x:row r="263" ht="41" customHeight="1">
      <x:c r="A263" s="16" t="str">
        <x:v>MRG-0257</x:v>
      </x:c>
      <x:c r="B263" s="16" t="str">
        <x:v>Recommendation</x:v>
      </x:c>
      <x:c r="C263" s="17" t="str">
        <x:v>待确认</x:v>
      </x:c>
      <x:c r="D263" s="17" t="str"/>
      <x:c r="E263" s="16" t="str">
        <x:v>近似描述核对</x:v>
      </x:c>
      <x:c r="F263" s="16" t="str">
        <x:v>程度、范围、处理方法、条件或编号存在差异，建议保持独立；如仅编号不同可改为模板。</x:v>
      </x:c>
      <x:c r="G263" s="16" t="str">
        <x:v>REC-0065, REC-0081</x:v>
      </x:c>
      <x:c r="H263" s="16" t="str">
        <x:v>Clean, remove corrosion and repaint. Excavate all fencing posts to the base and investigate the condition. Undertake appropriate repair stated within Section 3.</x:v>
      </x:c>
      <x:c r="I263" s="16" t="str">
        <x:v>Clean, wire brush and repaint. Expose the base and investigate the condition. Undertake appropriate repair stated within Section 3.</x:v>
      </x:c>
      <x:c r="J263" s="17" t="str"/>
      <x:c r="K263" s="17" t="str"/>
      <x:c r="L263" s="16" t="str">
        <x:v>SRC-011, SRC-026</x:v>
      </x:c>
      <x:c r="M263" s="16" t="str">
        <x:f>IF(C263="待确认","待确认",IF(C263="需修改","需修改",IF(C263="保持独立","已确认",IF(OR(C263="同意合并",C263="使用模板",C263="提取短句"),IF(LEN(TRIM(D263))=0,"缺少标准文字","已确认"),"无效选择"))))</x:f>
        <x:v>待确认</x:v>
      </x:c>
    </x:row>
    <x:row r="264" ht="41" customHeight="1">
      <x:c r="A264" s="16" t="str">
        <x:v>MRG-0258</x:v>
      </x:c>
      <x:c r="B264" s="16" t="str">
        <x:v>Recommendation</x:v>
      </x:c>
      <x:c r="C264" s="17" t="str">
        <x:v>待确认</x:v>
      </x:c>
      <x:c r="D264" s="17" t="str"/>
      <x:c r="E264" s="16" t="str">
        <x:v>近似描述核对</x:v>
      </x:c>
      <x:c r="F264" s="16" t="str">
        <x:v>程度、范围、处理方法、条件或编号存在差异，建议保持独立；如仅编号不同可改为模板。 数值或章节引用需保留。</x:v>
      </x:c>
      <x:c r="G264" s="16" t="str">
        <x:v>REC-0011, REC-0057</x:v>
      </x:c>
      <x:c r="H264" s="16" t="str">
        <x:v>Clean, wire brush and repaint. Excavate all fencing posts to the base and investigate the condition. Undertake appropriate repair stated within Section 3.</x:v>
      </x:c>
      <x:c r="I264" s="16" t="str">
        <x:v>Clean and repaint. Expose the posts’ base and investigate the condition. Undertake appropriate repair stated within Section 3.1.</x:v>
      </x:c>
      <x:c r="J264" s="17" t="str"/>
      <x:c r="K264" s="17" t="str"/>
      <x:c r="L264" s="16" t="str">
        <x:v>SRC-001, SRC-024, SRC-025, SRC-028, SRC-051, SRC-060</x:v>
      </x:c>
      <x:c r="M264" s="16" t="str">
        <x:f>IF(C264="待确认","待确认",IF(C264="需修改","需修改",IF(C264="保持独立","已确认",IF(OR(C264="同意合并",C264="使用模板",C264="提取短句"),IF(LEN(TRIM(D264))=0,"缺少标准文字","已确认"),"无效选择"))))</x:f>
        <x:v>待确认</x:v>
      </x:c>
    </x:row>
    <x:row r="265" ht="41" customHeight="1">
      <x:c r="A265" s="16" t="str">
        <x:v>MRG-0259</x:v>
      </x:c>
      <x:c r="B265" s="16" t="str">
        <x:v>Recommendation</x:v>
      </x:c>
      <x:c r="C265" s="17" t="str">
        <x:v>待确认</x:v>
      </x:c>
      <x:c r="D265" s="17" t="str"/>
      <x:c r="E265" s="16" t="str">
        <x:v>近似描述核对</x:v>
      </x:c>
      <x:c r="F265" s="16" t="str">
        <x:v>程度、范围、处理方法、条件或编号存在差异，建议保持独立；如仅编号不同可改为模板。</x:v>
      </x:c>
      <x:c r="G265" s="16" t="str">
        <x:v>REC-0064, REC-0068</x:v>
      </x:c>
      <x:c r="H265" s="16" t="str">
        <x:v>Clean, remove corrosion and repaint rafters.</x:v>
      </x:c>
      <x:c r="I265" s="16" t="str">
        <x:v>Clean, remove corrosion and repaint. Replace the bolts.</x:v>
      </x:c>
      <x:c r="J265" s="17" t="str"/>
      <x:c r="K265" s="17" t="str"/>
      <x:c r="L265" s="16" t="str">
        <x:v>SRC-009, SRC-015</x:v>
      </x:c>
      <x:c r="M265" s="16" t="str">
        <x:f>IF(C265="待确认","待确认",IF(C265="需修改","需修改",IF(C265="保持独立","已确认",IF(OR(C265="同意合并",C265="使用模板",C265="提取短句"),IF(LEN(TRIM(D265))=0,"缺少标准文字","已确认"),"无效选择"))))</x:f>
        <x:v>待确认</x:v>
      </x:c>
    </x:row>
    <x:row r="266" ht="41" customHeight="1">
      <x:c r="A266" s="16" t="str">
        <x:v>MRG-0260</x:v>
      </x:c>
      <x:c r="B266" s="16" t="str">
        <x:v>Recommendation</x:v>
      </x:c>
      <x:c r="C266" s="17" t="str">
        <x:v>待确认</x:v>
      </x:c>
      <x:c r="D266" s="17" t="str"/>
      <x:c r="E266" s="16" t="str">
        <x:v>近似描述核对</x:v>
      </x:c>
      <x:c r="F266" s="16" t="str">
        <x:v>程度、范围、处理方法、条件或编号存在差异，建议保持独立；如仅编号不同可改为模板。</x:v>
      </x:c>
      <x:c r="G266" s="16" t="str">
        <x:v>REC-0005, REC-0083</x:v>
      </x:c>
      <x:c r="H266" s="16" t="str">
        <x:v>Clean, wire brush and repaint corroded areas.</x:v>
      </x:c>
      <x:c r="I266" s="16" t="str">
        <x:v>Clean, wire brush and repaint. Replace corroded screw.</x:v>
      </x:c>
      <x:c r="J266" s="17" t="str"/>
      <x:c r="K266" s="17" t="str"/>
      <x:c r="L266" s="16" t="str">
        <x:v>SRC-010, SRC-011, SRC-024, SRC-026, SRC-028, SRC-050, SRC-056, SRC-060</x:v>
      </x:c>
      <x:c r="M266" s="16" t="str">
        <x:f>IF(C266="待确认","待确认",IF(C266="需修改","需修改",IF(C266="保持独立","已确认",IF(OR(C266="同意合并",C266="使用模板",C266="提取短句"),IF(LEN(TRIM(D266))=0,"缺少标准文字","已确认"),"无效选择"))))</x:f>
        <x:v>待确认</x:v>
      </x:c>
    </x:row>
    <x:row r="267" ht="41" customHeight="1">
      <x:c r="A267" s="16" t="str">
        <x:v>MRG-0261</x:v>
      </x:c>
      <x:c r="B267" s="16" t="str">
        <x:v>Recommendation</x:v>
      </x:c>
      <x:c r="C267" s="17" t="str">
        <x:v>待确认</x:v>
      </x:c>
      <x:c r="D267" s="17" t="str"/>
      <x:c r="E267" s="16" t="str">
        <x:v>近似描述核对</x:v>
      </x:c>
      <x:c r="F267" s="16" t="str">
        <x:v>程度、范围、处理方法、条件或编号存在差异，建议保持独立；如仅编号不同可改为模板。</x:v>
      </x:c>
      <x:c r="G267" s="16" t="str">
        <x:v>REC-0026, REC-0065</x:v>
      </x:c>
      <x:c r="H267" s="16" t="str">
        <x:v>Clean, wire brush and repaint. Expose the posts base and investigate the condition. Undertake appropriate repair stated within Section 3.</x:v>
      </x:c>
      <x:c r="I267" s="16" t="str">
        <x:v>Clean, remove corrosion and repaint. Excavate all fencing posts to the base and investigate the condition. Undertake appropriate repair stated within Section 3.</x:v>
      </x:c>
      <x:c r="J267" s="17" t="str"/>
      <x:c r="K267" s="17" t="str"/>
      <x:c r="L267" s="16" t="str">
        <x:v>SRC-010, SRC-011, SRC-059</x:v>
      </x:c>
      <x:c r="M267" s="16" t="str">
        <x:f>IF(C267="待确认","待确认",IF(C267="需修改","需修改",IF(C267="保持独立","已确认",IF(OR(C267="同意合并",C267="使用模板",C267="提取短句"),IF(LEN(TRIM(D267))=0,"缺少标准文字","已确认"),"无效选择"))))</x:f>
        <x:v>待确认</x:v>
      </x:c>
    </x:row>
    <x:row r="268" ht="37" customHeight="1">
      <x:c r="A268" s="16" t="str">
        <x:v>MRG-0262</x:v>
      </x:c>
      <x:c r="B268" s="16" t="str">
        <x:v>Recommendation</x:v>
      </x:c>
      <x:c r="C268" s="17" t="str">
        <x:v>待确认</x:v>
      </x:c>
      <x:c r="D268" s="17" t="str">
        <x:v>Clean, remove the corrosion and repaint.</x:v>
      </x:c>
      <x:c r="E268" s="16" t="str">
        <x:v>近似描述核对</x:v>
      </x:c>
      <x:c r="F268" s="16" t="str">
        <x:v>措辞近似，需确认含义和适用范围是否一致。</x:v>
      </x:c>
      <x:c r="G268" s="16" t="str">
        <x:v>REC-0025, REC-0064</x:v>
      </x:c>
      <x:c r="H268" s="16" t="str">
        <x:v>Clean, remove the corrosion and repaint.</x:v>
      </x:c>
      <x:c r="I268" s="16" t="str">
        <x:v>Clean, remove corrosion and repaint rafters.</x:v>
      </x:c>
      <x:c r="J268" s="17" t="str"/>
      <x:c r="K268" s="17" t="str"/>
      <x:c r="L268" s="16" t="str">
        <x:v>SRC-015, SRC-080</x:v>
      </x:c>
      <x:c r="M268" s="16" t="str">
        <x:f>IF(C268="待确认","待确认",IF(C268="需修改","需修改",IF(C268="保持独立","已确认",IF(OR(C268="同意合并",C268="使用模板",C268="提取短句"),IF(LEN(TRIM(D268))=0,"缺少标准文字","已确认"),"无效选择"))))</x:f>
        <x:v>待确认</x:v>
      </x:c>
    </x:row>
    <x:row r="269" ht="111" customHeight="1">
      <x:c r="A269" s="16" t="str">
        <x:v>MRG-0263</x:v>
      </x:c>
      <x:c r="B269" s="16" t="str">
        <x:v>Recommendation</x:v>
      </x:c>
      <x:c r="C269" s="17" t="str">
        <x:v>待确认</x:v>
      </x:c>
      <x:c r="D269" s="17" t="str">
        <x:v>Clean, wire brush and repaint.</x:v>
      </x:c>
      <x:c r="E269" s="16" t="str">
        <x:v>近似描述核对</x:v>
      </x:c>
      <x:c r="F269" s="16" t="str">
        <x:v>措辞近似，需确认含义和适用范围是否一致。</x:v>
      </x:c>
      <x:c r="G269" s="16" t="str">
        <x:v>REC-0001, REC-0074</x:v>
      </x:c>
      <x:c r="H269" s="16" t="str">
        <x:v>Clean, wire brush and repaint.</x:v>
      </x:c>
      <x:c r="I269" s="16" t="str">
        <x:v>Clean, wire brush and repaint cap plate.</x:v>
      </x:c>
      <x:c r="J269" s="17" t="str"/>
      <x:c r="K269" s="17" t="str"/>
      <x:c r="L269" s="16" t="str">
        <x:v>SRC-002, SRC-003, SRC-004, SRC-008, SRC-009, SRC-010, SRC-013, SRC-014, SRC-023, SRC-025, SRC-027, SRC-029, SRC-048, SRC-049, SRC-050, SRC-054, SRC-051, SRC-052, SRC-055, SRC-057, SRC-058, SRC-059, SRC-061, SRC-062, SRC-065, SRC-068, SRC-069, SRC-098, SRC-099</x:v>
      </x:c>
      <x:c r="M269" s="16" t="str">
        <x:f>IF(C269="待确认","待确认",IF(C269="需修改","需修改",IF(C269="保持独立","已确认",IF(OR(C269="同意合并",C269="使用模板",C269="提取短句"),IF(LEN(TRIM(D269))=0,"缺少标准文字","已确认"),"无效选择"))))</x:f>
        <x:v>待确认</x:v>
      </x:c>
    </x:row>
    <x:row r="270" ht="41" customHeight="1">
      <x:c r="A270" s="16" t="str">
        <x:v>MRG-0264</x:v>
      </x:c>
      <x:c r="B270" s="16" t="str">
        <x:v>Recommendation</x:v>
      </x:c>
      <x:c r="C270" s="17" t="str">
        <x:v>待确认</x:v>
      </x:c>
      <x:c r="D270" s="17" t="str"/>
      <x:c r="E270" s="16" t="str">
        <x:v>近似描述核对</x:v>
      </x:c>
      <x:c r="F270" s="16" t="str">
        <x:v>程度、范围、处理方法、条件或编号存在差异，建议保持独立；如仅编号不同可改为模板。</x:v>
      </x:c>
      <x:c r="G270" s="16" t="str">
        <x:v>REC-0056, REC-0065</x:v>
      </x:c>
      <x:c r="H270" s="16" t="str">
        <x:v>Clean and repaint. Expose the base and investigate the condition. Undertake appropriate repair stated within Section 3.</x:v>
      </x:c>
      <x:c r="I270" s="16" t="str">
        <x:v>Clean, remove corrosion and repaint. Excavate all fencing posts to the base and investigate the condition. Undertake appropriate repair stated within Section 3.</x:v>
      </x:c>
      <x:c r="J270" s="17" t="str"/>
      <x:c r="K270" s="17" t="str"/>
      <x:c r="L270" s="16" t="str">
        <x:v>SRC-011, SRC-049</x:v>
      </x:c>
      <x:c r="M270" s="16" t="str">
        <x:f>IF(C270="待确认","待确认",IF(C270="需修改","需修改",IF(C270="保持独立","已确认",IF(OR(C270="同意合并",C270="使用模板",C270="提取短句"),IF(LEN(TRIM(D270))=0,"缺少标准文字","已确认"),"无效选择"))))</x:f>
        <x:v>待确认</x:v>
      </x:c>
    </x:row>
    <x:row r="271" ht="41" customHeight="1">
      <x:c r="A271" s="16" t="str">
        <x:v>MRG-0265</x:v>
      </x:c>
      <x:c r="B271" s="16" t="str">
        <x:v>Recommendation</x:v>
      </x:c>
      <x:c r="C271" s="17" t="str">
        <x:v>待确认</x:v>
      </x:c>
      <x:c r="D271" s="17" t="str"/>
      <x:c r="E271" s="16" t="str">
        <x:v>近似描述核对</x:v>
      </x:c>
      <x:c r="F271" s="16" t="str">
        <x:v>程度、范围、处理方法、条件或编号存在差异，建议保持独立；如仅编号不同可改为模板。</x:v>
      </x:c>
      <x:c r="G271" s="16" t="str">
        <x:v>REC-0055, REC-0091</x:v>
      </x:c>
      <x:c r="H271" s="16" t="str">
        <x:v>Clean and repaint. Expose posts’ base and investigate the condition. Undertake appropriate repair stated within Section 3.</x:v>
      </x:c>
      <x:c r="I271" s="16" t="str">
        <x:v>Excavate all fencing posts to the base and investigate the condition. Undertake appropriate repair stated within Section 3.</x:v>
      </x:c>
      <x:c r="J271" s="17" t="str"/>
      <x:c r="K271" s="17" t="str"/>
      <x:c r="L271" s="16" t="str">
        <x:v>SRC-055, SRC-057</x:v>
      </x:c>
      <x:c r="M271" s="16" t="str">
        <x:f>IF(C271="待确认","待确认",IF(C271="需修改","需修改",IF(C271="保持独立","已确认",IF(OR(C271="同意合并",C271="使用模板",C271="提取短句"),IF(LEN(TRIM(D271))=0,"缺少标准文字","已确认"),"无效选择"))))</x:f>
        <x:v>待确认</x:v>
      </x:c>
    </x:row>
    <x:row r="272" ht="41" customHeight="1">
      <x:c r="A272" s="16" t="str">
        <x:v>MRG-0266</x:v>
      </x:c>
      <x:c r="B272" s="16" t="str">
        <x:v>Recommendation</x:v>
      </x:c>
      <x:c r="C272" s="17" t="str">
        <x:v>待确认</x:v>
      </x:c>
      <x:c r="D272" s="17" t="str">
        <x:v>Clean and repaint. Expose the base and investigate the condition. Undertake appropriate repair stated within Section 3.</x:v>
      </x:c>
      <x:c r="E272" s="16" t="str">
        <x:v>近似描述核对</x:v>
      </x:c>
      <x:c r="F272" s="16" t="str">
        <x:v>措辞近似，需确认含义和适用范围是否一致。</x:v>
      </x:c>
      <x:c r="G272" s="16" t="str">
        <x:v>REC-0056, REC-0079</x:v>
      </x:c>
      <x:c r="H272" s="16" t="str">
        <x:v>Clean and repaint. Expose the base and investigate the condition. Undertake appropriate repair stated within Section 3.</x:v>
      </x:c>
      <x:c r="I272" s="16" t="str">
        <x:v>Clean, wire brush and repaint. Excavate and expose fencing posts and investigate the condition. Undertake appropriate repair stated within Section 3.</x:v>
      </x:c>
      <x:c r="J272" s="17" t="str"/>
      <x:c r="K272" s="17" t="str"/>
      <x:c r="L272" s="16" t="str">
        <x:v>SRC-049, SRC-056</x:v>
      </x:c>
      <x:c r="M272" s="16" t="str">
        <x:f>IF(C272="待确认","待确认",IF(C272="需修改","需修改",IF(C272="保持独立","已确认",IF(OR(C272="同意合并",C272="使用模板",C272="提取短句"),IF(LEN(TRIM(D272))=0,"缺少标准文字","已确认"),"无效选择"))))</x:f>
        <x:v>待确认</x:v>
      </x:c>
    </x:row>
    <x:row r="273" ht="41" customHeight="1">
      <x:c r="A273" s="16" t="str">
        <x:v>MRG-0267</x:v>
      </x:c>
      <x:c r="B273" s="16" t="str">
        <x:v>Observation</x:v>
      </x:c>
      <x:c r="C273" s="17" t="str">
        <x:v>待确认</x:v>
      </x:c>
      <x:c r="D273" s="17" t="str">
        <x:v>{location}. Cladding and framing in good condition.</x:v>
      </x:c>
      <x:c r="E273" s="16" t="str">
        <x:v>位置模板</x:v>
      </x:c>
      <x:c r="F273" s="16" t="str">
        <x:v>核心现象相同，仅开头位置不同。可把位置单独填写；生成报告时须保留位置。 其余完整描述见确认项明细。</x:v>
      </x:c>
      <x:c r="G273" s="16" t="str">
        <x:v>OBS-0004, OBS-0011, OBS-0505</x:v>
      </x:c>
      <x:c r="H273" s="16" t="str">
        <x:v>Front of property. Cladding and framing in good condition.</x:v>
      </x:c>
      <x:c r="I273" s="16" t="str">
        <x:v>Back of property. Cladding and framing in good condition.</x:v>
      </x:c>
      <x:c r="J273" s="17" t="str">
        <x:v>location：现场位置</x:v>
      </x:c>
      <x:c r="K273" s="17" t="str"/>
      <x:c r="L273" s="16" t="str">
        <x:v>SRC-001, SRC-002, SRC-003, SRC-004, SRC-011, SRC-024, SRC-026, SRC-052, SRC-056</x:v>
      </x:c>
      <x:c r="M273" s="16" t="str">
        <x:f>IF(C273="待确认","待确认",IF(C273="需修改","需修改",IF(C273="保持独立","已确认",IF(OR(C273="同意合并",C273="使用模板",C273="提取短句"),IF(LEN(TRIM(D273))=0,"缺少标准文字","已确认"),"无效选择"))))</x:f>
        <x:v>待确认</x:v>
      </x:c>
    </x:row>
    <x:row r="274" ht="41" customHeight="1">
      <x:c r="A274" s="16" t="str">
        <x:v>MRG-0268</x:v>
      </x:c>
      <x:c r="B274" s="16" t="str">
        <x:v>Observation</x:v>
      </x:c>
      <x:c r="C274" s="17" t="str">
        <x:v>待确认</x:v>
      </x:c>
      <x:c r="D274" s="17" t="str">
        <x:v>{location}. Minor corrosion to rafters and purlins. Salt staining on purlins.</x:v>
      </x:c>
      <x:c r="E274" s="16" t="str">
        <x:v>位置模板</x:v>
      </x:c>
      <x:c r="F274" s="16" t="str">
        <x:v>核心现象相同，仅开头位置不同。可把位置单独填写；生成报告时须保留位置。</x:v>
      </x:c>
      <x:c r="G274" s="16" t="str">
        <x:v>OBS-0015, OBS-0029</x:v>
      </x:c>
      <x:c r="H274" s="16" t="str">
        <x:v>Left hand side of house facing the entrance. Minor corrosion to rafters and purlins. Salt staining on purlins.</x:v>
      </x:c>
      <x:c r="I274" s="16" t="str">
        <x:v>Right hand side of house facing the entrance. Minor corrosion to rafters and purlins. Salt staining on purlins.</x:v>
      </x:c>
      <x:c r="J274" s="17" t="str">
        <x:v>location：现场位置</x:v>
      </x:c>
      <x:c r="K274" s="17" t="str"/>
      <x:c r="L274" s="16" t="str">
        <x:v>SRC-027, SRC-049, SRC-051, SRC-055</x:v>
      </x:c>
      <x:c r="M274" s="16" t="str">
        <x:f>IF(C274="待确认","待确认",IF(C274="需修改","需修改",IF(C274="保持独立","已确认",IF(OR(C274="同意合并",C274="使用模板",C274="提取短句"),IF(LEN(TRIM(D274))=0,"缺少标准文字","已确认"),"无效选择"))))</x:f>
        <x:v>待确认</x:v>
      </x:c>
    </x:row>
    <x:row r="275" ht="41" customHeight="1">
      <x:c r="A275" s="16" t="str">
        <x:v>MRG-0269</x:v>
      </x:c>
      <x:c r="B275" s="16" t="str">
        <x:v>Observation</x:v>
      </x:c>
      <x:c r="C275" s="17" t="str">
        <x:v>待确认</x:v>
      </x:c>
      <x:c r="D275" s="17" t="str">
        <x:v>{location}. Cladding in good and framing condition.</x:v>
      </x:c>
      <x:c r="E275" s="16" t="str">
        <x:v>位置模板</x:v>
      </x:c>
      <x:c r="F275" s="16" t="str">
        <x:v>核心现象相同，仅开头位置不同。可把位置单独填写；生成报告时须保留位置。</x:v>
      </x:c>
      <x:c r="G275" s="16" t="str">
        <x:v>OBS-0033, OBS-0049</x:v>
      </x:c>
      <x:c r="H275" s="16" t="str">
        <x:v>Back wall. Cladding in good and framing condition.</x:v>
      </x:c>
      <x:c r="I275" s="16" t="str">
        <x:v>Front of property. Cladding in good and framing condition.</x:v>
      </x:c>
      <x:c r="J275" s="17" t="str">
        <x:v>location：现场位置</x:v>
      </x:c>
      <x:c r="K275" s="17" t="str"/>
      <x:c r="L275" s="16" t="str">
        <x:v>SRC-003, SRC-004, SRC-005</x:v>
      </x:c>
      <x:c r="M275" s="16" t="str">
        <x:f>IF(C275="待确认","待确认",IF(C275="需修改","需修改",IF(C275="保持独立","已确认",IF(OR(C275="同意合并",C275="使用模板",C275="提取短句"),IF(LEN(TRIM(D275))=0,"缺少标准文字","已确认"),"无效选择"))))</x:f>
        <x:v>待确认</x:v>
      </x:c>
    </x:row>
    <x:row r="276" ht="41" customHeight="1">
      <x:c r="A276" s="16" t="str">
        <x:v>MRG-0270</x:v>
      </x:c>
      <x:c r="B276" s="16" t="str">
        <x:v>Observation</x:v>
      </x:c>
      <x:c r="C276" s="17" t="str">
        <x:v>待确认</x:v>
      </x:c>
      <x:c r="D276" s="17" t="str">
        <x:v>{location}. Corrosion around outlet pipe.</x:v>
      </x:c>
      <x:c r="E276" s="16" t="str">
        <x:v>位置模板</x:v>
      </x:c>
      <x:c r="F276" s="16" t="str">
        <x:v>核心现象相同，仅开头位置不同。可把位置单独填写；生成报告时须保留位置。</x:v>
      </x:c>
      <x:c r="G276" s="16" t="str">
        <x:v>OBS-0020, OBS-0355</x:v>
      </x:c>
      <x:c r="H276" s="16" t="str">
        <x:v>Back of property. Corrosion around outlet pipe.</x:v>
      </x:c>
      <x:c r="I276" s="16" t="str">
        <x:v>Left hand side of property facing front entrance. Corrosion around outlet pipe.</x:v>
      </x:c>
      <x:c r="J276" s="17" t="str">
        <x:v>location：现场位置</x:v>
      </x:c>
      <x:c r="K276" s="17" t="str"/>
      <x:c r="L276" s="16" t="str">
        <x:v>SRC-011, SRC-024, SRC-056, SRC-060</x:v>
      </x:c>
      <x:c r="M276" s="16" t="str">
        <x:f>IF(C276="待确认","待确认",IF(C276="需修改","需修改",IF(C276="保持独立","已确认",IF(OR(C276="同意合并",C276="使用模板",C276="提取短句"),IF(LEN(TRIM(D276))=0,"缺少标准文字","已确认"),"无效选择"))))</x:f>
        <x:v>待确认</x:v>
      </x:c>
    </x:row>
    <x:row r="277" ht="41" customHeight="1">
      <x:c r="A277" s="16" t="str">
        <x:v>MRG-0271</x:v>
      </x:c>
      <x:c r="B277" s="16" t="str">
        <x:v>Observation</x:v>
      </x:c>
      <x:c r="C277" s="17" t="str">
        <x:v>待确认</x:v>
      </x:c>
      <x:c r="D277" s="17" t="str">
        <x:v>{location}. Framing and cladding in good condition.</x:v>
      </x:c>
      <x:c r="E277" s="16" t="str">
        <x:v>位置模板</x:v>
      </x:c>
      <x:c r="F277" s="16" t="str">
        <x:v>核心现象相同，仅开头位置不同。可把位置单独填写；生成报告时须保留位置。</x:v>
      </x:c>
      <x:c r="G277" s="16" t="str">
        <x:v>OBS-0278, OBS-0356</x:v>
      </x:c>
      <x:c r="H277" s="16" t="str">
        <x:v>Front of property. Framing and cladding in good condition.</x:v>
      </x:c>
      <x:c r="I277" s="16" t="str">
        <x:v>Left hand side of property facing front entrance. Framing and cladding in good condition.</x:v>
      </x:c>
      <x:c r="J277" s="17" t="str">
        <x:v>location：现场位置</x:v>
      </x:c>
      <x:c r="K277" s="17" t="str"/>
      <x:c r="L277" s="16" t="str">
        <x:v>SRC-053</x:v>
      </x:c>
      <x:c r="M277" s="16" t="str">
        <x:f>IF(C277="待确认","待确认",IF(C277="需修改","需修改",IF(C277="保持独立","已确认",IF(OR(C277="同意合并",C277="使用模板",C277="提取短句"),IF(LEN(TRIM(D277))=0,"缺少标准文字","已确认"),"无效选择"))))</x:f>
        <x:v>待确认</x:v>
      </x:c>
    </x:row>
    <x:row r="278" ht="41" customHeight="1">
      <x:c r="A278" s="16" t="str">
        <x:v>MRG-0272</x:v>
      </x:c>
      <x:c r="B278" s="16" t="str">
        <x:v>Observation</x:v>
      </x:c>
      <x:c r="C278" s="17" t="str">
        <x:v>待确认</x:v>
      </x:c>
      <x:c r="D278" s="17" t="str">
        <x:v>{location}. Minor corrosion of purlins and rafters.</x:v>
      </x:c>
      <x:c r="E278" s="16" t="str">
        <x:v>位置模板</x:v>
      </x:c>
      <x:c r="F278" s="16" t="str">
        <x:v>核心现象相同，仅开头位置不同。可把位置单独填写；生成报告时须保留位置。</x:v>
      </x:c>
      <x:c r="G278" s="16" t="str">
        <x:v>OBS-0350, OBS-0491</x:v>
      </x:c>
      <x:c r="H278" s="16" t="str">
        <x:v>Left hand side of house facing the entrance. Minor corrosion of purlins and rafters.</x:v>
      </x:c>
      <x:c r="I278" s="16" t="str">
        <x:v>Right hand side of house facing the entrance. Minor corrosion of purlins and rafters.</x:v>
      </x:c>
      <x:c r="J278" s="17" t="str">
        <x:v>location：现场位置</x:v>
      </x:c>
      <x:c r="K278" s="17" t="str"/>
      <x:c r="L278" s="16" t="str">
        <x:v>SRC-025</x:v>
      </x:c>
      <x:c r="M278" s="16" t="str">
        <x:f>IF(C278="待确认","待确认",IF(C278="需修改","需修改",IF(C278="保持独立","已确认",IF(OR(C278="同意合并",C278="使用模板",C278="提取短句"),IF(LEN(TRIM(D278))=0,"缺少标准文字","已确认"),"无效选择"))))</x:f>
        <x:v>待确认</x:v>
      </x:c>
    </x:row>
    <x:row r="279" ht="41" customHeight="1">
      <x:c r="A279" s="16" t="str">
        <x:v>MRG-0273</x:v>
      </x:c>
      <x:c r="B279" s="16" t="str">
        <x:v>Observation</x:v>
      </x:c>
      <x:c r="C279" s="17" t="str">
        <x:v>待确认</x:v>
      </x:c>
      <x:c r="D279" s="17" t="str">
        <x:v>{location}. Minor corrosion of steel post.</x:v>
      </x:c>
      <x:c r="E279" s="16" t="str">
        <x:v>位置模板</x:v>
      </x:c>
      <x:c r="F279" s="16" t="str">
        <x:v>核心现象相同，仅开头位置不同。可把位置单独填写；生成报告时须保留位置。</x:v>
      </x:c>
      <x:c r="G279" s="16" t="str">
        <x:v>OBS-0358, OBS-0502</x:v>
      </x:c>
      <x:c r="H279" s="16" t="str">
        <x:v>Left hand side of property facing the front entrance. Minor corrosion of steel post.</x:v>
      </x:c>
      <x:c r="I279" s="16" t="str">
        <x:v>Right hand side of property facing the front entrance. Minor corrosion of steel post.</x:v>
      </x:c>
      <x:c r="J279" s="17" t="str">
        <x:v>location：现场位置</x:v>
      </x:c>
      <x:c r="K279" s="17" t="str"/>
      <x:c r="L279" s="16" t="str">
        <x:v>SRC-054</x:v>
      </x:c>
      <x:c r="M279" s="16" t="str">
        <x:f>IF(C279="待确认","待确认",IF(C279="需修改","需修改",IF(C279="保持独立","已确认",IF(OR(C279="同意合并",C279="使用模板",C279="提取短句"),IF(LEN(TRIM(D279))=0,"缺少标准文字","已确认"),"无效选择"))))</x:f>
        <x:v>待确认</x:v>
      </x:c>
    </x:row>
    <x:row r="280" ht="41" customHeight="1">
      <x:c r="A280" s="16" t="str">
        <x:v>MRG-0274</x:v>
      </x:c>
      <x:c r="B280" s="16" t="str">
        <x:v>Observation</x:v>
      </x:c>
      <x:c r="C280" s="17" t="str">
        <x:v>待确认</x:v>
      </x:c>
      <x:c r="D280" s="17" t="str">
        <x:v>{location}. Minor cracking at joint.</x:v>
      </x:c>
      <x:c r="E280" s="16" t="str">
        <x:v>位置模板</x:v>
      </x:c>
      <x:c r="F280" s="16" t="str">
        <x:v>核心现象相同，仅开头位置不同。可把位置单独填写；生成报告时须保留位置。</x:v>
      </x:c>
      <x:c r="G280" s="16" t="str">
        <x:v>OBS-0360, OBS-0509</x:v>
      </x:c>
      <x:c r="H280" s="16" t="str">
        <x:v>Left hand side staircase. Minor cracking at joint.</x:v>
      </x:c>
      <x:c r="I280" s="16" t="str">
        <x:v>Right hand side staircase. Minor cracking at joint.</x:v>
      </x:c>
      <x:c r="J280" s="17" t="str">
        <x:v>location：现场位置</x:v>
      </x:c>
      <x:c r="K280" s="17" t="str"/>
      <x:c r="L280" s="16" t="str">
        <x:v>SRC-096</x:v>
      </x:c>
      <x:c r="M280" s="16" t="str">
        <x:f>IF(C280="待确认","待确认",IF(C280="需修改","需修改",IF(C280="保持独立","已确认",IF(OR(C280="同意合并",C280="使用模板",C280="提取短句"),IF(LEN(TRIM(D280))=0,"缺少标准文字","已确认"),"无效选择"))))</x:f>
        <x:v>待确认</x:v>
      </x:c>
    </x:row>
    <x:row r="281" ht="41" customHeight="1">
      <x:c r="A281" s="16" t="str">
        <x:v>MRG-0275</x:v>
      </x:c>
      <x:c r="B281" s="16" t="str">
        <x:v>Observation</x:v>
      </x:c>
      <x:c r="C281" s="17" t="str">
        <x:v>待确认</x:v>
      </x:c>
      <x:c r="D281" s="17" t="str">
        <x:v>{location}. Paint deterioration and salt staining on purlins and rafters.</x:v>
      </x:c>
      <x:c r="E281" s="16" t="str">
        <x:v>位置模板</x:v>
      </x:c>
      <x:c r="F281" s="16" t="str">
        <x:v>核心现象相同，仅开头位置不同。可把位置单独填写；生成报告时须保留位置。</x:v>
      </x:c>
      <x:c r="G281" s="16" t="str">
        <x:v>OBS-0503, OBS-0507</x:v>
      </x:c>
      <x:c r="H281" s="16" t="str">
        <x:v>Right hand side of property facing the front entrance. Paint deterioration and salt staining on purlins and rafters.</x:v>
      </x:c>
      <x:c r="I281" s="16" t="str">
        <x:v>Right hand side roof overhang facing front entrance. Paint deterioration and salt staining on purlins and rafters.</x:v>
      </x:c>
      <x:c r="J281" s="17" t="str">
        <x:v>location：现场位置</x:v>
      </x:c>
      <x:c r="K281" s="17" t="str"/>
      <x:c r="L281" s="16" t="str">
        <x:v>SRC-009, SRC-054</x:v>
      </x:c>
      <x:c r="M281" s="16" t="str">
        <x:f>IF(C281="待确认","待确认",IF(C281="需修改","需修改",IF(C281="保持独立","已确认",IF(OR(C281="同意合并",C281="使用模板",C281="提取短句"),IF(LEN(TRIM(D281))=0,"缺少标准文字","已确认"),"无效选择"))))</x:f>
        <x:v>待确认</x:v>
      </x:c>
    </x:row>
    <x:row r="282" ht="41" customHeight="1">
      <x:c r="A282" s="16" t="str">
        <x:v>MRG-0276</x:v>
      </x:c>
      <x:c r="B282" s="16" t="str">
        <x:v>Observation</x:v>
      </x:c>
      <x:c r="C282" s="17" t="str">
        <x:v>待确认</x:v>
      </x:c>
      <x:c r="D282" s="17" t="str">
        <x:v>{location}. Paint deterioration.</x:v>
      </x:c>
      <x:c r="E282" s="16" t="str">
        <x:v>位置模板</x:v>
      </x:c>
      <x:c r="F282" s="16" t="str">
        <x:v>核心现象相同，仅开头位置不同。可把位置单独填写；生成报告时须保留位置。</x:v>
      </x:c>
      <x:c r="G282" s="16" t="str">
        <x:v>OBS-0282, OBS-0361</x:v>
      </x:c>
      <x:c r="H282" s="16" t="str">
        <x:v>Front of property. Paint deterioration.</x:v>
      </x:c>
      <x:c r="I282" s="16" t="str">
        <x:v>Left hand side verandah facing front entrance. Paint deterioration.</x:v>
      </x:c>
      <x:c r="J282" s="17" t="str">
        <x:v>location：现场位置</x:v>
      </x:c>
      <x:c r="K282" s="17" t="str"/>
      <x:c r="L282" s="16" t="str">
        <x:v>SRC-058, SRC-060</x:v>
      </x:c>
      <x:c r="M282" s="16" t="str">
        <x:f>IF(C282="待确认","待确认",IF(C282="需修改","需修改",IF(C282="保持独立","已确认",IF(OR(C282="同意合并",C282="使用模板",C282="提取短句"),IF(LEN(TRIM(D282))=0,"缺少标准文字","已确认"),"无效选择"))))</x:f>
        <x:v>待确认</x:v>
      </x:c>
    </x:row>
    <x:row r="283" ht="41" customHeight="1">
      <x:c r="A283" s="16" t="str">
        <x:v>MRG-0277</x:v>
      </x:c>
      <x:c r="B283" s="16" t="str">
        <x:v>Observation</x:v>
      </x:c>
      <x:c r="C283" s="17" t="str">
        <x:v>待确认</x:v>
      </x:c>
      <x:c r="D283" s="17" t="str">
        <x:v>{location}. Salt staining on purlins and rafters.</x:v>
      </x:c>
      <x:c r="E283" s="16" t="str">
        <x:v>位置模板</x:v>
      </x:c>
      <x:c r="F283" s="16" t="str">
        <x:v>核心现象相同，仅开头位置不同。可把位置单独填写；生成报告时须保留位置。</x:v>
      </x:c>
      <x:c r="G283" s="16" t="str">
        <x:v>OBS-0354, OBS-0496</x:v>
      </x:c>
      <x:c r="H283" s="16" t="str">
        <x:v>Left hand side of house facing the entrance. Salt staining on purlins and rafters.</x:v>
      </x:c>
      <x:c r="I283" s="16" t="str">
        <x:v>Right hand side of house facing the entrance. Salt staining on purlins and rafters.</x:v>
      </x:c>
      <x:c r="J283" s="17" t="str">
        <x:v>location：现场位置</x:v>
      </x:c>
      <x:c r="K283" s="17" t="str"/>
      <x:c r="L283" s="16" t="str">
        <x:v>SRC-053</x:v>
      </x:c>
      <x:c r="M283" s="16" t="str">
        <x:f>IF(C283="待确认","待确认",IF(C283="需修改","需修改",IF(C283="保持独立","已确认",IF(OR(C283="同意合并",C283="使用模板",C283="提取短句"),IF(LEN(TRIM(D283))=0,"缺少标准文字","已确认"),"无效选择"))))</x:f>
        <x:v>待确认</x:v>
      </x:c>
    </x:row>
    <x:row r="284" ht="41" customHeight="1">
      <x:c r="A284" s="16" t="str">
        <x:v>MRG-0278</x:v>
      </x:c>
      <x:c r="B284" s="16" t="str">
        <x:v>Observation</x:v>
      </x:c>
      <x:c r="C284" s="17" t="str">
        <x:v>待确认</x:v>
      </x:c>
      <x:c r="D284" s="17" t="str">
        <x:v>{location}. Spalling and exposed reinforcement.</x:v>
      </x:c>
      <x:c r="E284" s="16" t="str">
        <x:v>位置模板</x:v>
      </x:c>
      <x:c r="F284" s="16" t="str">
        <x:v>核心现象相同，仅开头位置不同。可把位置单独填写；生成报告时须保留位置。</x:v>
      </x:c>
      <x:c r="G284" s="16" t="str">
        <x:v>OBS-0359, OBS-0487</x:v>
      </x:c>
      <x:c r="H284" s="16" t="str">
        <x:v>Left hand side staircase facing front entrance. Spalling and exposed reinforcement.</x:v>
      </x:c>
      <x:c r="I284" s="16" t="str">
        <x:v>Right hand side of back balcony facing front entrance. Spalling and exposed reinforcement.</x:v>
      </x:c>
      <x:c r="J284" s="17" t="str">
        <x:v>location：现场位置</x:v>
      </x:c>
      <x:c r="K284" s="17" t="str"/>
      <x:c r="L284" s="16" t="str">
        <x:v>SRC-096</x:v>
      </x:c>
      <x:c r="M284" s="16" t="str">
        <x:f>IF(C284="待确认","待确认",IF(C284="需修改","需修改",IF(C284="保持独立","已确认",IF(OR(C284="同意合并",C284="使用模板",C284="提取短句"),IF(LEN(TRIM(D284))=0,"缺少标准文字","已确认"),"无效选择"))))</x:f>
        <x:v>待确认</x:v>
      </x:c>
    </x:row>
    <x:row r="285" ht="41" customHeight="1">
      <x:c r="A285" s="16" t="str">
        <x:v>MRG-0279</x:v>
      </x:c>
      <x:c r="B285" s="16" t="str">
        <x:v>Observation</x:v>
      </x:c>
      <x:c r="C285" s="17" t="str">
        <x:v>待确认</x:v>
      </x:c>
      <x:c r="D285" s="17" t="str">
        <x:v>{location}. Tek screws and flange of top-hat corroded away.</x:v>
      </x:c>
      <x:c r="E285" s="16" t="str">
        <x:v>位置模板</x:v>
      </x:c>
      <x:c r="F285" s="16" t="str">
        <x:v>核心现象相同，仅开头位置不同。可把位置单独填写；生成报告时须保留位置。</x:v>
      </x:c>
      <x:c r="G285" s="16" t="str">
        <x:v>OBS-0367, OBS-0511</x:v>
      </x:c>
      <x:c r="H285" s="16" t="str">
        <x:v>Left-hand side facing front of house. Tek screws and flange of top-hat corroded away.</x:v>
      </x:c>
      <x:c r="I285" s="16" t="str">
        <x:v>Right-hand side corner facing back wall of house. Tek screws and flange of top-hat corroded away.</x:v>
      </x:c>
      <x:c r="J285" s="17" t="str">
        <x:v>location：现场位置</x:v>
      </x:c>
      <x:c r="K285" s="17" t="str"/>
      <x:c r="L285" s="16" t="str">
        <x:v>SRC-015</x:v>
      </x:c>
      <x:c r="M285" s="16" t="str">
        <x:f>IF(C285="待确认","待确认",IF(C285="需修改","需修改",IF(C285="保持独立","已确认",IF(OR(C285="同意合并",C285="使用模板",C285="提取短句"),IF(LEN(TRIM(D285))=0,"缺少标准文字","已确认"),"无效选择"))))</x:f>
        <x:v>待确认</x:v>
      </x:c>
    </x:row>
    <x:row r="286" ht="55" customHeight="1">
      <x:c r="A286" s="16" t="str">
        <x:v>MRG-0280</x:v>
      </x:c>
      <x:c r="B286" s="16" t="str">
        <x:v>Recommendation</x:v>
      </x:c>
      <x:c r="C286" s="17" t="str">
        <x:v>待确认</x:v>
      </x:c>
      <x:c r="D286" s="17" t="str">
        <x:v>Remove salt staining.</x:v>
      </x:c>
      <x:c r="E286" s="16" t="str">
        <x:v>同义表达核对</x:v>
      </x:c>
      <x:c r="F286" s="16" t="str">
        <x:v>清除盐渍的措辞不同，可考虑统一。含 all 或附加处理措施的建议仍单独保留。 其余完整描述见确认项明细。</x:v>
      </x:c>
      <x:c r="G286" s="16" t="str">
        <x:v>REC-0004, REC-0008, REC-0009</x:v>
      </x:c>
      <x:c r="H286" s="16" t="str">
        <x:v>Remove salt staining.</x:v>
      </x:c>
      <x:c r="I286" s="16" t="str">
        <x:v>Clean off salt staining.</x:v>
      </x:c>
      <x:c r="J286" s="17" t="str"/>
      <x:c r="K286" s="17" t="str"/>
      <x:c r="L286" s="16" t="str">
        <x:v>SRC-001, SRC-002, SRC-005, SRC-008, SRC-011, SRC-024, SRC-026, SRC-028, SRC-050, SRC-052, SRC-056, SRC-058, SRC-059, SRC-060</x:v>
      </x:c>
      <x:c r="M286" s="16" t="str">
        <x:f>IF(C286="待确认","待确认",IF(C286="需修改","需修改",IF(C286="保持独立","已确认",IF(OR(C286="同意合并",C286="使用模板",C286="提取短句"),IF(LEN(TRIM(D286))=0,"缺少标准文字","已确认"),"无效选择"))))</x:f>
        <x:v>待确认</x:v>
      </x:c>
    </x:row>
    <x:row r="287" ht="125" customHeight="1">
      <x:c r="A287" s="16" t="str">
        <x:v>MRG-0281</x:v>
      </x:c>
      <x:c r="B287" s="16" t="str">
        <x:v>Recommendation</x:v>
      </x:c>
      <x:c r="C287" s="17" t="str">
        <x:v>待确认</x:v>
      </x:c>
      <x:c r="D287" s="17" t="str">
        <x:v>Clean, wire brush and repaint.</x:v>
      </x:c>
      <x:c r="E287" s="16" t="str">
        <x:v>提取复用短句</x:v>
      </x:c>
      <x:c r="F287" s="16" t="str">
        <x:v>可把此句做成复用措施。仅提取短句，完整建议中的其他措施、条件和引用均须保留。 其余完整描述见确认项明细。</x:v>
      </x:c>
      <x:c r="G287" s="16" t="str">
        <x:v>REC-0001, REC-0011, REC-0026, REC-0079, REC-0080, REC-0081, REC-0082, REC-0083, REC-0092</x:v>
      </x:c>
      <x:c r="H287" s="16" t="str">
        <x:v>Clean, wire brush and repaint.</x:v>
      </x:c>
      <x:c r="I287" s="16" t="str">
        <x:v>Clean, wire brush and repaint.</x:v>
      </x:c>
      <x:c r="J287" s="17" t="str"/>
      <x:c r="K287" s="17" t="str"/>
      <x:c r="L287" s="16" t="str">
        <x:v>SRC-001, SRC-002, SRC-003, SRC-004, SRC-008, SRC-009, SRC-010, SRC-013, SRC-014, SRC-023, SRC-024, SRC-025, SRC-026, SRC-027, SRC-028, SRC-029, SRC-048, SRC-049, SRC-050, SRC-054, SRC-051, SRC-052, SRC-055, SRC-056, SRC-057, SRC-058, SRC-059, SRC-060, SRC-061, SRC-062, SRC-065, SRC-068, SRC-069, SRC-098, SRC-099</x:v>
      </x:c>
      <x:c r="M287" s="16" t="str">
        <x:f>IF(C287="待确认","待确认",IF(C287="需修改","需修改",IF(C287="保持独立","已确认",IF(OR(C287="同意合并",C287="使用模板",C287="提取短句"),IF(LEN(TRIM(D287))=0,"缺少标准文字","已确认"),"无效选择"))))</x:f>
        <x:v>待确认</x:v>
      </x:c>
    </x:row>
    <x:row r="288" ht="55" customHeight="1">
      <x:c r="A288" s="16" t="str">
        <x:v>MRG-0282</x:v>
      </x:c>
      <x:c r="B288" s="16" t="str">
        <x:v>Recommendation</x:v>
      </x:c>
      <x:c r="C288" s="17" t="str">
        <x:v>待确认</x:v>
      </x:c>
      <x:c r="D288" s="17" t="str">
        <x:v>Clean, remove corrosion and repaint.</x:v>
      </x:c>
      <x:c r="E288" s="16" t="str">
        <x:v>提取复用短句</x:v>
      </x:c>
      <x:c r="F288" s="16" t="str">
        <x:v>可把此句做成复用措施。仅提取短句，完整建议中的其他措施、条件和引用均须保留。 其余完整描述见确认项明细。</x:v>
      </x:c>
      <x:c r="G288" s="16" t="str">
        <x:v>REC-0002, REC-0045, REC-0065, REC-0066, REC-0067, REC-0068, REC-0093, REC-0094, REC-0096, REC-0107</x:v>
      </x:c>
      <x:c r="H288" s="16" t="str">
        <x:v>Clean, remove corrosion and repaint.</x:v>
      </x:c>
      <x:c r="I288" s="16" t="str">
        <x:v>Clean, remove corrosion and repaint.</x:v>
      </x:c>
      <x:c r="J288" s="17" t="str"/>
      <x:c r="K288" s="17" t="str"/>
      <x:c r="L288" s="16" t="str">
        <x:v>SRC-006, SRC-009, SRC-011, SRC-012, SRC-015, SRC-055, SRC-063, SRC-071, SRC-092, SRC-094, SRC-100</x:v>
      </x:c>
      <x:c r="M288" s="16" t="str">
        <x:f>IF(C288="待确认","待确认",IF(C288="需修改","需修改",IF(C288="保持独立","已确认",IF(OR(C288="同意合并",C288="使用模板",C288="提取短句"),IF(LEN(TRIM(D288))=0,"缺少标准文字","已确认"),"无效选择"))))</x:f>
        <x:v>待确认</x:v>
      </x:c>
    </x:row>
    <x:row r="289" ht="41" customHeight="1">
      <x:c r="A289" s="16" t="str">
        <x:v>MRG-0283</x:v>
      </x:c>
      <x:c r="B289" s="16" t="str">
        <x:v>Recommendation</x:v>
      </x:c>
      <x:c r="C289" s="17" t="str">
        <x:v>待确认</x:v>
      </x:c>
      <x:c r="D289" s="17" t="str">
        <x:v>Clean, wire brush and repaint corroded areas.</x:v>
      </x:c>
      <x:c r="E289" s="16" t="str">
        <x:v>提取复用短句</x:v>
      </x:c>
      <x:c r="F289" s="16" t="str">
        <x:v>可把此句做成复用措施。仅提取短句，完整建议中的其他措施、条件和引用均须保留。 其余完整描述见确认项明细。</x:v>
      </x:c>
      <x:c r="G289" s="16" t="str">
        <x:v>REC-0005, REC-0075, REC-0109</x:v>
      </x:c>
      <x:c r="H289" s="16" t="str">
        <x:v>Clean, wire brush and repaint corroded areas.</x:v>
      </x:c>
      <x:c r="I289" s="16" t="str">
        <x:v>Clean, wire brush and repaint corroded areas.</x:v>
      </x:c>
      <x:c r="J289" s="17" t="str"/>
      <x:c r="K289" s="17" t="str"/>
      <x:c r="L289" s="16" t="str">
        <x:v>SRC-011, SRC-024, SRC-026, SRC-028, SRC-050, SRC-056, SRC-060</x:v>
      </x:c>
      <x:c r="M289" s="16" t="str">
        <x:f>IF(C289="待确认","待确认",IF(C289="需修改","需修改",IF(C289="保持独立","已确认",IF(OR(C289="同意合并",C289="使用模板",C289="提取短句"),IF(LEN(TRIM(D289))=0,"缺少标准文字","已确认"),"无效选择"))))</x:f>
        <x:v>待确认</x:v>
      </x:c>
    </x:row>
    <x:row r="290" ht="55" customHeight="1">
      <x:c r="A290" s="16" t="str">
        <x:v>MRG-0284</x:v>
      </x:c>
      <x:c r="B290" s="16" t="str">
        <x:v>Recommendation</x:v>
      </x:c>
      <x:c r="C290" s="17" t="str">
        <x:v>待确认</x:v>
      </x:c>
      <x:c r="D290" s="17" t="str">
        <x:v>Clean and repaint.</x:v>
      </x:c>
      <x:c r="E290" s="16" t="str">
        <x:v>提取复用短句</x:v>
      </x:c>
      <x:c r="F290" s="16" t="str">
        <x:v>可把此句做成复用措施。仅提取短句，完整建议中的其他措施、条件和引用均须保留。 其余完整描述见确认项明细。</x:v>
      </x:c>
      <x:c r="G290" s="16" t="str">
        <x:v>REC-0006, REC-0054, REC-0055, REC-0056, REC-0057, REC-0095</x:v>
      </x:c>
      <x:c r="H290" s="16" t="str">
        <x:v>Clean and repaint.</x:v>
      </x:c>
      <x:c r="I290" s="16" t="str">
        <x:v>Clean and repaint.</x:v>
      </x:c>
      <x:c r="J290" s="17" t="str"/>
      <x:c r="K290" s="17" t="str"/>
      <x:c r="L290" s="16" t="str">
        <x:v>SRC-002, SRC-009, SRC-024, SRC-027, SRC-049, SRC-054, SRC-051, SRC-055, SRC-056, SRC-058, SRC-063</x:v>
      </x:c>
      <x:c r="M290" s="16" t="str">
        <x:f>IF(C290="待确认","待确认",IF(C290="需修改","需修改",IF(C290="保持独立","已确认",IF(OR(C290="同意合并",C290="使用模板",C290="提取短句"),IF(LEN(TRIM(D290))=0,"缺少标准文字","已确认"),"无效选择"))))</x:f>
        <x:v>待确认</x:v>
      </x:c>
    </x:row>
    <x:row r="291" ht="69" customHeight="1">
      <x:c r="A291" s="16" t="str">
        <x:v>MRG-0285</x:v>
      </x:c>
      <x:c r="B291" s="16" t="str">
        <x:v>Recommendation</x:v>
      </x:c>
      <x:c r="C291" s="17" t="str">
        <x:v>待确认</x:v>
      </x:c>
      <x:c r="D291" s="17" t="str">
        <x:v>Undertake appropriate repair stated within Section 3.</x:v>
      </x:c>
      <x:c r="E291" s="16" t="str">
        <x:v>提取复用短句</x:v>
      </x:c>
      <x:c r="F291" s="16" t="str">
        <x:v>可把此句做成复用措施。仅提取短句，完整建议中的其他措施、条件和引用均须保留。 其余完整描述见确认项明细。</x:v>
      </x:c>
      <x:c r="G291" s="16" t="str">
        <x:v>REC-0011, REC-0026, REC-0054, REC-0055, REC-0056, REC-0065, REC-0079, REC-0080, REC-0081, REC-0090, REC-0091</x:v>
      </x:c>
      <x:c r="H291" s="16" t="str">
        <x:v>Undertake appropriate repair stated within Section 3.</x:v>
      </x:c>
      <x:c r="I291" s="16" t="str">
        <x:v>Clean, wire brush and repaint. Excavate all fencing posts to the base and investigate the condition. Undertake appropriate repair stated within Section 3.</x:v>
      </x:c>
      <x:c r="J291" s="17" t="str"/>
      <x:c r="K291" s="17" t="str"/>
      <x:c r="L291" s="16" t="str">
        <x:v>SRC-001, SRC-010, SRC-011, SRC-012, SRC-023, SRC-024, SRC-025, SRC-026, SRC-027, SRC-028, SRC-049, SRC-055, SRC-056, SRC-057, SRC-059, SRC-060</x:v>
      </x:c>
      <x:c r="M291" s="16" t="str">
        <x:f>IF(C291="待确认","待确认",IF(C291="需修改","需修改",IF(C291="保持独立","已确认",IF(OR(C291="同意合并",C291="使用模板",C291="提取短句"),IF(LEN(TRIM(D291))=0,"缺少标准文字","已确认"),"无效选择"))))</x:f>
        <x:v>待确认</x:v>
      </x:c>
    </x:row>
    <x:row r="292" ht="41" customHeight="1">
      <x:c r="A292" s="16" t="str">
        <x:v>MRG-0286</x:v>
      </x:c>
      <x:c r="B292" s="16" t="str">
        <x:v>Recommendation</x:v>
      </x:c>
      <x:c r="C292" s="17" t="str">
        <x:v>待确认</x:v>
      </x:c>
      <x:c r="D292" s="17" t="str">
        <x:v>Clean off salt staining.</x:v>
      </x:c>
      <x:c r="E292" s="16" t="str">
        <x:v>提取复用短句</x:v>
      </x:c>
      <x:c r="F292" s="16" t="str">
        <x:v>可把此句做成复用措施。仅提取短句，完整建议中的其他措施、条件和引用均须保留。 其余完整描述见确认项明细。</x:v>
      </x:c>
      <x:c r="G292" s="16" t="str">
        <x:v>REC-0008, REC-0023</x:v>
      </x:c>
      <x:c r="H292" s="16" t="str">
        <x:v>Clean off salt staining.</x:v>
      </x:c>
      <x:c r="I292" s="16" t="str">
        <x:v>Clean off salt staining.</x:v>
      </x:c>
      <x:c r="J292" s="17" t="str"/>
      <x:c r="K292" s="17" t="str"/>
      <x:c r="L292" s="16" t="str">
        <x:v>SRC-004, SRC-005, SRC-011, SRC-024, SRC-026, SRC-052, SRC-056, SRC-060</x:v>
      </x:c>
      <x:c r="M292" s="16" t="str">
        <x:f>IF(C292="待确认","待确认",IF(C292="需修改","需修改",IF(C292="保持独立","已确认",IF(OR(C292="同意合并",C292="使用模板",C292="提取短句"),IF(LEN(TRIM(D292))=0,"缺少标准文字","已确认"),"无效选择"))))</x:f>
        <x:v>待确认</x:v>
      </x:c>
    </x:row>
    <x:row r="293" ht="41" customHeight="1">
      <x:c r="A293" s="16" t="str">
        <x:v>MRG-0287</x:v>
      </x:c>
      <x:c r="B293" s="16" t="str">
        <x:v>Recommendation</x:v>
      </x:c>
      <x:c r="C293" s="17" t="str">
        <x:v>待确认</x:v>
      </x:c>
      <x:c r="D293" s="17" t="str">
        <x:v>Excavate all fencing posts to the base and investigate the condition.</x:v>
      </x:c>
      <x:c r="E293" s="16" t="str">
        <x:v>提取复用短句</x:v>
      </x:c>
      <x:c r="F293" s="16" t="str">
        <x:v>可把此句做成复用措施。仅提取短句，完整建议中的其他措施、条件和引用均须保留。 其余完整描述见确认项明细。</x:v>
      </x:c>
      <x:c r="G293" s="16" t="str">
        <x:v>REC-0011, REC-0054, REC-0065, REC-0091</x:v>
      </x:c>
      <x:c r="H293" s="16" t="str">
        <x:v>Excavate all fencing posts to the base and investigate the condition.</x:v>
      </x:c>
      <x:c r="I293" s="16" t="str">
        <x:v>Clean, wire brush and repaint. Excavate all fencing posts to the base and investigate the condition. Undertake appropriate repair stated within Section 3.</x:v>
      </x:c>
      <x:c r="J293" s="17" t="str"/>
      <x:c r="K293" s="17" t="str"/>
      <x:c r="L293" s="16" t="str">
        <x:v>SRC-001, SRC-011, SRC-024, SRC-025, SRC-027, SRC-028, SRC-057, SRC-060</x:v>
      </x:c>
      <x:c r="M293" s="16" t="str">
        <x:f>IF(C293="待确认","待确认",IF(C293="需修改","需修改",IF(C293="保持独立","已确认",IF(OR(C293="同意合并",C293="使用模板",C293="提取短句"),IF(LEN(TRIM(D293))=0,"缺少标准文字","已确认"),"无效选择"))))</x:f>
        <x:v>待确认</x:v>
      </x:c>
    </x:row>
    <x:row r="294" ht="41" customHeight="1">
      <x:c r="A294" s="16" t="str">
        <x:v>MRG-0288</x:v>
      </x:c>
      <x:c r="B294" s="16" t="str">
        <x:v>Recommendation</x:v>
      </x:c>
      <x:c r="C294" s="17" t="str">
        <x:v>待确认</x:v>
      </x:c>
      <x:c r="D294" s="17" t="str">
        <x:v>Clean salt staining.</x:v>
      </x:c>
      <x:c r="E294" s="16" t="str">
        <x:v>提取复用短句</x:v>
      </x:c>
      <x:c r="F294" s="16" t="str">
        <x:v>可把此句做成复用措施。仅提取短句，完整建议中的其他措施、条件和引用均须保留。 其余完整描述见确认项明细。</x:v>
      </x:c>
      <x:c r="G294" s="16" t="str">
        <x:v>REC-0009, REC-0075</x:v>
      </x:c>
      <x:c r="H294" s="16" t="str">
        <x:v>Clean salt staining.</x:v>
      </x:c>
      <x:c r="I294" s="16" t="str">
        <x:v>Clean salt staining.</x:v>
      </x:c>
      <x:c r="J294" s="17" t="str"/>
      <x:c r="K294" s="17" t="str"/>
      <x:c r="L294" s="16" t="str">
        <x:v>SRC-001, SRC-024, SRC-028, SRC-050</x:v>
      </x:c>
      <x:c r="M294" s="16" t="str">
        <x:f>IF(C294="待确认","待确认",IF(C294="需修改","需修改",IF(C294="保持独立","已确认",IF(OR(C294="同意合并",C294="使用模板",C294="提取短句"),IF(LEN(TRIM(D294))=0,"缺少标准文字","已确认"),"无效选择"))))</x:f>
        <x:v>待确认</x:v>
      </x:c>
    </x:row>
    <x:row r="295" ht="41" customHeight="1">
      <x:c r="A295" s="16" t="str">
        <x:v>MRG-0289</x:v>
      </x:c>
      <x:c r="B295" s="16" t="str">
        <x:v>Recommendation</x:v>
      </x:c>
      <x:c r="C295" s="17" t="str">
        <x:v>待确认</x:v>
      </x:c>
      <x:c r="D295" s="17" t="str">
        <x:v>Clean all salt staining.</x:v>
      </x:c>
      <x:c r="E295" s="16" t="str">
        <x:v>提取复用短句</x:v>
      </x:c>
      <x:c r="F295" s="16" t="str">
        <x:v>可把此句做成复用措施。仅提取短句，完整建议中的其他措施、条件和引用均须保留。 其余完整描述见确认项明细。</x:v>
      </x:c>
      <x:c r="G295" s="16" t="str">
        <x:v>REC-0013, REC-0050, REC-0086</x:v>
      </x:c>
      <x:c r="H295" s="16" t="str">
        <x:v>Clean all salt staining.</x:v>
      </x:c>
      <x:c r="I295" s="16" t="str">
        <x:v>Clean all salt staining.</x:v>
      </x:c>
      <x:c r="J295" s="17" t="str"/>
      <x:c r="K295" s="17" t="str"/>
      <x:c r="L295" s="16" t="str">
        <x:v>SRC-001, SRC-025, SRC-027, SRC-049</x:v>
      </x:c>
      <x:c r="M295" s="16" t="str">
        <x:f>IF(C295="待确认","待确认",IF(C295="需修改","需修改",IF(C295="保持独立","已确认",IF(OR(C295="同意合并",C295="使用模板",C295="提取短句"),IF(LEN(TRIM(D295))=0,"缺少标准文字","已确认"),"无效选择"))))</x:f>
        <x:v>待确认</x:v>
      </x:c>
    </x:row>
    <x:row r="296" ht="41" customHeight="1">
      <x:c r="A296" s="16" t="str">
        <x:v>MRG-0290</x:v>
      </x:c>
      <x:c r="B296" s="16" t="str">
        <x:v>Recommendation</x:v>
      </x:c>
      <x:c r="C296" s="17" t="str">
        <x:v>待确认</x:v>
      </x:c>
      <x:c r="D296" s="17" t="str">
        <x:v>Repair by Helifix stainless products to stabilise cracked bricks.</x:v>
      </x:c>
      <x:c r="E296" s="16" t="str">
        <x:v>提取复用短句</x:v>
      </x:c>
      <x:c r="F296" s="16" t="str">
        <x:v>可把此句做成复用措施。仅提取短句，完整建议中的其他措施、条件和引用均须保留。 其余完整描述见确认项明细。</x:v>
      </x:c>
      <x:c r="G296" s="16" t="str">
        <x:v>REC-0016, REC-0087</x:v>
      </x:c>
      <x:c r="H296" s="16" t="str">
        <x:v>Repair by Helifix stainless products to stabilise cracked bricks.</x:v>
      </x:c>
      <x:c r="I296" s="16" t="str">
        <x:v>Repair by Helifix stainless products to stabilise cracked bricks.</x:v>
      </x:c>
      <x:c r="J296" s="17" t="str"/>
      <x:c r="K296" s="17" t="str"/>
      <x:c r="L296" s="16" t="str">
        <x:v>SRC-006</x:v>
      </x:c>
      <x:c r="M296" s="16" t="str">
        <x:f>IF(C296="待确认","待确认",IF(C296="需修改","需修改",IF(C296="保持独立","已确认",IF(OR(C296="同意合并",C296="使用模板",C296="提取短句"),IF(LEN(TRIM(D296))=0,"缺少标准文字","已确认"),"无效选择"))))</x:f>
        <x:v>待确认</x:v>
      </x:c>
    </x:row>
    <x:row r="297" ht="41" customHeight="1">
      <x:c r="A297" s="16" t="str">
        <x:v>MRG-0291</x:v>
      </x:c>
      <x:c r="B297" s="16" t="str">
        <x:v>Recommendation</x:v>
      </x:c>
      <x:c r="C297" s="17" t="str">
        <x:v>待确认</x:v>
      </x:c>
      <x:c r="D297" s="17" t="str">
        <x:v>Clean, wire brush, and paint with cold galvanise coating.</x:v>
      </x:c>
      <x:c r="E297" s="16" t="str">
        <x:v>提取复用短句</x:v>
      </x:c>
      <x:c r="F297" s="16" t="str">
        <x:v>可把此句做成复用措施。仅提取短句，完整建议中的其他措施、条件和引用均须保留。 其余完整描述见确认项明细。</x:v>
      </x:c>
      <x:c r="G297" s="16" t="str">
        <x:v>REC-0027, REC-0028</x:v>
      </x:c>
      <x:c r="H297" s="16" t="str">
        <x:v>Clean, wire brush, and paint with cold galvanise coating.</x:v>
      </x:c>
      <x:c r="I297" s="16" t="str">
        <x:v>Clean, wire brush, and paint with cold galvanise coating.</x:v>
      </x:c>
      <x:c r="J297" s="17" t="str"/>
      <x:c r="K297" s="17" t="str"/>
      <x:c r="L297" s="16" t="str">
        <x:v>SRC-029</x:v>
      </x:c>
      <x:c r="M297" s="16" t="str">
        <x:f>IF(C297="待确认","待确认",IF(C297="需修改","需修改",IF(C297="保持独立","已确认",IF(OR(C297="同意合并",C297="使用模板",C297="提取短句"),IF(LEN(TRIM(D297))=0,"缺少标准文字","已确认"),"无效选择"))))</x:f>
        <x:v>待确认</x:v>
      </x:c>
    </x:row>
    <x:row r="298" ht="41" customHeight="1">
      <x:c r="A298" s="16" t="str">
        <x:v>MRG-0292</x:v>
      </x:c>
      <x:c r="B298" s="16" t="str">
        <x:v>Recommendation</x:v>
      </x:c>
      <x:c r="C298" s="17" t="str">
        <x:v>待确认</x:v>
      </x:c>
      <x:c r="D298" s="17" t="str">
        <x:v>Monitor crack length and width periodically.</x:v>
      </x:c>
      <x:c r="E298" s="16" t="str">
        <x:v>提取复用短句</x:v>
      </x:c>
      <x:c r="F298" s="16" t="str">
        <x:v>可把此句做成复用措施。仅提取短句，完整建议中的其他措施、条件和引用均须保留。 其余完整描述见确认项明细。</x:v>
      </x:c>
      <x:c r="G298" s="16" t="str">
        <x:v>REC-0019, REC-0122</x:v>
      </x:c>
      <x:c r="H298" s="16" t="str">
        <x:v>Monitor crack length and width periodically.</x:v>
      </x:c>
      <x:c r="I298" s="16" t="str">
        <x:v>Monitor crack length and width periodically.</x:v>
      </x:c>
      <x:c r="J298" s="17" t="str"/>
      <x:c r="K298" s="17" t="str"/>
      <x:c r="L298" s="16" t="str">
        <x:v>SRC-096</x:v>
      </x:c>
      <x:c r="M298" s="16" t="str">
        <x:f>IF(C298="待确认","待确认",IF(C298="需修改","需修改",IF(C298="保持独立","已确认",IF(OR(C298="同意合并",C298="使用模板",C298="提取短句"),IF(LEN(TRIM(D298))=0,"缺少标准文字","已确认"),"无效选择"))))</x:f>
        <x:v>待确认</x:v>
      </x:c>
    </x:row>
    <x:row r="299" ht="41" customHeight="1">
      <x:c r="A299" s="16" t="str">
        <x:v>MRG-0293</x:v>
      </x:c>
      <x:c r="B299" s="16" t="str">
        <x:v>Recommendation</x:v>
      </x:c>
      <x:c r="C299" s="17" t="str">
        <x:v>待确认</x:v>
      </x:c>
      <x:c r="D299" s="17" t="str">
        <x:v>Replace Tek screws.</x:v>
      </x:c>
      <x:c r="E299" s="16" t="str">
        <x:v>提取复用短句</x:v>
      </x:c>
      <x:c r="F299" s="16" t="str">
        <x:v>可把此句做成复用措施。仅提取短句，完整建议中的其他措施、条件和引用均须保留。 其余完整描述见确认项明细。</x:v>
      </x:c>
      <x:c r="G299" s="16" t="str">
        <x:v>REC-0040, REC-0077, REC-0139</x:v>
      </x:c>
      <x:c r="H299" s="16" t="str">
        <x:v>Replace Tek screws.</x:v>
      </x:c>
      <x:c r="I299" s="16" t="str">
        <x:v>Replace Tek screws. Clean, wire brush and repaint purlins.</x:v>
      </x:c>
      <x:c r="J299" s="17" t="str"/>
      <x:c r="K299" s="17" t="str"/>
      <x:c r="L299" s="16" t="str">
        <x:v>SRC-014, SRC-048</x:v>
      </x:c>
      <x:c r="M299" s="16" t="str">
        <x:f>IF(C299="待确认","待确认",IF(C299="需修改","需修改",IF(C299="保持独立","已确认",IF(OR(C299="同意合并",C299="使用模板",C299="提取短句"),IF(LEN(TRIM(D299))=0,"缺少标准文字","已确认"),"无效选择"))))</x:f>
        <x:v>待确认</x:v>
      </x:c>
    </x:row>
    <x:row r="300" ht="41" customHeight="1">
      <x:c r="A300" s="16" t="str">
        <x:v>MRG-0294</x:v>
      </x:c>
      <x:c r="B300" s="16" t="str">
        <x:v>Recommendation</x:v>
      </x:c>
      <x:c r="C300" s="17" t="str">
        <x:v>待确认</x:v>
      </x:c>
      <x:c r="D300" s="17" t="str">
        <x:v>Clean the area, remove all corrosion, and inspect the remaining steel.</x:v>
      </x:c>
      <x:c r="E300" s="16" t="str">
        <x:v>提取复用短句</x:v>
      </x:c>
      <x:c r="F300" s="16" t="str">
        <x:v>可把此句做成复用措施。仅提取短句，完整建议中的其他措施、条件和引用均须保留。 其余完整描述见确认项明细。</x:v>
      </x:c>
      <x:c r="G300" s="16" t="str">
        <x:v>REC-0024, REC-0060</x:v>
      </x:c>
      <x:c r="H300" s="16" t="str">
        <x:v>Clean the area, remove all corrosion, and inspect the remaining steel.</x:v>
      </x:c>
      <x:c r="I300" s="16" t="str">
        <x:v>Clean the area, remove all corrosion, and inspect the remaining steel. It may require either replacement or repainting.</x:v>
      </x:c>
      <x:c r="J300" s="17" t="str"/>
      <x:c r="K300" s="17" t="str"/>
      <x:c r="L300" s="16" t="str">
        <x:v>SRC-092</x:v>
      </x:c>
      <x:c r="M300" s="16" t="str">
        <x:f>IF(C300="待确认","待确认",IF(C300="需修改","需修改",IF(C300="保持独立","已确认",IF(OR(C300="同意合并",C300="使用模板",C300="提取短句"),IF(LEN(TRIM(D300))=0,"缺少标准文字","已确认"),"无效选择"))))</x:f>
        <x:v>待确认</x:v>
      </x:c>
    </x:row>
    <x:row r="301" ht="41" customHeight="1">
      <x:c r="A301" s="16" t="str">
        <x:v>MRG-0295</x:v>
      </x:c>
      <x:c r="B301" s="16" t="str">
        <x:v>Recommendation</x:v>
      </x:c>
      <x:c r="C301" s="17" t="str">
        <x:v>待确认</x:v>
      </x:c>
      <x:c r="D301" s="17" t="str">
        <x:v>Clean, wire brush and repaint purlins.</x:v>
      </x:c>
      <x:c r="E301" s="16" t="str">
        <x:v>提取复用短句</x:v>
      </x:c>
      <x:c r="F301" s="16" t="str">
        <x:v>可把此句做成复用措施。仅提取短句，完整建议中的其他措施、条件和引用均须保留。 其余完整描述见确认项明细。</x:v>
      </x:c>
      <x:c r="G301" s="16" t="str">
        <x:v>REC-0040, REC-0077</x:v>
      </x:c>
      <x:c r="H301" s="16" t="str">
        <x:v>Clean, wire brush and repaint purlins.</x:v>
      </x:c>
      <x:c r="I301" s="16" t="str">
        <x:v>Replace Tek screws. Clean, wire brush and repaint purlins.</x:v>
      </x:c>
      <x:c r="J301" s="17" t="str"/>
      <x:c r="K301" s="17" t="str"/>
      <x:c r="L301" s="16" t="str">
        <x:v>SRC-014, SRC-048</x:v>
      </x:c>
      <x:c r="M301" s="16" t="str">
        <x:f>IF(C301="待确认","待确认",IF(C301="需修改","需修改",IF(C301="保持独立","已确认",IF(OR(C301="同意合并",C301="使用模板",C301="提取短句"),IF(LEN(TRIM(D301))=0,"缺少标准文字","已确认"),"无效选择"))))</x:f>
        <x:v>待确认</x:v>
      </x:c>
    </x:row>
    <x:row r="302" ht="41" customHeight="1">
      <x:c r="A302" s="16" t="str">
        <x:v>MRG-0296</x:v>
      </x:c>
      <x:c r="B302" s="16" t="str">
        <x:v>Recommendation</x:v>
      </x:c>
      <x:c r="C302" s="17" t="str">
        <x:v>待确认</x:v>
      </x:c>
      <x:c r="D302" s="17" t="str">
        <x:v>Expose the posts base and investigate the condition.</x:v>
      </x:c>
      <x:c r="E302" s="16" t="str">
        <x:v>提取复用短句</x:v>
      </x:c>
      <x:c r="F302" s="16" t="str">
        <x:v>可把此句做成复用措施。仅提取短句，完整建议中的其他措施、条件和引用均须保留。 其余完整描述见确认项明细。</x:v>
      </x:c>
      <x:c r="G302" s="16" t="str">
        <x:v>REC-0026, REC-0057</x:v>
      </x:c>
      <x:c r="H302" s="16" t="str">
        <x:v>Expose the posts base and investigate the condition.</x:v>
      </x:c>
      <x:c r="I302" s="16" t="str">
        <x:v>Clean, wire brush and repaint. Expose the posts base and investigate the condition. Undertake appropriate repair stated within Section 3.</x:v>
      </x:c>
      <x:c r="J302" s="17" t="str"/>
      <x:c r="K302" s="17" t="str"/>
      <x:c r="L302" s="16" t="str">
        <x:v>SRC-010, SRC-051, SRC-059</x:v>
      </x:c>
      <x:c r="M302" s="16" t="str">
        <x:f>IF(C302="待确认","待确认",IF(C302="需修改","需修改",IF(C302="保持独立","已确认",IF(OR(C302="同意合并",C302="使用模板",C302="提取短句"),IF(LEN(TRIM(D302))=0,"缺少标准文字","已确认"),"无效选择"))))</x:f>
        <x:v>待确认</x:v>
      </x:c>
    </x:row>
    <x:row r="303" ht="41" customHeight="1">
      <x:c r="A303" s="16" t="str">
        <x:v>MRG-0297</x:v>
      </x:c>
      <x:c r="B303" s="16" t="str">
        <x:v>Recommendation</x:v>
      </x:c>
      <x:c r="C303" s="17" t="str">
        <x:v>待确认</x:v>
      </x:c>
      <x:c r="D303" s="17" t="str">
        <x:v>It may require either replacement or repainting.</x:v>
      </x:c>
      <x:c r="E303" s="16" t="str">
        <x:v>提取复用短句</x:v>
      </x:c>
      <x:c r="F303" s="16" t="str">
        <x:v>可把此句做成复用措施。仅提取短句，完整建议中的其他措施、条件和引用均须保留。 其余完整描述见确认项明细。</x:v>
      </x:c>
      <x:c r="G303" s="16" t="str">
        <x:v>REC-0024, REC-0060</x:v>
      </x:c>
      <x:c r="H303" s="16" t="str">
        <x:v>It may require either replacement or repainting.</x:v>
      </x:c>
      <x:c r="I303" s="16" t="str">
        <x:v>Clean the area, remove all corrosion, and inspect the remaining steel. It may require either replacement or repainting.</x:v>
      </x:c>
      <x:c r="J303" s="17" t="str"/>
      <x:c r="K303" s="17" t="str"/>
      <x:c r="L303" s="16" t="str">
        <x:v>SRC-092</x:v>
      </x:c>
      <x:c r="M303" s="16" t="str">
        <x:f>IF(C303="待确认","待确认",IF(C303="需修改","需修改",IF(C303="保持独立","已确认",IF(OR(C303="同意合并",C303="使用模板",C303="提取短句"),IF(LEN(TRIM(D303))=0,"缺少标准文字","已确认"),"无效选择"))))</x:f>
        <x:v>待确认</x:v>
      </x:c>
    </x:row>
    <x:row r="304" ht="41" customHeight="1">
      <x:c r="A304" s="16" t="str">
        <x:v>MRG-0298</x:v>
      </x:c>
      <x:c r="B304" s="16" t="str">
        <x:v>Recommendation</x:v>
      </x:c>
      <x:c r="C304" s="17" t="str">
        <x:v>待确认</x:v>
      </x:c>
      <x:c r="D304" s="17" t="str">
        <x:v>Cap purlin holes to prevent water ingress.</x:v>
      </x:c>
      <x:c r="E304" s="16" t="str">
        <x:v>提取复用短句</x:v>
      </x:c>
      <x:c r="F304" s="16" t="str">
        <x:v>可把此句做成复用措施。仅提取短句，完整建议中的其他措施、条件和引用均须保留。 其余完整描述见确认项明细。</x:v>
      </x:c>
      <x:c r="G304" s="16" t="str">
        <x:v>REC-0049, REC-0050</x:v>
      </x:c>
      <x:c r="H304" s="16" t="str">
        <x:v>Cap purlin holes to prevent water ingress.</x:v>
      </x:c>
      <x:c r="I304" s="16" t="str">
        <x:v>Cap purlin holes to prevent water ingress.</x:v>
      </x:c>
      <x:c r="J304" s="17" t="str"/>
      <x:c r="K304" s="17" t="str"/>
      <x:c r="L304" s="16" t="str">
        <x:v>SRC-001, SRC-062</x:v>
      </x:c>
      <x:c r="M304" s="16" t="str">
        <x:f>IF(C304="待确认","待确认",IF(C304="需修改","需修改",IF(C304="保持独立","已确认",IF(OR(C304="同意合并",C304="使用模板",C304="提取短句"),IF(LEN(TRIM(D304))=0,"缺少标准文字","已确认"),"无效选择"))))</x:f>
        <x:v>待确认</x:v>
      </x:c>
    </x:row>
    <x:row r="305" ht="41" customHeight="1">
      <x:c r="A305" s="16" t="str">
        <x:v>MRG-0299</x:v>
      </x:c>
      <x:c r="B305" s="16" t="str">
        <x:v>Recommendation</x:v>
      </x:c>
      <x:c r="C305" s="17" t="str">
        <x:v>待确认</x:v>
      </x:c>
      <x:c r="D305" s="17" t="str">
        <x:v>Cover hole to prevent water ingress.</x:v>
      </x:c>
      <x:c r="E305" s="16" t="str">
        <x:v>提取复用短句</x:v>
      </x:c>
      <x:c r="F305" s="16" t="str">
        <x:v>可把此句做成复用措施。仅提取短句，完整建议中的其他措施、条件和引用均须保留。 其余完整描述见确认项明细。</x:v>
      </x:c>
      <x:c r="G305" s="16" t="str">
        <x:v>REC-0085, REC-0135</x:v>
      </x:c>
      <x:c r="H305" s="16" t="str">
        <x:v>Cover hole to prevent water ingress.</x:v>
      </x:c>
      <x:c r="I305" s="16" t="str">
        <x:v>Cover hole to prevent water ingress.</x:v>
      </x:c>
      <x:c r="J305" s="17" t="str"/>
      <x:c r="K305" s="17" t="str"/>
      <x:c r="L305" s="16" t="str">
        <x:v>SRC-057, SRC-092</x:v>
      </x:c>
      <x:c r="M305" s="16" t="str">
        <x:f>IF(C305="待确认","待确认",IF(C305="需修改","需修改",IF(C305="保持独立","已确认",IF(OR(C305="同意合并",C305="使用模板",C305="提取短句"),IF(LEN(TRIM(D305))=0,"缺少标准文字","已确认"),"无效选择"))))</x:f>
        <x:v>待确认</x:v>
      </x:c>
    </x:row>
    <x:row r="306" ht="41" customHeight="1">
      <x:c r="A306" s="16" t="str">
        <x:v>MRG-0300</x:v>
      </x:c>
      <x:c r="B306" s="16" t="str">
        <x:v>Recommendation</x:v>
      </x:c>
      <x:c r="C306" s="17" t="str">
        <x:v>待确认</x:v>
      </x:c>
      <x:c r="D306" s="17" t="str">
        <x:v>Expose the base and investigate the condition.</x:v>
      </x:c>
      <x:c r="E306" s="16" t="str">
        <x:v>提取复用短句</x:v>
      </x:c>
      <x:c r="F306" s="16" t="str">
        <x:v>可把此句做成复用措施。仅提取短句，完整建议中的其他措施、条件和引用均须保留。 其余完整描述见确认项明细。</x:v>
      </x:c>
      <x:c r="G306" s="16" t="str">
        <x:v>REC-0056, REC-0081</x:v>
      </x:c>
      <x:c r="H306" s="16" t="str">
        <x:v>Expose the base and investigate the condition.</x:v>
      </x:c>
      <x:c r="I306" s="16" t="str">
        <x:v>Clean and repaint. Expose the base and investigate the condition. Undertake appropriate repair stated within Section 3.</x:v>
      </x:c>
      <x:c r="J306" s="17" t="str"/>
      <x:c r="K306" s="17" t="str"/>
      <x:c r="L306" s="16" t="str">
        <x:v>SRC-026, SRC-049</x:v>
      </x:c>
      <x:c r="M306" s="16" t="str">
        <x:f>IF(C306="待确认","待确认",IF(C306="需修改","需修改",IF(C306="保持独立","已确认",IF(OR(C306="同意合并",C306="使用模板",C306="提取短句"),IF(LEN(TRIM(D306))=0,"缺少标准文字","已确认"),"无效选择"))))</x:f>
        <x:v>待确认</x:v>
      </x:c>
    </x:row>
    <x:row r="307" ht="41" customHeight="1">
      <x:c r="A307" s="16" t="str">
        <x:v>MRG-0301</x:v>
      </x:c>
      <x:c r="B307" s="16" t="str">
        <x:v>Recommendation</x:v>
      </x:c>
      <x:c r="C307" s="17" t="str">
        <x:v>待确认</x:v>
      </x:c>
      <x:c r="D307" s="17" t="str">
        <x:v>Monitor cracking.</x:v>
      </x:c>
      <x:c r="E307" s="16" t="str">
        <x:v>提取复用短句</x:v>
      </x:c>
      <x:c r="F307" s="16" t="str">
        <x:v>可把此句做成复用措施。仅提取短句，完整建议中的其他措施、条件和引用均须保留。 其余完整描述见确认项明细。</x:v>
      </x:c>
      <x:c r="G307" s="16" t="str">
        <x:v>REC-0111, REC-0161</x:v>
      </x:c>
      <x:c r="H307" s="16" t="str">
        <x:v>Monitor cracking.</x:v>
      </x:c>
      <x:c r="I307" s="16" t="str">
        <x:v>Monitor cracking.</x:v>
      </x:c>
      <x:c r="J307" s="17" t="str"/>
      <x:c r="K307" s="17" t="str"/>
      <x:c r="L307" s="16" t="str">
        <x:v>SRC-063</x:v>
      </x:c>
      <x:c r="M307" s="16" t="str">
        <x:f>IF(C307="待确认","待确认",IF(C307="需修改","需修改",IF(C307="保持独立","已确认",IF(OR(C307="同意合并",C307="使用模板",C307="提取短句"),IF(LEN(TRIM(D307))=0,"缺少标准文字","已确认"),"无效选择"))))</x:f>
        <x:v>待确认</x:v>
      </x:c>
    </x:row>
    <x:row r="308" ht="41" customHeight="1">
      <x:c r="A308" s="16" t="str">
        <x:v>MRG-0302</x:v>
      </x:c>
      <x:c r="B308" s="16" t="str">
        <x:v>Recommendation</x:v>
      </x:c>
      <x:c r="C308" s="17" t="str">
        <x:v>待确认</x:v>
      </x:c>
      <x:c r="D308" s="17" t="str">
        <x:v>Raise ground level to a minimum 100mm above the bottom of the slab to protect the new slab.</x:v>
      </x:c>
      <x:c r="E308" s="16" t="str">
        <x:v>提取复用短句</x:v>
      </x:c>
      <x:c r="F308" s="16" t="str">
        <x:v>可把此句做成复用措施。仅提取短句，完整建议中的其他措施、条件和引用均须保留。 其余完整描述见确认项明细。</x:v>
      </x:c>
      <x:c r="G308" s="16" t="str">
        <x:v>REC-0115, REC-0134</x:v>
      </x:c>
      <x:c r="H308" s="16" t="str">
        <x:v>Raise ground level to a minimum 100mm above the bottom of the slab to protect the new slab.</x:v>
      </x:c>
      <x:c r="I308" s="16" t="str">
        <x:v>Patch it up and make it good. Raise ground level to a minimum 100mm above the bottom of the slab to protect the new slab.</x:v>
      </x:c>
      <x:c r="J308" s="17" t="str"/>
      <x:c r="K308" s="17" t="str"/>
      <x:c r="L308" s="16" t="str">
        <x:v>SRC-006</x:v>
      </x:c>
      <x:c r="M308" s="16" t="str">
        <x:f>IF(C308="待确认","待确认",IF(C308="需修改","需修改",IF(C308="保持独立","已确认",IF(OR(C308="同意合并",C308="使用模板",C308="提取短句"),IF(LEN(TRIM(D308))=0,"缺少标准文字","已确认"),"无效选择"))))</x:f>
        <x:v>待确认</x:v>
      </x:c>
    </x:row>
    <x:row r="309" ht="41" customHeight="1">
      <x:c r="A309" s="16" t="str">
        <x:v>MRG-0303</x:v>
      </x:c>
      <x:c r="B309" s="16" t="str">
        <x:v>Recommendation</x:v>
      </x:c>
      <x:c r="C309" s="17" t="str">
        <x:v>待确认</x:v>
      </x:c>
      <x:c r="D309" s="17" t="str">
        <x:v>Refer to Section 3 for repair methodology.</x:v>
      </x:c>
      <x:c r="E309" s="16" t="str">
        <x:v>提取复用短句</x:v>
      </x:c>
      <x:c r="F309" s="16" t="str">
        <x:v>可把此句做成复用措施。仅提取短句，完整建议中的其他措施、条件和引用均须保留。 其余完整描述见确认项明细。</x:v>
      </x:c>
      <x:c r="G309" s="16" t="str">
        <x:v>REC-0121, REC-0122</x:v>
      </x:c>
      <x:c r="H309" s="16" t="str">
        <x:v>Refer to Section 3 for repair methodology.</x:v>
      </x:c>
      <x:c r="I309" s="16" t="str">
        <x:v>Refer to Section 3 for repair methodology.</x:v>
      </x:c>
      <x:c r="J309" s="17" t="str"/>
      <x:c r="K309" s="17" t="str"/>
      <x:c r="L309" s="16" t="str">
        <x:v>SRC-096</x:v>
      </x:c>
      <x:c r="M309" s="16" t="str">
        <x:f>IF(C309="待确认","待确认",IF(C309="需修改","需修改",IF(C309="保持独立","已确认",IF(OR(C309="同意合并",C309="使用模板",C309="提取短句"),IF(LEN(TRIM(D309))=0,"缺少标准文字","已确认"),"无效选择"))))</x:f>
        <x:v>待确认</x:v>
      </x:c>
    </x:row>
  </x:sheetData>
  <x:conditionalFormatting sqref="M7:M309">
    <x:cfRule type="containsText" dxfId="0" priority="1" operator="containsText" text="缺少"/>
    <x:cfRule type="containsText" dxfId="1" priority="2" operator="containsText" text="无效"/>
  </x:conditionalFormatting>
  <x:dataValidations count="1">
    <x:dataValidation type="list" sqref="C7:C309">
      <x:formula1>"待确认,同意合并,保持独立,使用模板,提取短句,需修改"</x:formula1>
    </x:dataValidation>
  </x:dataValidations>
  <x:pageMargins left="0.7" right="0.7" top="0.75" bottom="0.75" header="0.3" footer="0.3"/>
  <x:tableParts count="1">
    <x:tablePart xmlns:r="http://schemas.openxmlformats.org/officeDocument/2006/relationships" r:id="Rc9004977c32f4a79"/>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19" hidden="0" customWidth="1"/>
    <x:col min="3" max="3" width="15" hidden="0" customWidth="1"/>
    <x:col min="4" max="4" width="108" hidden="0" customWidth="1"/>
    <x:col min="5" max="5" width="13" hidden="0" customWidth="1"/>
    <x:col min="6" max="6" width="52" hidden="0" customWidth="1"/>
  </x:cols>
  <x:sheetData>
    <x:row r="2" ht="27" customHeight="1">
      <x:c r="A2" s="5" t="str">
        <x:v>确认项完整描述</x:v>
      </x:c>
      <x:c r="B2" s="2"/>
      <x:c r="C2" s="2"/>
      <x:c r="D2" s="2"/>
      <x:c r="E2" s="2"/>
      <x:c r="F2" s="2"/>
    </x:row>
    <x:row r="3" ht="23" customHeight="1">
      <x:c r="A3" s="6" t="str">
        <x:v>每条变体单独一行。按合并项编号筛选；这里保留整理时的完整描述快照，修改标准文字请到文字库或待确认合并页。</x:v>
      </x:c>
      <x:c r="B3" s="2"/>
      <x:c r="C3" s="2"/>
      <x:c r="D3" s="2"/>
      <x:c r="E3" s="2"/>
      <x:c r="F3" s="2"/>
    </x:row>
    <x:row r="4" ht="23" customHeight="1">
      <x:c r="A4" s="7"/>
      <x:c r="B4" s="2"/>
      <x:c r="C4" s="2"/>
      <x:c r="D4" s="2"/>
      <x:c r="E4" s="2"/>
      <x:c r="F4" s="2"/>
    </x:row>
    <x:row r="5" ht="8" customHeight="1">
      <x:c r="A5" s="2"/>
      <x:c r="B5" s="2"/>
      <x:c r="C5" s="2"/>
      <x:c r="D5" s="2"/>
      <x:c r="E5" s="2"/>
      <x:c r="F5" s="2"/>
    </x:row>
    <x:row r="6" ht="34" customHeight="1">
      <x:c r="A6" s="12" t="str">
        <x:v>合并项编号</x:v>
      </x:c>
      <x:c r="B6" s="13" t="str">
        <x:v>类别</x:v>
      </x:c>
      <x:c r="C6" s="13" t="str">
        <x:v>词条编号</x:v>
      </x:c>
      <x:c r="D6" s="13" t="str">
        <x:v>完整描述快照</x:v>
      </x:c>
      <x:c r="E6" s="13" t="str">
        <x:v>使用次数</x:v>
      </x:c>
      <x:c r="F6" s="14" t="str">
        <x:v>来源编号</x:v>
      </x:c>
    </x:row>
    <x:row r="7" ht="37" customHeight="1">
      <x:c r="A7" s="16" t="str">
        <x:v>MRG-0001</x:v>
      </x:c>
      <x:c r="B7" s="16" t="str">
        <x:v>Observation</x:v>
      </x:c>
      <x:c r="C7" s="16" t="str">
        <x:v>OBS-0275</x:v>
      </x:c>
      <x:c r="D7" s="16" t="str">
        <x:v>Front of property. Cladding and framing in good condition. Discoloration of paint in some areas.</x:v>
      </x:c>
      <x:c r="E7" s="19" t="n">
        <x:v>1</x:v>
      </x:c>
      <x:c r="F7" s="16" t="str">
        <x:v>SRC-050</x:v>
      </x:c>
    </x:row>
    <x:row r="8" ht="37" customHeight="1">
      <x:c r="A8" s="16" t="str">
        <x:v>MRG-0001</x:v>
      </x:c>
      <x:c r="B8" s="16" t="str">
        <x:v>Observation</x:v>
      </x:c>
      <x:c r="C8" s="16" t="str">
        <x:v>OBS-0276</x:v>
      </x:c>
      <x:c r="D8" s="16" t="str">
        <x:v>Front of property. Cladding and framing in good condition. Discolouration of paint in some areas.</x:v>
      </x:c>
      <x:c r="E8" s="19" t="n">
        <x:v>1</x:v>
      </x:c>
      <x:c r="F8" s="16" t="str">
        <x:v>SRC-028</x:v>
      </x:c>
    </x:row>
    <x:row r="9" ht="37" customHeight="1">
      <x:c r="A9" s="16" t="str">
        <x:v>MRG-0002</x:v>
      </x:c>
      <x:c r="B9" s="16" t="str">
        <x:v>Observation</x:v>
      </x:c>
      <x:c r="C9" s="16" t="str">
        <x:v>OBS-0374</x:v>
      </x:c>
      <x:c r="D9" s="16" t="str">
        <x:v>Minor Cracking of mortar. Crack originates from ground level and tapers towards column.</x:v>
      </x:c>
      <x:c r="E9" s="19" t="n">
        <x:v>1</x:v>
      </x:c>
      <x:c r="F9" s="16" t="str">
        <x:v>SRC-011</x:v>
      </x:c>
    </x:row>
    <x:row r="10" ht="37" customHeight="1">
      <x:c r="A10" s="16" t="str">
        <x:v>MRG-0002</x:v>
      </x:c>
      <x:c r="B10" s="16" t="str">
        <x:v>Observation</x:v>
      </x:c>
      <x:c r="C10" s="16" t="str">
        <x:v>OBS-0375</x:v>
      </x:c>
      <x:c r="D10" s="16" t="str">
        <x:v>Minor Cracking of mortar. Crack originates from ground level and tapers towards columns.</x:v>
      </x:c>
      <x:c r="E10" s="19" t="n">
        <x:v>1</x:v>
      </x:c>
      <x:c r="F10" s="16" t="str">
        <x:v>SRC-011</x:v>
      </x:c>
    </x:row>
    <x:row r="11" ht="41" customHeight="1">
      <x:c r="A11" s="16" t="str">
        <x:v>MRG-0003</x:v>
      </x:c>
      <x:c r="B11" s="16" t="str">
        <x:v>Observation</x:v>
      </x:c>
      <x:c r="C11" s="16" t="str">
        <x:v>OBS-0457</x:v>
      </x:c>
      <x:c r="D11" s="16" t="str">
        <x:v>Pier 7. Severe corrosion at support location. Expansion of steel due to corrosion causing brickwork to crack.</x:v>
      </x:c>
      <x:c r="E11" s="19" t="n">
        <x:v>1</x:v>
      </x:c>
      <x:c r="F11" s="16" t="str">
        <x:v>SRC-006</x:v>
      </x:c>
    </x:row>
    <x:row r="12" ht="41" customHeight="1">
      <x:c r="A12" s="16" t="str">
        <x:v>MRG-0003</x:v>
      </x:c>
      <x:c r="B12" s="16" t="str">
        <x:v>Observation</x:v>
      </x:c>
      <x:c r="C12" s="16" t="str">
        <x:v>OBS-0459</x:v>
      </x:c>
      <x:c r="D12" s="16" t="str">
        <x:v>Pier 8. Severe corrosion at support location. Expansion of steel due to corrosion causing brickwork to crack.</x:v>
      </x:c>
      <x:c r="E12" s="19" t="n">
        <x:v>1</x:v>
      </x:c>
      <x:c r="F12" s="16" t="str">
        <x:v>SRC-006</x:v>
      </x:c>
    </x:row>
    <x:row r="13" ht="37" customHeight="1">
      <x:c r="A13" s="16" t="str">
        <x:v>MRG-0004</x:v>
      </x:c>
      <x:c r="B13" s="16" t="str">
        <x:v>Observation</x:v>
      </x:c>
      <x:c r="C13" s="16" t="str">
        <x:v>OBS-0021</x:v>
      </x:c>
      <x:c r="D13" s="16" t="str">
        <x:v>Back verandah columns in good condition.</x:v>
      </x:c>
      <x:c r="E13" s="19" t="n">
        <x:v>3</x:v>
      </x:c>
      <x:c r="F13" s="16" t="str">
        <x:v>SRC-011, SRC-026, SRC-060</x:v>
      </x:c>
    </x:row>
    <x:row r="14" ht="37" customHeight="1">
      <x:c r="A14" s="16" t="str">
        <x:v>MRG-0004</x:v>
      </x:c>
      <x:c r="B14" s="16" t="str">
        <x:v>Observation</x:v>
      </x:c>
      <x:c r="C14" s="16" t="str">
        <x:v>OBS-0109</x:v>
      </x:c>
      <x:c r="D14" s="16" t="str">
        <x:v>Back verandah column in good condition.</x:v>
      </x:c>
      <x:c r="E14" s="19" t="n">
        <x:v>1</x:v>
      </x:c>
      <x:c r="F14" s="16" t="str">
        <x:v>SRC-052</x:v>
      </x:c>
    </x:row>
    <x:row r="15" ht="37" customHeight="1">
      <x:c r="A15" s="16" t="str">
        <x:v>MRG-0005</x:v>
      </x:c>
      <x:c r="B15" s="16" t="str">
        <x:v>Observation</x:v>
      </x:c>
      <x:c r="C15" s="16" t="str">
        <x:v>OBS-0051</x:v>
      </x:c>
      <x:c r="D15" s="16" t="str">
        <x:v>Front verandah column in good condition.</x:v>
      </x:c>
      <x:c r="E15" s="19" t="n">
        <x:v>2</x:v>
      </x:c>
      <x:c r="F15" s="16" t="str">
        <x:v>SRC-050, SRC-052</x:v>
      </x:c>
    </x:row>
    <x:row r="16" ht="37" customHeight="1">
      <x:c r="A16" s="16" t="str">
        <x:v>MRG-0005</x:v>
      </x:c>
      <x:c r="B16" s="16" t="str">
        <x:v>Observation</x:v>
      </x:c>
      <x:c r="C16" s="16" t="str">
        <x:v>OBS-0299</x:v>
      </x:c>
      <x:c r="D16" s="16" t="str">
        <x:v>Front verandah. Columns in good condition.</x:v>
      </x:c>
      <x:c r="E16" s="19" t="n">
        <x:v>1</x:v>
      </x:c>
      <x:c r="F16" s="16" t="str">
        <x:v>SRC-053</x:v>
      </x:c>
    </x:row>
    <x:row r="17" ht="37" customHeight="1">
      <x:c r="A17" s="16" t="str">
        <x:v>MRG-0006</x:v>
      </x:c>
      <x:c r="B17" s="16" t="str">
        <x:v>Observation</x:v>
      </x:c>
      <x:c r="C17" s="16" t="str">
        <x:v>OBS-0523</x:v>
      </x:c>
      <x:c r="D17" s="16" t="str">
        <x:v>Row 1 Column 2. Minor corrosion and salt staining at lower portion of column.</x:v>
      </x:c>
      <x:c r="E17" s="19" t="n">
        <x:v>1</x:v>
      </x:c>
      <x:c r="F17" s="16" t="str">
        <x:v>SRC-059</x:v>
      </x:c>
    </x:row>
    <x:row r="18" ht="37" customHeight="1">
      <x:c r="A18" s="16" t="str">
        <x:v>MRG-0006</x:v>
      </x:c>
      <x:c r="B18" s="16" t="str">
        <x:v>Observation</x:v>
      </x:c>
      <x:c r="C18" s="16" t="str">
        <x:v>OBS-0529</x:v>
      </x:c>
      <x:c r="D18" s="16" t="str">
        <x:v>Row 2 Column 2. Minor corrosion and salt staining at lower portion of column.</x:v>
      </x:c>
      <x:c r="E18" s="19" t="n">
        <x:v>1</x:v>
      </x:c>
      <x:c r="F18" s="16" t="str">
        <x:v>SRC-055</x:v>
      </x:c>
    </x:row>
    <x:row r="19" ht="37" customHeight="1">
      <x:c r="A19" s="16" t="str">
        <x:v>MRG-0007</x:v>
      </x:c>
      <x:c r="B19" s="16" t="str">
        <x:v>Observation</x:v>
      </x:c>
      <x:c r="C19" s="16" t="str">
        <x:v>OBS-0590</x:v>
      </x:c>
      <x:c r="D19" s="16" t="str">
        <x:v>Table 1. Images below. Typical severe corrosion to all tables and baseplates.</x:v>
      </x:c>
      <x:c r="E19" s="19" t="n">
        <x:v>1</x:v>
      </x:c>
      <x:c r="F19" s="16" t="str">
        <x:v>SRC-092</x:v>
      </x:c>
    </x:row>
    <x:row r="20" ht="37" customHeight="1">
      <x:c r="A20" s="16" t="str">
        <x:v>MRG-0007</x:v>
      </x:c>
      <x:c r="B20" s="16" t="str">
        <x:v>Observation</x:v>
      </x:c>
      <x:c r="C20" s="16" t="str">
        <x:v>OBS-0591</x:v>
      </x:c>
      <x:c r="D20" s="16" t="str">
        <x:v>Table 2. Images below. Typical severe corrosion to all tables and baseplates.</x:v>
      </x:c>
      <x:c r="E20" s="19" t="n">
        <x:v>1</x:v>
      </x:c>
      <x:c r="F20" s="16" t="str">
        <x:v>SRC-092</x:v>
      </x:c>
    </x:row>
    <x:row r="21" ht="37" customHeight="1">
      <x:c r="A21" s="16" t="str">
        <x:v>MRG-0008</x:v>
      </x:c>
      <x:c r="B21" s="16" t="str">
        <x:v>Observation</x:v>
      </x:c>
      <x:c r="C21" s="16" t="str">
        <x:v>OBS-0193</x:v>
      </x:c>
      <x:c r="D21" s="16" t="str">
        <x:v>Column 2. Corrosion delamination towards the lower section of column.</x:v>
      </x:c>
      <x:c r="E21" s="19" t="n">
        <x:v>1</x:v>
      </x:c>
      <x:c r="F21" s="16" t="str">
        <x:v>SRC-092</x:v>
      </x:c>
    </x:row>
    <x:row r="22" ht="37" customHeight="1">
      <x:c r="A22" s="16" t="str">
        <x:v>MRG-0008</x:v>
      </x:c>
      <x:c r="B22" s="16" t="str">
        <x:v>Observation</x:v>
      </x:c>
      <x:c r="C22" s="16" t="str">
        <x:v>OBS-0198</x:v>
      </x:c>
      <x:c r="D22" s="16" t="str">
        <x:v>Column 3. Corrosion delamination towards the lower section of column.</x:v>
      </x:c>
      <x:c r="E22" s="19" t="n">
        <x:v>1</x:v>
      </x:c>
      <x:c r="F22" s="16" t="str">
        <x:v>SRC-092</x:v>
      </x:c>
    </x:row>
    <x:row r="23" ht="37" customHeight="1">
      <x:c r="A23" s="16" t="str">
        <x:v>MRG-0009</x:v>
      </x:c>
      <x:c r="B23" s="16" t="str">
        <x:v>Observation</x:v>
      </x:c>
      <x:c r="C23" s="16" t="str">
        <x:v>OBS-0205</x:v>
      </x:c>
      <x:c r="D23" s="16" t="str">
        <x:v>Column 5 from the left-hand side. Staining and paint deterioration.</x:v>
      </x:c>
      <x:c r="E23" s="19" t="n">
        <x:v>1</x:v>
      </x:c>
      <x:c r="F23" s="16" t="str">
        <x:v>SRC-015</x:v>
      </x:c>
    </x:row>
    <x:row r="24" ht="37" customHeight="1">
      <x:c r="A24" s="16" t="str">
        <x:v>MRG-0009</x:v>
      </x:c>
      <x:c r="B24" s="16" t="str">
        <x:v>Observation</x:v>
      </x:c>
      <x:c r="C24" s="16" t="str">
        <x:v>OBS-0206</x:v>
      </x:c>
      <x:c r="D24" s="16" t="str">
        <x:v>Column 6 from the left-hand side. Staining and paint deterioration.</x:v>
      </x:c>
      <x:c r="E24" s="19" t="n">
        <x:v>1</x:v>
      </x:c>
      <x:c r="F24" s="16" t="str">
        <x:v>SRC-015</x:v>
      </x:c>
    </x:row>
    <x:row r="25" ht="37" customHeight="1">
      <x:c r="A25" s="16" t="str">
        <x:v>MRG-0010</x:v>
      </x:c>
      <x:c r="B25" s="16" t="str">
        <x:v>Observation</x:v>
      </x:c>
      <x:c r="C25" s="16" t="str">
        <x:v>OBS-0287</x:v>
      </x:c>
      <x:c r="D25" s="16" t="str">
        <x:v>Front verandah Column 1. Minor corrosion at the top column connection.</x:v>
      </x:c>
      <x:c r="E25" s="19" t="n">
        <x:v>1</x:v>
      </x:c>
      <x:c r="F25" s="16" t="str">
        <x:v>SRC-009</x:v>
      </x:c>
    </x:row>
    <x:row r="26" ht="37" customHeight="1">
      <x:c r="A26" s="16" t="str">
        <x:v>MRG-0010</x:v>
      </x:c>
      <x:c r="B26" s="16" t="str">
        <x:v>Observation</x:v>
      </x:c>
      <x:c r="C26" s="16" t="str">
        <x:v>OBS-0288</x:v>
      </x:c>
      <x:c r="D26" s="16" t="str">
        <x:v>Front verandah Column 2. Minor corrosion at the top column connection.</x:v>
      </x:c>
      <x:c r="E26" s="19" t="n">
        <x:v>1</x:v>
      </x:c>
      <x:c r="F26" s="16" t="str">
        <x:v>SRC-009</x:v>
      </x:c>
    </x:row>
    <x:row r="27" ht="37" customHeight="1">
      <x:c r="A27" s="16" t="str">
        <x:v>MRG-0011</x:v>
      </x:c>
      <x:c r="B27" s="16" t="str">
        <x:v>Observation</x:v>
      </x:c>
      <x:c r="C27" s="16" t="str">
        <x:v>OBS-0287</x:v>
      </x:c>
      <x:c r="D27" s="16" t="str">
        <x:v>Front verandah Column 1. Minor corrosion at the top column connection.</x:v>
      </x:c>
      <x:c r="E27" s="19" t="n">
        <x:v>1</x:v>
      </x:c>
      <x:c r="F27" s="16" t="str">
        <x:v>SRC-009</x:v>
      </x:c>
    </x:row>
    <x:row r="28" ht="37" customHeight="1">
      <x:c r="A28" s="16" t="str">
        <x:v>MRG-0011</x:v>
      </x:c>
      <x:c r="B28" s="16" t="str">
        <x:v>Observation</x:v>
      </x:c>
      <x:c r="C28" s="16" t="str">
        <x:v>OBS-0289</x:v>
      </x:c>
      <x:c r="D28" s="16" t="str">
        <x:v>Front verandah Column 3. Minor corrosion at the top column connection.</x:v>
      </x:c>
      <x:c r="E28" s="19" t="n">
        <x:v>1</x:v>
      </x:c>
      <x:c r="F28" s="16" t="str">
        <x:v>SRC-009</x:v>
      </x:c>
    </x:row>
    <x:row r="29" ht="37" customHeight="1">
      <x:c r="A29" s="16" t="str">
        <x:v>MRG-0012</x:v>
      </x:c>
      <x:c r="B29" s="16" t="str">
        <x:v>Observation</x:v>
      </x:c>
      <x:c r="C29" s="16" t="str">
        <x:v>OBS-0288</x:v>
      </x:c>
      <x:c r="D29" s="16" t="str">
        <x:v>Front verandah Column 2. Minor corrosion at the top column connection.</x:v>
      </x:c>
      <x:c r="E29" s="19" t="n">
        <x:v>1</x:v>
      </x:c>
      <x:c r="F29" s="16" t="str">
        <x:v>SRC-009</x:v>
      </x:c>
    </x:row>
    <x:row r="30" ht="37" customHeight="1">
      <x:c r="A30" s="16" t="str">
        <x:v>MRG-0012</x:v>
      </x:c>
      <x:c r="B30" s="16" t="str">
        <x:v>Observation</x:v>
      </x:c>
      <x:c r="C30" s="16" t="str">
        <x:v>OBS-0289</x:v>
      </x:c>
      <x:c r="D30" s="16" t="str">
        <x:v>Front verandah Column 3. Minor corrosion at the top column connection.</x:v>
      </x:c>
      <x:c r="E30" s="19" t="n">
        <x:v>1</x:v>
      </x:c>
      <x:c r="F30" s="16" t="str">
        <x:v>SRC-009</x:v>
      </x:c>
    </x:row>
    <x:row r="31" ht="37" customHeight="1">
      <x:c r="A31" s="16" t="str">
        <x:v>MRG-0013</x:v>
      </x:c>
      <x:c r="B31" s="16" t="str">
        <x:v>Observation</x:v>
      </x:c>
      <x:c r="C31" s="16" t="str">
        <x:v>OBS-0151</x:v>
      </x:c>
      <x:c r="D31" s="16" t="str">
        <x:v>Carport column 1. Minor corrosion at the top column connection.</x:v>
      </x:c>
      <x:c r="E31" s="19" t="n">
        <x:v>1</x:v>
      </x:c>
      <x:c r="F31" s="16" t="str">
        <x:v>SRC-009</x:v>
      </x:c>
    </x:row>
    <x:row r="32" ht="37" customHeight="1">
      <x:c r="A32" s="16" t="str">
        <x:v>MRG-0013</x:v>
      </x:c>
      <x:c r="B32" s="16" t="str">
        <x:v>Observation</x:v>
      </x:c>
      <x:c r="C32" s="16" t="str">
        <x:v>OBS-0152</x:v>
      </x:c>
      <x:c r="D32" s="16" t="str">
        <x:v>Carport column 2. Minor corrosion at the top column connection.</x:v>
      </x:c>
      <x:c r="E32" s="19" t="n">
        <x:v>1</x:v>
      </x:c>
      <x:c r="F32" s="16" t="str">
        <x:v>SRC-009</x:v>
      </x:c>
    </x:row>
    <x:row r="33" ht="37" customHeight="1">
      <x:c r="A33" s="16" t="str">
        <x:v>MRG-0014</x:v>
      </x:c>
      <x:c r="B33" s="16" t="str">
        <x:v>Observation</x:v>
      </x:c>
      <x:c r="C33" s="16" t="str">
        <x:v>OBS-0151</x:v>
      </x:c>
      <x:c r="D33" s="16" t="str">
        <x:v>Carport column 1. Minor corrosion at the top column connection.</x:v>
      </x:c>
      <x:c r="E33" s="19" t="n">
        <x:v>1</x:v>
      </x:c>
      <x:c r="F33" s="16" t="str">
        <x:v>SRC-009</x:v>
      </x:c>
    </x:row>
    <x:row r="34" ht="37" customHeight="1">
      <x:c r="A34" s="16" t="str">
        <x:v>MRG-0014</x:v>
      </x:c>
      <x:c r="B34" s="16" t="str">
        <x:v>Observation</x:v>
      </x:c>
      <x:c r="C34" s="16" t="str">
        <x:v>OBS-0153</x:v>
      </x:c>
      <x:c r="D34" s="16" t="str">
        <x:v>Carport column 3. Minor corrosion at the top column connection.</x:v>
      </x:c>
      <x:c r="E34" s="19" t="n">
        <x:v>1</x:v>
      </x:c>
      <x:c r="F34" s="16" t="str">
        <x:v>SRC-009</x:v>
      </x:c>
    </x:row>
    <x:row r="35" ht="37" customHeight="1">
      <x:c r="A35" s="16" t="str">
        <x:v>MRG-0015</x:v>
      </x:c>
      <x:c r="B35" s="16" t="str">
        <x:v>Observation</x:v>
      </x:c>
      <x:c r="C35" s="16" t="str">
        <x:v>OBS-0152</x:v>
      </x:c>
      <x:c r="D35" s="16" t="str">
        <x:v>Carport column 2. Minor corrosion at the top column connection.</x:v>
      </x:c>
      <x:c r="E35" s="19" t="n">
        <x:v>1</x:v>
      </x:c>
      <x:c r="F35" s="16" t="str">
        <x:v>SRC-009</x:v>
      </x:c>
    </x:row>
    <x:row r="36" ht="37" customHeight="1">
      <x:c r="A36" s="16" t="str">
        <x:v>MRG-0015</x:v>
      </x:c>
      <x:c r="B36" s="16" t="str">
        <x:v>Observation</x:v>
      </x:c>
      <x:c r="C36" s="16" t="str">
        <x:v>OBS-0153</x:v>
      </x:c>
      <x:c r="D36" s="16" t="str">
        <x:v>Carport column 3. Minor corrosion at the top column connection.</x:v>
      </x:c>
      <x:c r="E36" s="19" t="n">
        <x:v>1</x:v>
      </x:c>
      <x:c r="F36" s="16" t="str">
        <x:v>SRC-009</x:v>
      </x:c>
    </x:row>
    <x:row r="37" ht="37" customHeight="1">
      <x:c r="A37" s="16" t="str">
        <x:v>MRG-0016</x:v>
      </x:c>
      <x:c r="B37" s="16" t="str">
        <x:v>Observation</x:v>
      </x:c>
      <x:c r="C37" s="16" t="str">
        <x:v>OBS-0521</x:v>
      </x:c>
      <x:c r="D37" s="16" t="str">
        <x:v>Row 1 Column 1. Minor corrosion at lower portion of column.</x:v>
      </x:c>
      <x:c r="E37" s="19" t="n">
        <x:v>1</x:v>
      </x:c>
      <x:c r="F37" s="16" t="str">
        <x:v>SRC-059</x:v>
      </x:c>
    </x:row>
    <x:row r="38" ht="37" customHeight="1">
      <x:c r="A38" s="16" t="str">
        <x:v>MRG-0016</x:v>
      </x:c>
      <x:c r="B38" s="16" t="str">
        <x:v>Observation</x:v>
      </x:c>
      <x:c r="C38" s="16" t="str">
        <x:v>OBS-0524</x:v>
      </x:c>
      <x:c r="D38" s="16" t="str">
        <x:v>Row 1 Column 2. Minor corrosion at lower portion of column.</x:v>
      </x:c>
      <x:c r="E38" s="19" t="n">
        <x:v>1</x:v>
      </x:c>
      <x:c r="F38" s="16" t="str">
        <x:v>SRC-055</x:v>
      </x:c>
    </x:row>
    <x:row r="39" ht="41" customHeight="1">
      <x:c r="A39" s="16" t="str">
        <x:v>MRG-0017</x:v>
      </x:c>
      <x:c r="B39" s="16" t="str">
        <x:v>Observation</x:v>
      </x:c>
      <x:c r="C39" s="16" t="str">
        <x:v>OBS-0161</x:v>
      </x:c>
      <x:c r="D39" s="16" t="str">
        <x:v>Carport front window. Minor corrosion at corner of window, typical to most windows. Salt staining on wall cladding at bolted connection.</x:v>
      </x:c>
      <x:c r="E39" s="19" t="n">
        <x:v>1</x:v>
      </x:c>
      <x:c r="F39" s="16" t="str">
        <x:v>SRC-025</x:v>
      </x:c>
    </x:row>
    <x:row r="40" ht="41" customHeight="1">
      <x:c r="A40" s="16" t="str">
        <x:v>MRG-0017</x:v>
      </x:c>
      <x:c r="B40" s="16" t="str">
        <x:v>Observation</x:v>
      </x:c>
      <x:c r="C40" s="16" t="str">
        <x:v>OBS-0162</x:v>
      </x:c>
      <x:c r="D40" s="16" t="str">
        <x:v>Carport front window. Minor corrosion at corner of window, typical to most windows. Staining on wall cladding at bolted connection.</x:v>
      </x:c>
      <x:c r="E40" s="19" t="n">
        <x:v>1</x:v>
      </x:c>
      <x:c r="F40" s="16" t="str">
        <x:v>SRC-023</x:v>
      </x:c>
    </x:row>
    <x:row r="41" ht="37" customHeight="1">
      <x:c r="A41" s="16" t="str">
        <x:v>MRG-0018</x:v>
      </x:c>
      <x:c r="B41" s="16" t="str">
        <x:v>Observation</x:v>
      </x:c>
      <x:c r="C41" s="16" t="str">
        <x:v>OBS-0195</x:v>
      </x:c>
      <x:c r="D41" s="16" t="str">
        <x:v>Column 2. Salt staining at the lower section of column.</x:v>
      </x:c>
      <x:c r="E41" s="19" t="n">
        <x:v>1</x:v>
      </x:c>
      <x:c r="F41" s="16" t="str">
        <x:v>SRC-002</x:v>
      </x:c>
    </x:row>
    <x:row r="42" ht="37" customHeight="1">
      <x:c r="A42" s="16" t="str">
        <x:v>MRG-0018</x:v>
      </x:c>
      <x:c r="B42" s="16" t="str">
        <x:v>Observation</x:v>
      </x:c>
      <x:c r="C42" s="16" t="str">
        <x:v>OBS-0200</x:v>
      </x:c>
      <x:c r="D42" s="16" t="str">
        <x:v>Column 3. Salt staining at the lower section of column.</x:v>
      </x:c>
      <x:c r="E42" s="19" t="n">
        <x:v>1</x:v>
      </x:c>
      <x:c r="F42" s="16" t="str">
        <x:v>SRC-002</x:v>
      </x:c>
    </x:row>
    <x:row r="43" ht="37" customHeight="1">
      <x:c r="A43" s="16" t="str">
        <x:v>MRG-0019</x:v>
      </x:c>
      <x:c r="B43" s="16" t="str">
        <x:v>Observation</x:v>
      </x:c>
      <x:c r="C43" s="16" t="str">
        <x:v>OBS-0527</x:v>
      </x:c>
      <x:c r="D43" s="16" t="str">
        <x:v>Row 2 Column 1. Minor corrosion of bolt and washer.</x:v>
      </x:c>
      <x:c r="E43" s="19" t="n">
        <x:v>1</x:v>
      </x:c>
      <x:c r="F43" s="16" t="str">
        <x:v>SRC-063</x:v>
      </x:c>
    </x:row>
    <x:row r="44" ht="37" customHeight="1">
      <x:c r="A44" s="16" t="str">
        <x:v>MRG-0019</x:v>
      </x:c>
      <x:c r="B44" s="16" t="str">
        <x:v>Observation</x:v>
      </x:c>
      <x:c r="C44" s="16" t="str">
        <x:v>OBS-0535</x:v>
      </x:c>
      <x:c r="D44" s="16" t="str">
        <x:v>Row 3 Column 1. Minor corrosion of bolt and washer.</x:v>
      </x:c>
      <x:c r="E44" s="19" t="n">
        <x:v>1</x:v>
      </x:c>
      <x:c r="F44" s="16" t="str">
        <x:v>SRC-063</x:v>
      </x:c>
    </x:row>
    <x:row r="45" ht="37" customHeight="1">
      <x:c r="A45" s="16" t="str">
        <x:v>MRG-0020</x:v>
      </x:c>
      <x:c r="B45" s="16" t="str">
        <x:v>Observation</x:v>
      </x:c>
      <x:c r="C45" s="16" t="str">
        <x:v>OBS-0527</x:v>
      </x:c>
      <x:c r="D45" s="16" t="str">
        <x:v>Row 2 Column 1. Minor corrosion of bolt and washer.</x:v>
      </x:c>
      <x:c r="E45" s="19" t="n">
        <x:v>1</x:v>
      </x:c>
      <x:c r="F45" s="16" t="str">
        <x:v>SRC-063</x:v>
      </x:c>
    </x:row>
    <x:row r="46" ht="37" customHeight="1">
      <x:c r="A46" s="16" t="str">
        <x:v>MRG-0020</x:v>
      </x:c>
      <x:c r="B46" s="16" t="str">
        <x:v>Observation</x:v>
      </x:c>
      <x:c r="C46" s="16" t="str">
        <x:v>OBS-0539</x:v>
      </x:c>
      <x:c r="D46" s="16" t="str">
        <x:v>Row 4 Column 1. Minor corrosion of bolt and washer.</x:v>
      </x:c>
      <x:c r="E46" s="19" t="n">
        <x:v>1</x:v>
      </x:c>
      <x:c r="F46" s="16" t="str">
        <x:v>SRC-063</x:v>
      </x:c>
    </x:row>
    <x:row r="47" ht="37" customHeight="1">
      <x:c r="A47" s="16" t="str">
        <x:v>MRG-0021</x:v>
      </x:c>
      <x:c r="B47" s="16" t="str">
        <x:v>Observation</x:v>
      </x:c>
      <x:c r="C47" s="16" t="str">
        <x:v>OBS-0535</x:v>
      </x:c>
      <x:c r="D47" s="16" t="str">
        <x:v>Row 3 Column 1. Minor corrosion of bolt and washer.</x:v>
      </x:c>
      <x:c r="E47" s="19" t="n">
        <x:v>1</x:v>
      </x:c>
      <x:c r="F47" s="16" t="str">
        <x:v>SRC-063</x:v>
      </x:c>
    </x:row>
    <x:row r="48" ht="37" customHeight="1">
      <x:c r="A48" s="16" t="str">
        <x:v>MRG-0021</x:v>
      </x:c>
      <x:c r="B48" s="16" t="str">
        <x:v>Observation</x:v>
      </x:c>
      <x:c r="C48" s="16" t="str">
        <x:v>OBS-0539</x:v>
      </x:c>
      <x:c r="D48" s="16" t="str">
        <x:v>Row 4 Column 1. Minor corrosion of bolt and washer.</x:v>
      </x:c>
      <x:c r="E48" s="19" t="n">
        <x:v>1</x:v>
      </x:c>
      <x:c r="F48" s="16" t="str">
        <x:v>SRC-063</x:v>
      </x:c>
    </x:row>
    <x:row r="49" ht="37" customHeight="1">
      <x:c r="A49" s="16" t="str">
        <x:v>MRG-0022</x:v>
      </x:c>
      <x:c r="B49" s="16" t="str">
        <x:v>Observation</x:v>
      </x:c>
      <x:c r="C49" s="16" t="str">
        <x:v>OBS-0189</x:v>
      </x:c>
      <x:c r="D49" s="16" t="str">
        <x:v>Column 1 strut. Paint deterioration and corrosion.</x:v>
      </x:c>
      <x:c r="E49" s="19" t="n">
        <x:v>1</x:v>
      </x:c>
      <x:c r="F49" s="16" t="str">
        <x:v>SRC-092</x:v>
      </x:c>
    </x:row>
    <x:row r="50" ht="37" customHeight="1">
      <x:c r="A50" s="16" t="str">
        <x:v>MRG-0022</x:v>
      </x:c>
      <x:c r="B50" s="16" t="str">
        <x:v>Observation</x:v>
      </x:c>
      <x:c r="C50" s="16" t="str">
        <x:v>OBS-0197</x:v>
      </x:c>
      <x:c r="D50" s="16" t="str">
        <x:v>Column 3 strut. Paint deterioration and corrosion.</x:v>
      </x:c>
      <x:c r="E50" s="19" t="n">
        <x:v>1</x:v>
      </x:c>
      <x:c r="F50" s="16" t="str">
        <x:v>SRC-092</x:v>
      </x:c>
    </x:row>
    <x:row r="51" ht="37" customHeight="1">
      <x:c r="A51" s="16" t="str">
        <x:v>MRG-0023</x:v>
      </x:c>
      <x:c r="B51" s="16" t="str">
        <x:v>Observation</x:v>
      </x:c>
      <x:c r="C51" s="16" t="str">
        <x:v>OBS-0540</x:v>
      </x:c>
      <x:c r="D51" s="16" t="str">
        <x:v>Row 4 Column 2. Blistering corrosion and holes.</x:v>
      </x:c>
      <x:c r="E51" s="19" t="n">
        <x:v>1</x:v>
      </x:c>
      <x:c r="F51" s="16" t="str">
        <x:v>SRC-100</x:v>
      </x:c>
    </x:row>
    <x:row r="52" ht="37" customHeight="1">
      <x:c r="A52" s="16" t="str">
        <x:v>MRG-0023</x:v>
      </x:c>
      <x:c r="B52" s="16" t="str">
        <x:v>Observation</x:v>
      </x:c>
      <x:c r="C52" s="16" t="str">
        <x:v>OBS-0542</x:v>
      </x:c>
      <x:c r="D52" s="16" t="str">
        <x:v>Row 5 Column 2. Blistering corrosion and holes.</x:v>
      </x:c>
      <x:c r="E52" s="19" t="n">
        <x:v>1</x:v>
      </x:c>
      <x:c r="F52" s="16" t="str">
        <x:v>SRC-100</x:v>
      </x:c>
    </x:row>
    <x:row r="53" ht="37" customHeight="1">
      <x:c r="A53" s="16" t="str">
        <x:v>MRG-0024</x:v>
      </x:c>
      <x:c r="B53" s="16" t="str">
        <x:v>Observation</x:v>
      </x:c>
      <x:c r="C53" s="16" t="str">
        <x:v>OBS-0188</x:v>
      </x:c>
      <x:c r="D53" s="16" t="str">
        <x:v>Column 1 baseplate has blistering corrosion.</x:v>
      </x:c>
      <x:c r="E53" s="19" t="n">
        <x:v>1</x:v>
      </x:c>
      <x:c r="F53" s="16" t="str">
        <x:v>SRC-057</x:v>
      </x:c>
    </x:row>
    <x:row r="54" ht="37" customHeight="1">
      <x:c r="A54" s="16" t="str">
        <x:v>MRG-0024</x:v>
      </x:c>
      <x:c r="B54" s="16" t="str">
        <x:v>Observation</x:v>
      </x:c>
      <x:c r="C54" s="16" t="str">
        <x:v>OBS-0201</x:v>
      </x:c>
      <x:c r="D54" s="16" t="str">
        <x:v>Column 4 baseplate has blistering corrosion.</x:v>
      </x:c>
      <x:c r="E54" s="19" t="n">
        <x:v>1</x:v>
      </x:c>
      <x:c r="F54" s="16" t="str">
        <x:v>SRC-057</x:v>
      </x:c>
    </x:row>
    <x:row r="55" ht="37" customHeight="1">
      <x:c r="A55" s="16" t="str">
        <x:v>MRG-0025</x:v>
      </x:c>
      <x:c r="B55" s="16" t="str">
        <x:v>Observation</x:v>
      </x:c>
      <x:c r="C55" s="16" t="str">
        <x:v>OBS-0458</x:v>
      </x:c>
      <x:c r="D55" s="16" t="str">
        <x:v>Pier 7. Vertical crack at lower section.</x:v>
      </x:c>
      <x:c r="E55" s="19" t="n">
        <x:v>1</x:v>
      </x:c>
      <x:c r="F55" s="16" t="str">
        <x:v>SRC-006</x:v>
      </x:c>
    </x:row>
    <x:row r="56" ht="37" customHeight="1">
      <x:c r="A56" s="16" t="str">
        <x:v>MRG-0025</x:v>
      </x:c>
      <x:c r="B56" s="16" t="str">
        <x:v>Observation</x:v>
      </x:c>
      <x:c r="C56" s="16" t="str">
        <x:v>OBS-0460</x:v>
      </x:c>
      <x:c r="D56" s="16" t="str">
        <x:v>Pier 8. Vertical crack at lower section.</x:v>
      </x:c>
      <x:c r="E56" s="19" t="n">
        <x:v>1</x:v>
      </x:c>
      <x:c r="F56" s="16" t="str">
        <x:v>SRC-006</x:v>
      </x:c>
    </x:row>
    <x:row r="57" ht="37" customHeight="1">
      <x:c r="A57" s="16" t="str">
        <x:v>MRG-0026</x:v>
      </x:c>
      <x:c r="B57" s="16" t="str">
        <x:v>Observation</x:v>
      </x:c>
      <x:c r="C57" s="16" t="str">
        <x:v>OBS-0458</x:v>
      </x:c>
      <x:c r="D57" s="16" t="str">
        <x:v>Pier 7. Vertical crack at lower section.</x:v>
      </x:c>
      <x:c r="E57" s="19" t="n">
        <x:v>1</x:v>
      </x:c>
      <x:c r="F57" s="16" t="str">
        <x:v>SRC-006</x:v>
      </x:c>
    </x:row>
    <x:row r="58" ht="37" customHeight="1">
      <x:c r="A58" s="16" t="str">
        <x:v>MRG-0026</x:v>
      </x:c>
      <x:c r="B58" s="16" t="str">
        <x:v>Observation</x:v>
      </x:c>
      <x:c r="C58" s="16" t="str">
        <x:v>OBS-0462</x:v>
      </x:c>
      <x:c r="D58" s="16" t="str">
        <x:v>Pier 9. Vertical crack at lower section.</x:v>
      </x:c>
      <x:c r="E58" s="19" t="n">
        <x:v>1</x:v>
      </x:c>
      <x:c r="F58" s="16" t="str">
        <x:v>SRC-006</x:v>
      </x:c>
    </x:row>
    <x:row r="59" ht="37" customHeight="1">
      <x:c r="A59" s="16" t="str">
        <x:v>MRG-0027</x:v>
      </x:c>
      <x:c r="B59" s="16" t="str">
        <x:v>Observation</x:v>
      </x:c>
      <x:c r="C59" s="16" t="str">
        <x:v>OBS-0460</x:v>
      </x:c>
      <x:c r="D59" s="16" t="str">
        <x:v>Pier 8. Vertical crack at lower section.</x:v>
      </x:c>
      <x:c r="E59" s="19" t="n">
        <x:v>1</x:v>
      </x:c>
      <x:c r="F59" s="16" t="str">
        <x:v>SRC-006</x:v>
      </x:c>
    </x:row>
    <x:row r="60" ht="37" customHeight="1">
      <x:c r="A60" s="16" t="str">
        <x:v>MRG-0027</x:v>
      </x:c>
      <x:c r="B60" s="16" t="str">
        <x:v>Observation</x:v>
      </x:c>
      <x:c r="C60" s="16" t="str">
        <x:v>OBS-0462</x:v>
      </x:c>
      <x:c r="D60" s="16" t="str">
        <x:v>Pier 9. Vertical crack at lower section.</x:v>
      </x:c>
      <x:c r="E60" s="19" t="n">
        <x:v>1</x:v>
      </x:c>
      <x:c r="F60" s="16" t="str">
        <x:v>SRC-006</x:v>
      </x:c>
    </x:row>
    <x:row r="61" ht="37" customHeight="1">
      <x:c r="A61" s="16" t="str">
        <x:v>MRG-0028</x:v>
      </x:c>
      <x:c r="B61" s="16" t="str">
        <x:v>Observation</x:v>
      </x:c>
      <x:c r="C61" s="16" t="str">
        <x:v>OBS-0607</x:v>
      </x:c>
      <x:c r="D61" s="16" t="str">
        <x:v>Window 1. Minor corrosion of lintel.</x:v>
      </x:c>
      <x:c r="E61" s="19" t="n">
        <x:v>1</x:v>
      </x:c>
      <x:c r="F61" s="16" t="str">
        <x:v>SRC-057</x:v>
      </x:c>
    </x:row>
    <x:row r="62" ht="37" customHeight="1">
      <x:c r="A62" s="16" t="str">
        <x:v>MRG-0028</x:v>
      </x:c>
      <x:c r="B62" s="16" t="str">
        <x:v>Observation</x:v>
      </x:c>
      <x:c r="C62" s="16" t="str">
        <x:v>OBS-0608</x:v>
      </x:c>
      <x:c r="D62" s="16" t="str">
        <x:v>Window 2. Minor corrosion of lintel.</x:v>
      </x:c>
      <x:c r="E62" s="19" t="n">
        <x:v>1</x:v>
      </x:c>
      <x:c r="F62" s="16" t="str">
        <x:v>SRC-057</x:v>
      </x:c>
    </x:row>
    <x:row r="63" ht="41" customHeight="1">
      <x:c r="A63" s="16" t="str">
        <x:v>MRG-0029</x:v>
      </x:c>
      <x:c r="B63" s="16" t="str">
        <x:v>Observation</x:v>
      </x:c>
      <x:c r="C63" s="16" t="str">
        <x:v>OBS-0015</x:v>
      </x:c>
      <x:c r="D63" s="16" t="str">
        <x:v>Left hand side of house facing the entrance. Minor corrosion to rafters and purlins. Salt staining on purlins.</x:v>
      </x:c>
      <x:c r="E63" s="19" t="n">
        <x:v>4</x:v>
      </x:c>
      <x:c r="F63" s="16" t="str">
        <x:v>SRC-027, SRC-049, SRC-051, SRC-055</x:v>
      </x:c>
    </x:row>
    <x:row r="64" ht="41" customHeight="1">
      <x:c r="A64" s="16" t="str">
        <x:v>MRG-0029</x:v>
      </x:c>
      <x:c r="B64" s="16" t="str">
        <x:v>Observation</x:v>
      </x:c>
      <x:c r="C64" s="16" t="str">
        <x:v>OBS-0029</x:v>
      </x:c>
      <x:c r="D64" s="16" t="str">
        <x:v>Right hand side of house facing the entrance. Minor corrosion to rafters and purlins. Salt staining on purlins.</x:v>
      </x:c>
      <x:c r="E64" s="19" t="n">
        <x:v>3</x:v>
      </x:c>
      <x:c r="F64" s="16" t="str">
        <x:v>SRC-027, SRC-049, SRC-051</x:v>
      </x:c>
    </x:row>
    <x:row r="65" ht="37" customHeight="1">
      <x:c r="A65" s="16" t="str">
        <x:v>MRG-0030</x:v>
      </x:c>
      <x:c r="B65" s="16" t="str">
        <x:v>Observation</x:v>
      </x:c>
      <x:c r="C65" s="16" t="str">
        <x:v>OBS-0042</x:v>
      </x:c>
      <x:c r="D65" s="16" t="str">
        <x:v>Column 2. Paint deterioration.</x:v>
      </x:c>
      <x:c r="E65" s="19" t="n">
        <x:v>2</x:v>
      </x:c>
      <x:c r="F65" s="16" t="str">
        <x:v>SRC-092</x:v>
      </x:c>
    </x:row>
    <x:row r="66" ht="37" customHeight="1">
      <x:c r="A66" s="16" t="str">
        <x:v>MRG-0030</x:v>
      </x:c>
      <x:c r="B66" s="16" t="str">
        <x:v>Observation</x:v>
      </x:c>
      <x:c r="C66" s="16" t="str">
        <x:v>OBS-0191</x:v>
      </x:c>
      <x:c r="D66" s="16" t="str">
        <x:v>Column 1. Paint deterioration.</x:v>
      </x:c>
      <x:c r="E66" s="19" t="n">
        <x:v>1</x:v>
      </x:c>
      <x:c r="F66" s="16" t="str">
        <x:v>SRC-092</x:v>
      </x:c>
    </x:row>
    <x:row r="67" ht="37" customHeight="1">
      <x:c r="A67" s="16" t="str">
        <x:v>MRG-0031</x:v>
      </x:c>
      <x:c r="B67" s="16" t="str">
        <x:v>Observation</x:v>
      </x:c>
      <x:c r="C67" s="16" t="str">
        <x:v>OBS-0053</x:v>
      </x:c>
      <x:c r="D67" s="16" t="str">
        <x:v>Front verandah has salt staining on purlins and rafters.</x:v>
      </x:c>
      <x:c r="E67" s="19" t="n">
        <x:v>2</x:v>
      </x:c>
      <x:c r="F67" s="16" t="str">
        <x:v>SRC-002</x:v>
      </x:c>
    </x:row>
    <x:row r="68" ht="37" customHeight="1">
      <x:c r="A68" s="16" t="str">
        <x:v>MRG-0031</x:v>
      </x:c>
      <x:c r="B68" s="16" t="str">
        <x:v>Observation</x:v>
      </x:c>
      <x:c r="C68" s="16" t="str">
        <x:v>OBS-0309</x:v>
      </x:c>
      <x:c r="D68" s="16" t="str">
        <x:v>Front verandah. Salt staining on purlins and rafters.</x:v>
      </x:c>
      <x:c r="E68" s="19" t="n">
        <x:v>1</x:v>
      </x:c>
      <x:c r="F68" s="16" t="str">
        <x:v>SRC-053</x:v>
      </x:c>
    </x:row>
    <x:row r="69" ht="37" customHeight="1">
      <x:c r="A69" s="16" t="str">
        <x:v>MRG-0032</x:v>
      </x:c>
      <x:c r="B69" s="16" t="str">
        <x:v>Observation</x:v>
      </x:c>
      <x:c r="C69" s="16" t="str">
        <x:v>OBS-0350</x:v>
      </x:c>
      <x:c r="D69" s="16" t="str">
        <x:v>Left hand side of house facing the entrance. Minor corrosion of purlins and rafters.</x:v>
      </x:c>
      <x:c r="E69" s="19" t="n">
        <x:v>1</x:v>
      </x:c>
      <x:c r="F69" s="16" t="str">
        <x:v>SRC-025</x:v>
      </x:c>
    </x:row>
    <x:row r="70" ht="37" customHeight="1">
      <x:c r="A70" s="16" t="str">
        <x:v>MRG-0032</x:v>
      </x:c>
      <x:c r="B70" s="16" t="str">
        <x:v>Observation</x:v>
      </x:c>
      <x:c r="C70" s="16" t="str">
        <x:v>OBS-0491</x:v>
      </x:c>
      <x:c r="D70" s="16" t="str">
        <x:v>Right hand side of house facing the entrance. Minor corrosion of purlins and rafters.</x:v>
      </x:c>
      <x:c r="E70" s="19" t="n">
        <x:v>1</x:v>
      </x:c>
      <x:c r="F70" s="16" t="str">
        <x:v>SRC-025</x:v>
      </x:c>
    </x:row>
    <x:row r="71" ht="37" customHeight="1">
      <x:c r="A71" s="16" t="str">
        <x:v>MRG-0033</x:v>
      </x:c>
      <x:c r="B71" s="16" t="str">
        <x:v>Observation</x:v>
      </x:c>
      <x:c r="C71" s="16" t="str">
        <x:v>OBS-0358</x:v>
      </x:c>
      <x:c r="D71" s="16" t="str">
        <x:v>Left hand side of property facing the front entrance. Minor corrosion of steel post.</x:v>
      </x:c>
      <x:c r="E71" s="19" t="n">
        <x:v>1</x:v>
      </x:c>
      <x:c r="F71" s="16" t="str">
        <x:v>SRC-054</x:v>
      </x:c>
    </x:row>
    <x:row r="72" ht="37" customHeight="1">
      <x:c r="A72" s="16" t="str">
        <x:v>MRG-0033</x:v>
      </x:c>
      <x:c r="B72" s="16" t="str">
        <x:v>Observation</x:v>
      </x:c>
      <x:c r="C72" s="16" t="str">
        <x:v>OBS-0502</x:v>
      </x:c>
      <x:c r="D72" s="16" t="str">
        <x:v>Right hand side of property facing the front entrance. Minor corrosion of steel post.</x:v>
      </x:c>
      <x:c r="E72" s="19" t="n">
        <x:v>1</x:v>
      </x:c>
      <x:c r="F72" s="16" t="str">
        <x:v>SRC-054</x:v>
      </x:c>
    </x:row>
    <x:row r="73" ht="37" customHeight="1">
      <x:c r="A73" s="16" t="str">
        <x:v>MRG-0034</x:v>
      </x:c>
      <x:c r="B73" s="16" t="str">
        <x:v>Observation</x:v>
      </x:c>
      <x:c r="C73" s="16" t="str">
        <x:v>OBS-0354</x:v>
      </x:c>
      <x:c r="D73" s="16" t="str">
        <x:v>Left hand side of house facing the entrance. Salt staining on purlins and rafters.</x:v>
      </x:c>
      <x:c r="E73" s="19" t="n">
        <x:v>1</x:v>
      </x:c>
      <x:c r="F73" s="16" t="str">
        <x:v>SRC-053</x:v>
      </x:c>
    </x:row>
    <x:row r="74" ht="37" customHeight="1">
      <x:c r="A74" s="16" t="str">
        <x:v>MRG-0034</x:v>
      </x:c>
      <x:c r="B74" s="16" t="str">
        <x:v>Observation</x:v>
      </x:c>
      <x:c r="C74" s="16" t="str">
        <x:v>OBS-0496</x:v>
      </x:c>
      <x:c r="D74" s="16" t="str">
        <x:v>Right hand side of house facing the entrance. Salt staining on purlins and rafters.</x:v>
      </x:c>
      <x:c r="E74" s="19" t="n">
        <x:v>1</x:v>
      </x:c>
      <x:c r="F74" s="16" t="str">
        <x:v>SRC-053</x:v>
      </x:c>
    </x:row>
    <x:row r="75" ht="37" customHeight="1">
      <x:c r="A75" s="16" t="str">
        <x:v>MRG-0035</x:v>
      </x:c>
      <x:c r="B75" s="16" t="str">
        <x:v>Observation</x:v>
      </x:c>
      <x:c r="C75" s="16" t="str">
        <x:v>OBS-0534</x:v>
      </x:c>
      <x:c r="D75" s="16" t="str">
        <x:v>Row 3 Column 1. Blistering corrosion and holes.</x:v>
      </x:c>
      <x:c r="E75" s="19" t="n">
        <x:v>1</x:v>
      </x:c>
      <x:c r="F75" s="16" t="str">
        <x:v>SRC-100</x:v>
      </x:c>
    </x:row>
    <x:row r="76" ht="37" customHeight="1">
      <x:c r="A76" s="16" t="str">
        <x:v>MRG-0035</x:v>
      </x:c>
      <x:c r="B76" s="16" t="str">
        <x:v>Observation</x:v>
      </x:c>
      <x:c r="C76" s="16" t="str">
        <x:v>OBS-0540</x:v>
      </x:c>
      <x:c r="D76" s="16" t="str">
        <x:v>Row 4 Column 2. Blistering corrosion and holes.</x:v>
      </x:c>
      <x:c r="E76" s="19" t="n">
        <x:v>1</x:v>
      </x:c>
      <x:c r="F76" s="16" t="str">
        <x:v>SRC-100</x:v>
      </x:c>
    </x:row>
    <x:row r="77" ht="37" customHeight="1">
      <x:c r="A77" s="16" t="str">
        <x:v>MRG-0036</x:v>
      </x:c>
      <x:c r="B77" s="16" t="str">
        <x:v>Observation</x:v>
      </x:c>
      <x:c r="C77" s="16" t="str">
        <x:v>OBS-0534</x:v>
      </x:c>
      <x:c r="D77" s="16" t="str">
        <x:v>Row 3 Column 1. Blistering corrosion and holes.</x:v>
      </x:c>
      <x:c r="E77" s="19" t="n">
        <x:v>1</x:v>
      </x:c>
      <x:c r="F77" s="16" t="str">
        <x:v>SRC-100</x:v>
      </x:c>
    </x:row>
    <x:row r="78" ht="37" customHeight="1">
      <x:c r="A78" s="16" t="str">
        <x:v>MRG-0036</x:v>
      </x:c>
      <x:c r="B78" s="16" t="str">
        <x:v>Observation</x:v>
      </x:c>
      <x:c r="C78" s="16" t="str">
        <x:v>OBS-0542</x:v>
      </x:c>
      <x:c r="D78" s="16" t="str">
        <x:v>Row 5 Column 2. Blistering corrosion and holes.</x:v>
      </x:c>
      <x:c r="E78" s="19" t="n">
        <x:v>1</x:v>
      </x:c>
      <x:c r="F78" s="16" t="str">
        <x:v>SRC-100</x:v>
      </x:c>
    </x:row>
    <x:row r="79" ht="37" customHeight="1">
      <x:c r="A79" s="16" t="str">
        <x:v>MRG-0037</x:v>
      </x:c>
      <x:c r="B79" s="16" t="str">
        <x:v>Observation</x:v>
      </x:c>
      <x:c r="C79" s="16" t="str">
        <x:v>OBS-0127</x:v>
      </x:c>
      <x:c r="D79" s="16" t="str">
        <x:v>Backyard fencing post. Bitumen Paint deterioration and flaking corrosion.</x:v>
      </x:c>
      <x:c r="E79" s="19" t="n">
        <x:v>1</x:v>
      </x:c>
      <x:c r="F79" s="16" t="str">
        <x:v>SRC-052</x:v>
      </x:c>
    </x:row>
    <x:row r="80" ht="37" customHeight="1">
      <x:c r="A80" s="16" t="str">
        <x:v>MRG-0037</x:v>
      </x:c>
      <x:c r="B80" s="16" t="str">
        <x:v>Observation</x:v>
      </x:c>
      <x:c r="C80" s="16" t="str">
        <x:v>OBS-0128</x:v>
      </x:c>
      <x:c r="D80" s="16" t="str">
        <x:v>Backyard fencing post. Bitumen Paint deterioration and severe flaking corrosion.</x:v>
      </x:c>
      <x:c r="E80" s="19" t="n">
        <x:v>1</x:v>
      </x:c>
      <x:c r="F80" s="16" t="str">
        <x:v>SRC-026</x:v>
      </x:c>
    </x:row>
    <x:row r="81" ht="37" customHeight="1">
      <x:c r="A81" s="16" t="str">
        <x:v>MRG-0038</x:v>
      </x:c>
      <x:c r="B81" s="16" t="str">
        <x:v>Observation</x:v>
      </x:c>
      <x:c r="C81" s="16" t="str">
        <x:v>OBS-0453</x:v>
      </x:c>
      <x:c r="D81" s="16" t="str">
        <x:v>Pier 10. Corrosion at support location. Expansion of steel due to corrosion causing brickwork to crack.</x:v>
      </x:c>
      <x:c r="E81" s="19" t="n">
        <x:v>1</x:v>
      </x:c>
      <x:c r="F81" s="16" t="str">
        <x:v>SRC-006</x:v>
      </x:c>
    </x:row>
    <x:row r="82" ht="41" customHeight="1">
      <x:c r="A82" s="16" t="str">
        <x:v>MRG-0038</x:v>
      </x:c>
      <x:c r="B82" s="16" t="str">
        <x:v>Observation</x:v>
      </x:c>
      <x:c r="C82" s="16" t="str">
        <x:v>OBS-0457</x:v>
      </x:c>
      <x:c r="D82" s="16" t="str">
        <x:v>Pier 7. Severe corrosion at support location. Expansion of steel due to corrosion causing brickwork to crack.</x:v>
      </x:c>
      <x:c r="E82" s="19" t="n">
        <x:v>1</x:v>
      </x:c>
      <x:c r="F82" s="16" t="str">
        <x:v>SRC-006</x:v>
      </x:c>
    </x:row>
    <x:row r="83" ht="37" customHeight="1">
      <x:c r="A83" s="16" t="str">
        <x:v>MRG-0039</x:v>
      </x:c>
      <x:c r="B83" s="16" t="str">
        <x:v>Observation</x:v>
      </x:c>
      <x:c r="C83" s="16" t="str">
        <x:v>OBS-0453</x:v>
      </x:c>
      <x:c r="D83" s="16" t="str">
        <x:v>Pier 10. Corrosion at support location. Expansion of steel due to corrosion causing brickwork to crack.</x:v>
      </x:c>
      <x:c r="E83" s="19" t="n">
        <x:v>1</x:v>
      </x:c>
      <x:c r="F83" s="16" t="str">
        <x:v>SRC-006</x:v>
      </x:c>
    </x:row>
    <x:row r="84" ht="41" customHeight="1">
      <x:c r="A84" s="16" t="str">
        <x:v>MRG-0039</x:v>
      </x:c>
      <x:c r="B84" s="16" t="str">
        <x:v>Observation</x:v>
      </x:c>
      <x:c r="C84" s="16" t="str">
        <x:v>OBS-0459</x:v>
      </x:c>
      <x:c r="D84" s="16" t="str">
        <x:v>Pier 8. Severe corrosion at support location. Expansion of steel due to corrosion causing brickwork to crack.</x:v>
      </x:c>
      <x:c r="E84" s="19" t="n">
        <x:v>1</x:v>
      </x:c>
      <x:c r="F84" s="16" t="str">
        <x:v>SRC-006</x:v>
      </x:c>
    </x:row>
    <x:row r="85" ht="41" customHeight="1">
      <x:c r="A85" s="16" t="str">
        <x:v>MRG-0040</x:v>
      </x:c>
      <x:c r="B85" s="16" t="str">
        <x:v>Observation</x:v>
      </x:c>
      <x:c r="C85" s="16" t="str">
        <x:v>OBS-0474</x:v>
      </x:c>
      <x:c r="D85" s="16" t="str">
        <x:v>Rafter at the top of Pier 6. Severe corrosion at support location. Expansion of steel rafter due to corrosion causing brickwork to crack</x:v>
      </x:c>
      <x:c r="E85" s="19" t="n">
        <x:v>1</x:v>
      </x:c>
      <x:c r="F85" s="16" t="str">
        <x:v>SRC-006</x:v>
      </x:c>
    </x:row>
    <x:row r="86" ht="41" customHeight="1">
      <x:c r="A86" s="16" t="str">
        <x:v>MRG-0040</x:v>
      </x:c>
      <x:c r="B86" s="16" t="str">
        <x:v>Observation</x:v>
      </x:c>
      <x:c r="C86" s="16" t="str">
        <x:v>OBS-0475</x:v>
      </x:c>
      <x:c r="D86" s="16" t="str">
        <x:v>Rafter at the top of pier 5. Severe corrosion at support location. Expansion of steel due to corrosion causing the brickwork to crack.</x:v>
      </x:c>
      <x:c r="E86" s="19" t="n">
        <x:v>1</x:v>
      </x:c>
      <x:c r="F86" s="16" t="str">
        <x:v>SRC-006</x:v>
      </x:c>
    </x:row>
    <x:row r="87" ht="37" customHeight="1">
      <x:c r="A87" s="16" t="str">
        <x:v>MRG-0041</x:v>
      </x:c>
      <x:c r="B87" s="16" t="str">
        <x:v>Observation</x:v>
      </x:c>
      <x:c r="C87" s="16" t="str">
        <x:v>OBS-0304</x:v>
      </x:c>
      <x:c r="D87" s="16" t="str">
        <x:v>Front verandah. Minor corrosion underside of beam.</x:v>
      </x:c>
      <x:c r="E87" s="19" t="n">
        <x:v>1</x:v>
      </x:c>
      <x:c r="F87" s="16" t="str">
        <x:v>SRC-061</x:v>
      </x:c>
    </x:row>
    <x:row r="88" ht="37" customHeight="1">
      <x:c r="A88" s="16" t="str">
        <x:v>MRG-0041</x:v>
      </x:c>
      <x:c r="B88" s="16" t="str">
        <x:v>Observation</x:v>
      </x:c>
      <x:c r="C88" s="16" t="str">
        <x:v>OBS-0317</x:v>
      </x:c>
      <x:c r="D88" s="16" t="str">
        <x:v>Front yard verandah. Minor corrosion underside of beam.</x:v>
      </x:c>
      <x:c r="E88" s="19" t="n">
        <x:v>1</x:v>
      </x:c>
      <x:c r="F88" s="16" t="str">
        <x:v>SRC-061</x:v>
      </x:c>
    </x:row>
    <x:row r="89" ht="37" customHeight="1">
      <x:c r="A89" s="16" t="str">
        <x:v>MRG-0042</x:v>
      </x:c>
      <x:c r="B89" s="16" t="str">
        <x:v>Observation</x:v>
      </x:c>
      <x:c r="C89" s="16" t="str">
        <x:v>OBS-0388</x:v>
      </x:c>
      <x:c r="D89" s="16" t="str">
        <x:v>Minor corrosion of door frame corner, typical to all windows.</x:v>
      </x:c>
      <x:c r="E89" s="19" t="n">
        <x:v>1</x:v>
      </x:c>
      <x:c r="F89" s="16" t="str">
        <x:v>SRC-062</x:v>
      </x:c>
    </x:row>
    <x:row r="90" ht="37" customHeight="1">
      <x:c r="A90" s="16" t="str">
        <x:v>MRG-0042</x:v>
      </x:c>
      <x:c r="B90" s="16" t="str">
        <x:v>Observation</x:v>
      </x:c>
      <x:c r="C90" s="16" t="str">
        <x:v>OBS-0394</x:v>
      </x:c>
      <x:c r="D90" s="16" t="str">
        <x:v>Minor corrosion of window frame corner, typical to all windows.</x:v>
      </x:c>
      <x:c r="E90" s="19" t="n">
        <x:v>1</x:v>
      </x:c>
      <x:c r="F90" s="16" t="str">
        <x:v>SRC-062</x:v>
      </x:c>
    </x:row>
    <x:row r="91" ht="37" customHeight="1">
      <x:c r="A91" s="16" t="str">
        <x:v>MRG-0043</x:v>
      </x:c>
      <x:c r="B91" s="16" t="str">
        <x:v>Observation</x:v>
      </x:c>
      <x:c r="C91" s="16" t="str">
        <x:v>OBS-0007</x:v>
      </x:c>
      <x:c r="D91" s="16" t="str">
        <x:v>Back verandah in good condition.</x:v>
      </x:c>
      <x:c r="E91" s="19" t="n">
        <x:v>5</x:v>
      </x:c>
      <x:c r="F91" s="16" t="str">
        <x:v>SRC-011, SRC-024, SRC-026, SRC-052, SRC-060</x:v>
      </x:c>
    </x:row>
    <x:row r="92" ht="37" customHeight="1">
      <x:c r="A92" s="16" t="str">
        <x:v>MRG-0043</x:v>
      </x:c>
      <x:c r="B92" s="16" t="str">
        <x:v>Observation</x:v>
      </x:c>
      <x:c r="C92" s="16" t="str">
        <x:v>OBS-0138</x:v>
      </x:c>
      <x:c r="D92" s="16" t="str">
        <x:v>Backyard verandah. In good condition.</x:v>
      </x:c>
      <x:c r="E92" s="19" t="n">
        <x:v>1</x:v>
      </x:c>
      <x:c r="F92" s="16" t="str">
        <x:v>SRC-012</x:v>
      </x:c>
    </x:row>
    <x:row r="93" ht="37" customHeight="1">
      <x:c r="A93" s="16" t="str">
        <x:v>MRG-0044</x:v>
      </x:c>
      <x:c r="B93" s="16" t="str">
        <x:v>Observation</x:v>
      </x:c>
      <x:c r="C93" s="16" t="str">
        <x:v>OBS-0087</x:v>
      </x:c>
      <x:c r="D93" s="16" t="str">
        <x:v>Timber splitting and rotting towards the lower section.</x:v>
      </x:c>
      <x:c r="E93" s="19" t="n">
        <x:v>2</x:v>
      </x:c>
      <x:c r="F93" s="16" t="str">
        <x:v>SRC-094</x:v>
      </x:c>
    </x:row>
    <x:row r="94" ht="37" customHeight="1">
      <x:c r="A94" s="16" t="str">
        <x:v>MRG-0044</x:v>
      </x:c>
      <x:c r="B94" s="16" t="str">
        <x:v>Observation</x:v>
      </x:c>
      <x:c r="C94" s="16" t="str">
        <x:v>OBS-0594</x:v>
      </x:c>
      <x:c r="D94" s="16" t="str">
        <x:v>Timber splitting and rotting towards the lower section. Timber</x:v>
      </x:c>
      <x:c r="E94" s="19" t="n">
        <x:v>1</x:v>
      </x:c>
      <x:c r="F94" s="16" t="str">
        <x:v>SRC-094</x:v>
      </x:c>
    </x:row>
    <x:row r="95" ht="37" customHeight="1">
      <x:c r="A95" s="16" t="str">
        <x:v>MRG-0045</x:v>
      </x:c>
      <x:c r="B95" s="16" t="str">
        <x:v>Observation</x:v>
      </x:c>
      <x:c r="C95" s="16" t="str">
        <x:v>OBS-0082</x:v>
      </x:c>
      <x:c r="D95" s="16" t="str">
        <x:v>Salt staining to back wall cladding at bolted connections.</x:v>
      </x:c>
      <x:c r="E95" s="19" t="n">
        <x:v>2</x:v>
      </x:c>
      <x:c r="F95" s="16" t="str">
        <x:v>SRC-055, SRC-059</x:v>
      </x:c>
    </x:row>
    <x:row r="96" ht="37" customHeight="1">
      <x:c r="A96" s="16" t="str">
        <x:v>MRG-0045</x:v>
      </x:c>
      <x:c r="B96" s="16" t="str">
        <x:v>Observation</x:v>
      </x:c>
      <x:c r="C96" s="16" t="str">
        <x:v>OBS-0552</x:v>
      </x:c>
      <x:c r="D96" s="16" t="str">
        <x:v>Salt staining on wall cladding at bolted connections.</x:v>
      </x:c>
      <x:c r="E96" s="19" t="n">
        <x:v>1</x:v>
      </x:c>
      <x:c r="F96" s="16" t="str">
        <x:v>SRC-049</x:v>
      </x:c>
    </x:row>
    <x:row r="97" ht="37" customHeight="1">
      <x:c r="A97" s="16" t="str">
        <x:v>MRG-0046</x:v>
      </x:c>
      <x:c r="B97" s="16" t="str">
        <x:v>Observation</x:v>
      </x:c>
      <x:c r="C97" s="16" t="str">
        <x:v>OBS-0118</x:v>
      </x:c>
      <x:c r="D97" s="16" t="str">
        <x:v>Back verandah. Corrosion of Tek screws and top hat purlins.</x:v>
      </x:c>
      <x:c r="E97" s="19" t="n">
        <x:v>1</x:v>
      </x:c>
      <x:c r="F97" s="16" t="str">
        <x:v>SRC-014</x:v>
      </x:c>
    </x:row>
    <x:row r="98" ht="37" customHeight="1">
      <x:c r="A98" s="16" t="str">
        <x:v>MRG-0046</x:v>
      </x:c>
      <x:c r="B98" s="16" t="str">
        <x:v>Observation</x:v>
      </x:c>
      <x:c r="C98" s="16" t="str">
        <x:v>OBS-0119</x:v>
      </x:c>
      <x:c r="D98" s="16" t="str">
        <x:v>Back verandah. Minor corrosion on Tek screws and top hat purlins.</x:v>
      </x:c>
      <x:c r="E98" s="19" t="n">
        <x:v>1</x:v>
      </x:c>
      <x:c r="F98" s="16" t="str">
        <x:v>SRC-014</x:v>
      </x:c>
    </x:row>
    <x:row r="99" ht="37" customHeight="1">
      <x:c r="A99" s="16" t="str">
        <x:v>MRG-0047</x:v>
      </x:c>
      <x:c r="B99" s="16" t="str">
        <x:v>Observation</x:v>
      </x:c>
      <x:c r="C99" s="16" t="str">
        <x:v>OBS-0197</x:v>
      </x:c>
      <x:c r="D99" s="16" t="str">
        <x:v>Column 3 strut. Paint deterioration and corrosion.</x:v>
      </x:c>
      <x:c r="E99" s="19" t="n">
        <x:v>1</x:v>
      </x:c>
      <x:c r="F99" s="16" t="str">
        <x:v>SRC-092</x:v>
      </x:c>
    </x:row>
    <x:row r="100" ht="37" customHeight="1">
      <x:c r="A100" s="16" t="str">
        <x:v>MRG-0047</x:v>
      </x:c>
      <x:c r="B100" s="16" t="str">
        <x:v>Observation</x:v>
      </x:c>
      <x:c r="C100" s="16" t="str">
        <x:v>OBS-0199</x:v>
      </x:c>
      <x:c r="D100" s="16" t="str">
        <x:v>Column 3. Paint deterioration and corrosion.</x:v>
      </x:c>
      <x:c r="E100" s="19" t="n">
        <x:v>1</x:v>
      </x:c>
      <x:c r="F100" s="16" t="str">
        <x:v>SRC-092</x:v>
      </x:c>
    </x:row>
    <x:row r="101" ht="37" customHeight="1">
      <x:c r="A101" s="16" t="str">
        <x:v>MRG-0048</x:v>
      </x:c>
      <x:c r="B101" s="16" t="str">
        <x:v>Observation</x:v>
      </x:c>
      <x:c r="C101" s="16" t="str">
        <x:v>OBS-0005</x:v>
      </x:c>
      <x:c r="D101" s="16" t="str">
        <x:v>Fencing posts on left hand side of property facing the front entrance. Bitumen paint deterioration.</x:v>
      </x:c>
      <x:c r="E101" s="19" t="n">
        <x:v>7</x:v>
      </x:c>
      <x:c r="F101" s="16" t="str">
        <x:v>SRC-027, SRC-049, SRC-051, SRC-055</x:v>
      </x:c>
    </x:row>
    <x:row r="102" ht="41" customHeight="1">
      <x:c r="A102" s="16" t="str">
        <x:v>MRG-0048</x:v>
      </x:c>
      <x:c r="B102" s="16" t="str">
        <x:v>Observation</x:v>
      </x:c>
      <x:c r="C102" s="16" t="str">
        <x:v>OBS-0048</x:v>
      </x:c>
      <x:c r="D102" s="16" t="str">
        <x:v>Fencing posts on left hand side of property facing the front entrance. Bitumen paint deterioration and corrosion.</x:v>
      </x:c>
      <x:c r="E102" s="19" t="n">
        <x:v>2</x:v>
      </x:c>
      <x:c r="F102" s="16" t="str">
        <x:v>SRC-059</x:v>
      </x:c>
    </x:row>
    <x:row r="103" ht="37" customHeight="1">
      <x:c r="A103" s="16" t="str">
        <x:v>MRG-0049</x:v>
      </x:c>
      <x:c r="B103" s="16" t="str">
        <x:v>Observation</x:v>
      </x:c>
      <x:c r="C103" s="16" t="str">
        <x:v>OBS-0005</x:v>
      </x:c>
      <x:c r="D103" s="16" t="str">
        <x:v>Fencing posts on left hand side of property facing the front entrance. Bitumen paint deterioration.</x:v>
      </x:c>
      <x:c r="E103" s="19" t="n">
        <x:v>7</x:v>
      </x:c>
      <x:c r="F103" s="16" t="str">
        <x:v>SRC-027, SRC-049, SRC-051, SRC-055</x:v>
      </x:c>
    </x:row>
    <x:row r="104" ht="41" customHeight="1">
      <x:c r="A104" s="16" t="str">
        <x:v>MRG-0049</x:v>
      </x:c>
      <x:c r="B104" s="16" t="str">
        <x:v>Observation</x:v>
      </x:c>
      <x:c r="C104" s="16" t="str">
        <x:v>OBS-0024</x:v>
      </x:c>
      <x:c r="D104" s="16" t="str">
        <x:v>Fencing posts on left hand side of property facing the front entrance. Corrosion and bitumen paint deterioration.</x:v>
      </x:c>
      <x:c r="E104" s="19" t="n">
        <x:v>3</x:v>
      </x:c>
      <x:c r="F104" s="16" t="str">
        <x:v>SRC-023</x:v>
      </x:c>
    </x:row>
    <x:row r="105" ht="37" customHeight="1">
      <x:c r="A105" s="16" t="str">
        <x:v>MRG-0050</x:v>
      </x:c>
      <x:c r="B105" s="16" t="str">
        <x:v>Observation</x:v>
      </x:c>
      <x:c r="C105" s="16" t="str">
        <x:v>OBS-0023</x:v>
      </x:c>
      <x:c r="D105" s="16" t="str">
        <x:v>Fencing posts on left hand side of property facing the front entrance.</x:v>
      </x:c>
      <x:c r="E105" s="19" t="n">
        <x:v>3</x:v>
      </x:c>
      <x:c r="F105" s="16" t="str">
        <x:v>SRC-023, SRC-025</x:v>
      </x:c>
    </x:row>
    <x:row r="106" ht="37" customHeight="1">
      <x:c r="A106" s="16" t="str">
        <x:v>MRG-0050</x:v>
      </x:c>
      <x:c r="B106" s="16" t="str">
        <x:v>Observation</x:v>
      </x:c>
      <x:c r="C106" s="16" t="str">
        <x:v>OBS-0265</x:v>
      </x:c>
      <x:c r="D106" s="16" t="str">
        <x:v>Fencing posts on left hand side of property facing the front entrance. Corrosion.</x:v>
      </x:c>
      <x:c r="E106" s="19" t="n">
        <x:v>1</x:v>
      </x:c>
      <x:c r="F106" s="16" t="str">
        <x:v>SRC-025</x:v>
      </x:c>
    </x:row>
    <x:row r="107" ht="37" customHeight="1">
      <x:c r="A107" s="16" t="str">
        <x:v>MRG-0051</x:v>
      </x:c>
      <x:c r="B107" s="16" t="str">
        <x:v>Observation</x:v>
      </x:c>
      <x:c r="C107" s="16" t="str">
        <x:v>OBS-0190</x:v>
      </x:c>
      <x:c r="D107" s="16" t="str">
        <x:v>Column 1. Major corrosion of the connection.</x:v>
      </x:c>
      <x:c r="E107" s="19" t="n">
        <x:v>1</x:v>
      </x:c>
      <x:c r="F107" s="16" t="str">
        <x:v>SRC-092</x:v>
      </x:c>
    </x:row>
    <x:row r="108" ht="37" customHeight="1">
      <x:c r="A108" s="16" t="str">
        <x:v>MRG-0051</x:v>
      </x:c>
      <x:c r="B108" s="16" t="str">
        <x:v>Observation</x:v>
      </x:c>
      <x:c r="C108" s="16" t="str">
        <x:v>OBS-0204</x:v>
      </x:c>
      <x:c r="D108" s="16" t="str">
        <x:v>Column 4. Minor corrosion of the connection.</x:v>
      </x:c>
      <x:c r="E108" s="19" t="n">
        <x:v>1</x:v>
      </x:c>
      <x:c r="F108" s="16" t="str">
        <x:v>SRC-092</x:v>
      </x:c>
    </x:row>
    <x:row r="109" ht="41" customHeight="1">
      <x:c r="A109" s="16" t="str">
        <x:v>MRG-0052</x:v>
      </x:c>
      <x:c r="B109" s="16" t="str">
        <x:v>Observation</x:v>
      </x:c>
      <x:c r="C109" s="16" t="str">
        <x:v>OBS-0503</x:v>
      </x:c>
      <x:c r="D109" s="16" t="str">
        <x:v>Right hand side of property facing the front entrance. Paint deterioration and salt staining on purlins and rafters.</x:v>
      </x:c>
      <x:c r="E109" s="19" t="n">
        <x:v>1</x:v>
      </x:c>
      <x:c r="F109" s="16" t="str">
        <x:v>SRC-054</x:v>
      </x:c>
    </x:row>
    <x:row r="110" ht="41" customHeight="1">
      <x:c r="A110" s="16" t="str">
        <x:v>MRG-0052</x:v>
      </x:c>
      <x:c r="B110" s="16" t="str">
        <x:v>Observation</x:v>
      </x:c>
      <x:c r="C110" s="16" t="str">
        <x:v>OBS-0507</x:v>
      </x:c>
      <x:c r="D110" s="16" t="str">
        <x:v>Right hand side roof overhang facing front entrance. Paint deterioration and salt staining on purlins and rafters.</x:v>
      </x:c>
      <x:c r="E110" s="19" t="n">
        <x:v>1</x:v>
      </x:c>
      <x:c r="F110" s="16" t="str">
        <x:v>SRC-009</x:v>
      </x:c>
    </x:row>
    <x:row r="111" ht="37" customHeight="1">
      <x:c r="A111" s="16" t="str">
        <x:v>MRG-0053</x:v>
      </x:c>
      <x:c r="B111" s="16" t="str">
        <x:v>Observation</x:v>
      </x:c>
      <x:c r="C111" s="16" t="str">
        <x:v>OBS-0541</x:v>
      </x:c>
      <x:c r="D111" s="16" t="str">
        <x:v>Row 5 Column 2.</x:v>
      </x:c>
      <x:c r="E111" s="19" t="n">
        <x:v>1</x:v>
      </x:c>
      <x:c r="F111" s="16" t="str">
        <x:v>SRC-100</x:v>
      </x:c>
    </x:row>
    <x:row r="112" ht="37" customHeight="1">
      <x:c r="A112" s="16" t="str">
        <x:v>MRG-0053</x:v>
      </x:c>
      <x:c r="B112" s="16" t="str">
        <x:v>Observation</x:v>
      </x:c>
      <x:c r="C112" s="16" t="str">
        <x:v>OBS-0543</x:v>
      </x:c>
      <x:c r="D112" s="16" t="str">
        <x:v>Row 7 Column 2.</x:v>
      </x:c>
      <x:c r="E112" s="19" t="n">
        <x:v>1</x:v>
      </x:c>
      <x:c r="F112" s="16" t="str">
        <x:v>SRC-100</x:v>
      </x:c>
    </x:row>
    <x:row r="113" ht="37" customHeight="1">
      <x:c r="A113" s="16" t="str">
        <x:v>MRG-0054</x:v>
      </x:c>
      <x:c r="B113" s="16" t="str">
        <x:v>Observation</x:v>
      </x:c>
      <x:c r="C113" s="16" t="str">
        <x:v>OBS-0079</x:v>
      </x:c>
      <x:c r="D113" s="16" t="str">
        <x:v>Row 6 Column 2.</x:v>
      </x:c>
      <x:c r="E113" s="19" t="n">
        <x:v>2</x:v>
      </x:c>
      <x:c r="F113" s="16" t="str">
        <x:v>SRC-100</x:v>
      </x:c>
    </x:row>
    <x:row r="114" ht="37" customHeight="1">
      <x:c r="A114" s="16" t="str">
        <x:v>MRG-0054</x:v>
      </x:c>
      <x:c r="B114" s="16" t="str">
        <x:v>Observation</x:v>
      </x:c>
      <x:c r="C114" s="16" t="str">
        <x:v>OBS-0541</x:v>
      </x:c>
      <x:c r="D114" s="16" t="str">
        <x:v>Row 5 Column 2.</x:v>
      </x:c>
      <x:c r="E114" s="19" t="n">
        <x:v>1</x:v>
      </x:c>
      <x:c r="F114" s="16" t="str">
        <x:v>SRC-100</x:v>
      </x:c>
    </x:row>
    <x:row r="115" ht="37" customHeight="1">
      <x:c r="A115" s="16" t="str">
        <x:v>MRG-0055</x:v>
      </x:c>
      <x:c r="B115" s="16" t="str">
        <x:v>Observation</x:v>
      </x:c>
      <x:c r="C115" s="16" t="str">
        <x:v>OBS-0079</x:v>
      </x:c>
      <x:c r="D115" s="16" t="str">
        <x:v>Row 6 Column 2.</x:v>
      </x:c>
      <x:c r="E115" s="19" t="n">
        <x:v>2</x:v>
      </x:c>
      <x:c r="F115" s="16" t="str">
        <x:v>SRC-100</x:v>
      </x:c>
    </x:row>
    <x:row r="116" ht="37" customHeight="1">
      <x:c r="A116" s="16" t="str">
        <x:v>MRG-0055</x:v>
      </x:c>
      <x:c r="B116" s="16" t="str">
        <x:v>Observation</x:v>
      </x:c>
      <x:c r="C116" s="16" t="str">
        <x:v>OBS-0543</x:v>
      </x:c>
      <x:c r="D116" s="16" t="str">
        <x:v>Row 7 Column 2.</x:v>
      </x:c>
      <x:c r="E116" s="19" t="n">
        <x:v>1</x:v>
      </x:c>
      <x:c r="F116" s="16" t="str">
        <x:v>SRC-100</x:v>
      </x:c>
    </x:row>
    <x:row r="117" ht="37" customHeight="1">
      <x:c r="A117" s="16" t="str">
        <x:v>MRG-0056</x:v>
      </x:c>
      <x:c r="B117" s="16" t="str">
        <x:v>Observation</x:v>
      </x:c>
      <x:c r="C117" s="16" t="str">
        <x:v>OBS-0013</x:v>
      </x:c>
      <x:c r="D117" s="16" t="str">
        <x:v>Front verandah in good condition.</x:v>
      </x:c>
      <x:c r="E117" s="19" t="n">
        <x:v>4</x:v>
      </x:c>
      <x:c r="F117" s="16" t="str">
        <x:v>SRC-011, SRC-024, SRC-026, SRC-052</x:v>
      </x:c>
    </x:row>
    <x:row r="118" ht="37" customHeight="1">
      <x:c r="A118" s="16" t="str">
        <x:v>MRG-0056</x:v>
      </x:c>
      <x:c r="B118" s="16" t="str">
        <x:v>Observation</x:v>
      </x:c>
      <x:c r="C118" s="16" t="str">
        <x:v>OBS-0313</x:v>
      </x:c>
      <x:c r="D118" s="16" t="str">
        <x:v>Front yard verandah in good condition.</x:v>
      </x:c>
      <x:c r="E118" s="19" t="n">
        <x:v>1</x:v>
      </x:c>
      <x:c r="F118" s="16" t="str">
        <x:v>SRC-002</x:v>
      </x:c>
    </x:row>
    <x:row r="119" ht="37" customHeight="1">
      <x:c r="A119" s="16" t="str">
        <x:v>MRG-0057</x:v>
      </x:c>
      <x:c r="B119" s="16" t="str">
        <x:v>Observation</x:v>
      </x:c>
      <x:c r="C119" s="16" t="str">
        <x:v>OBS-0025</x:v>
      </x:c>
      <x:c r="D119" s="16" t="str">
        <x:v>Front wall cladding in good condition</x:v>
      </x:c>
      <x:c r="E119" s="19" t="n">
        <x:v>3</x:v>
      </x:c>
      <x:c r="F119" s="16" t="str">
        <x:v>SRC-014, SRC-015, SRC-058</x:v>
      </x:c>
    </x:row>
    <x:row r="120" ht="37" customHeight="1">
      <x:c r="A120" s="16" t="str">
        <x:v>MRG-0057</x:v>
      </x:c>
      <x:c r="B120" s="16" t="str">
        <x:v>Observation</x:v>
      </x:c>
      <x:c r="C120" s="16" t="str">
        <x:v>OBS-0269</x:v>
      </x:c>
      <x:c r="D120" s="16" t="str">
        <x:v>Front cladding in good condition.</x:v>
      </x:c>
      <x:c r="E120" s="19" t="n">
        <x:v>1</x:v>
      </x:c>
      <x:c r="F120" s="16" t="str">
        <x:v>SRC-002</x:v>
      </x:c>
    </x:row>
    <x:row r="121" ht="37" customHeight="1">
      <x:c r="A121" s="16" t="str">
        <x:v>MRG-0058</x:v>
      </x:c>
      <x:c r="B121" s="16" t="str">
        <x:v>Observation</x:v>
      </x:c>
      <x:c r="C121" s="16" t="str">
        <x:v>OBS-0360</x:v>
      </x:c>
      <x:c r="D121" s="16" t="str">
        <x:v>Left hand side staircase. Minor cracking at joint.</x:v>
      </x:c>
      <x:c r="E121" s="19" t="n">
        <x:v>1</x:v>
      </x:c>
      <x:c r="F121" s="16" t="str">
        <x:v>SRC-096</x:v>
      </x:c>
    </x:row>
    <x:row r="122" ht="37" customHeight="1">
      <x:c r="A122" s="16" t="str">
        <x:v>MRG-0058</x:v>
      </x:c>
      <x:c r="B122" s="16" t="str">
        <x:v>Observation</x:v>
      </x:c>
      <x:c r="C122" s="16" t="str">
        <x:v>OBS-0509</x:v>
      </x:c>
      <x:c r="D122" s="16" t="str">
        <x:v>Right hand side staircase. Minor cracking at joint.</x:v>
      </x:c>
      <x:c r="E122" s="19" t="n">
        <x:v>1</x:v>
      </x:c>
      <x:c r="F122" s="16" t="str">
        <x:v>SRC-096</x:v>
      </x:c>
    </x:row>
    <x:row r="123" ht="37" customHeight="1">
      <x:c r="A123" s="16" t="str">
        <x:v>MRG-0059</x:v>
      </x:c>
      <x:c r="B123" s="16" t="str">
        <x:v>Observation</x:v>
      </x:c>
      <x:c r="C123" s="16" t="str">
        <x:v>OBS-0012</x:v>
      </x:c>
      <x:c r="D123" s="16" t="str">
        <x:v>Carport verandah columns in good condition.</x:v>
      </x:c>
      <x:c r="E123" s="19" t="n">
        <x:v>4</x:v>
      </x:c>
      <x:c r="F123" s="16" t="str">
        <x:v>SRC-025, SRC-053</x:v>
      </x:c>
    </x:row>
    <x:row r="124" ht="37" customHeight="1">
      <x:c r="A124" s="16" t="str">
        <x:v>MRG-0059</x:v>
      </x:c>
      <x:c r="B124" s="16" t="str">
        <x:v>Observation</x:v>
      </x:c>
      <x:c r="C124" s="16" t="str">
        <x:v>OBS-0299</x:v>
      </x:c>
      <x:c r="D124" s="16" t="str">
        <x:v>Front verandah. Columns in good condition.</x:v>
      </x:c>
      <x:c r="E124" s="19" t="n">
        <x:v>1</x:v>
      </x:c>
      <x:c r="F124" s="16" t="str">
        <x:v>SRC-053</x:v>
      </x:c>
    </x:row>
    <x:row r="125" ht="37" customHeight="1">
      <x:c r="A125" s="16" t="str">
        <x:v>MRG-0060</x:v>
      </x:c>
      <x:c r="B125" s="16" t="str">
        <x:v>Observation</x:v>
      </x:c>
      <x:c r="C125" s="16" t="str">
        <x:v>OBS-0099</x:v>
      </x:c>
      <x:c r="D125" s="16" t="str">
        <x:v>Back cladding in good condition.</x:v>
      </x:c>
      <x:c r="E125" s="19" t="n">
        <x:v>1</x:v>
      </x:c>
      <x:c r="F125" s="16" t="str">
        <x:v>SRC-002</x:v>
      </x:c>
    </x:row>
    <x:row r="126" ht="37" customHeight="1">
      <x:c r="A126" s="16" t="str">
        <x:v>MRG-0060</x:v>
      </x:c>
      <x:c r="B126" s="16" t="str">
        <x:v>Observation</x:v>
      </x:c>
      <x:c r="C126" s="16" t="str">
        <x:v>OBS-0122</x:v>
      </x:c>
      <x:c r="D126" s="16" t="str">
        <x:v>Back wall cladding in good condition</x:v>
      </x:c>
      <x:c r="E126" s="19" t="n">
        <x:v>1</x:v>
      </x:c>
      <x:c r="F126" s="16" t="str">
        <x:v>SRC-015</x:v>
      </x:c>
    </x:row>
    <x:row r="127" ht="41" customHeight="1">
      <x:c r="A127" s="16" t="str">
        <x:v>MRG-0061</x:v>
      </x:c>
      <x:c r="B127" s="16" t="str">
        <x:v>Observation</x:v>
      </x:c>
      <x:c r="C127" s="16" t="str">
        <x:v>OBS-0048</x:v>
      </x:c>
      <x:c r="D127" s="16" t="str">
        <x:v>Fencing posts on left hand side of property facing the front entrance. Bitumen paint deterioration and corrosion.</x:v>
      </x:c>
      <x:c r="E127" s="19" t="n">
        <x:v>2</x:v>
      </x:c>
      <x:c r="F127" s="16" t="str">
        <x:v>SRC-059</x:v>
      </x:c>
    </x:row>
    <x:row r="128" ht="41" customHeight="1">
      <x:c r="A128" s="16" t="str">
        <x:v>MRG-0061</x:v>
      </x:c>
      <x:c r="B128" s="16" t="str">
        <x:v>Observation</x:v>
      </x:c>
      <x:c r="C128" s="16" t="str">
        <x:v>OBS-0264</x:v>
      </x:c>
      <x:c r="D128" s="16" t="str">
        <x:v>Fencing posts on left hand side of property facing the front entrance. Bitumen paint deterioration and minor corrosion on post cap.</x:v>
      </x:c>
      <x:c r="E128" s="19" t="n">
        <x:v>1</x:v>
      </x:c>
      <x:c r="F128" s="16" t="str">
        <x:v>SRC-025</x:v>
      </x:c>
    </x:row>
    <x:row r="129" ht="41" customHeight="1">
      <x:c r="A129" s="16" t="str">
        <x:v>MRG-0062</x:v>
      </x:c>
      <x:c r="B129" s="16" t="str">
        <x:v>Observation</x:v>
      </x:c>
      <x:c r="C129" s="16" t="str">
        <x:v>OBS-0091</x:v>
      </x:c>
      <x:c r="D129" s="16" t="str">
        <x:v>Adjacent to front door. Minor corrosion at corner of window, typical to most windows. Staining on wall cladding at bolted connection.</x:v>
      </x:c>
      <x:c r="E129" s="19" t="n">
        <x:v>1</x:v>
      </x:c>
      <x:c r="F129" s="16" t="str">
        <x:v>SRC-023</x:v>
      </x:c>
    </x:row>
    <x:row r="130" ht="41" customHeight="1">
      <x:c r="A130" s="16" t="str">
        <x:v>MRG-0062</x:v>
      </x:c>
      <x:c r="B130" s="16" t="str">
        <x:v>Observation</x:v>
      </x:c>
      <x:c r="C130" s="16" t="str">
        <x:v>OBS-0162</x:v>
      </x:c>
      <x:c r="D130" s="16" t="str">
        <x:v>Carport front window. Minor corrosion at corner of window, typical to most windows. Staining on wall cladding at bolted connection.</x:v>
      </x:c>
      <x:c r="E130" s="19" t="n">
        <x:v>1</x:v>
      </x:c>
      <x:c r="F130" s="16" t="str">
        <x:v>SRC-023</x:v>
      </x:c>
    </x:row>
    <x:row r="131" ht="37" customHeight="1">
      <x:c r="A131" s="16" t="str">
        <x:v>MRG-0063</x:v>
      </x:c>
      <x:c r="B131" s="16" t="str">
        <x:v>Observation</x:v>
      </x:c>
      <x:c r="C131" s="16" t="str">
        <x:v>OBS-0335</x:v>
      </x:c>
      <x:c r="D131" s="16" t="str">
        <x:v>Left hand side back corner facing front of the house. Corrosion of Tek screws.</x:v>
      </x:c>
      <x:c r="E131" s="19" t="n">
        <x:v>1</x:v>
      </x:c>
      <x:c r="F131" s="16" t="str">
        <x:v>SRC-014</x:v>
      </x:c>
    </x:row>
    <x:row r="132" ht="37" customHeight="1">
      <x:c r="A132" s="16" t="str">
        <x:v>MRG-0063</x:v>
      </x:c>
      <x:c r="B132" s="16" t="str">
        <x:v>Observation</x:v>
      </x:c>
      <x:c r="C132" s="16" t="str">
        <x:v>OBS-0338</x:v>
      </x:c>
      <x:c r="D132" s="16" t="str">
        <x:v>Left hand side corner facing front of the house. Severe corrosion of Tek screws.</x:v>
      </x:c>
      <x:c r="E132" s="19" t="n">
        <x:v>1</x:v>
      </x:c>
      <x:c r="F132" s="16" t="str">
        <x:v>SRC-014</x:v>
      </x:c>
    </x:row>
    <x:row r="133" ht="37" customHeight="1">
      <x:c r="A133" s="16" t="str">
        <x:v>MRG-0064</x:v>
      </x:c>
      <x:c r="B133" s="16" t="str">
        <x:v>Observation</x:v>
      </x:c>
      <x:c r="C133" s="16" t="str">
        <x:v>OBS-0025</x:v>
      </x:c>
      <x:c r="D133" s="16" t="str">
        <x:v>Front wall cladding in good condition</x:v>
      </x:c>
      <x:c r="E133" s="19" t="n">
        <x:v>3</x:v>
      </x:c>
      <x:c r="F133" s="16" t="str">
        <x:v>SRC-014, SRC-015, SRC-058</x:v>
      </x:c>
    </x:row>
    <x:row r="134" ht="37" customHeight="1">
      <x:c r="A134" s="16" t="str">
        <x:v>MRG-0064</x:v>
      </x:c>
      <x:c r="B134" s="16" t="str">
        <x:v>Observation</x:v>
      </x:c>
      <x:c r="C134" s="16" t="str">
        <x:v>OBS-0038</x:v>
      </x:c>
      <x:c r="D134" s="16" t="str">
        <x:v>Carport wall cladding in good condition.</x:v>
      </x:c>
      <x:c r="E134" s="19" t="n">
        <x:v>2</x:v>
      </x:c>
      <x:c r="F134" s="16" t="str">
        <x:v>SRC-026, SRC-052</x:v>
      </x:c>
    </x:row>
    <x:row r="135" ht="37" customHeight="1">
      <x:c r="A135" s="16" t="str">
        <x:v>MRG-0065</x:v>
      </x:c>
      <x:c r="B135" s="16" t="str">
        <x:v>Observation</x:v>
      </x:c>
      <x:c r="C135" s="16" t="str">
        <x:v>OBS-0055</x:v>
      </x:c>
      <x:c r="D135" s="16" t="str">
        <x:v>Left hand side columns facing front of house.</x:v>
      </x:c>
      <x:c r="E135" s="19" t="n">
        <x:v>2</x:v>
      </x:c>
      <x:c r="F135" s="16" t="str">
        <x:v>SRC-009, SRC-055</x:v>
      </x:c>
    </x:row>
    <x:row r="136" ht="37" customHeight="1">
      <x:c r="A136" s="16" t="str">
        <x:v>MRG-0065</x:v>
      </x:c>
      <x:c r="B136" s="16" t="str">
        <x:v>Observation</x:v>
      </x:c>
      <x:c r="C136" s="16" t="str">
        <x:v>OBS-0478</x:v>
      </x:c>
      <x:c r="D136" s="16" t="str">
        <x:v>Right hand side columns facing front of house.</x:v>
      </x:c>
      <x:c r="E136" s="19" t="n">
        <x:v>1</x:v>
      </x:c>
      <x:c r="F136" s="16" t="str">
        <x:v>SRC-055</x:v>
      </x:c>
    </x:row>
    <x:row r="137" ht="37" customHeight="1">
      <x:c r="A137" s="16" t="str">
        <x:v>MRG-0066</x:v>
      </x:c>
      <x:c r="B137" s="16" t="str">
        <x:v>Observation</x:v>
      </x:c>
      <x:c r="C137" s="16" t="str">
        <x:v>OBS-0026</x:v>
      </x:c>
      <x:c r="D137" s="16" t="str">
        <x:v>Minor corrosion of verandah columns.</x:v>
      </x:c>
      <x:c r="E137" s="19" t="n">
        <x:v>3</x:v>
      </x:c>
      <x:c r="F137" s="16" t="str">
        <x:v>SRC-057</x:v>
      </x:c>
    </x:row>
    <x:row r="138" ht="37" customHeight="1">
      <x:c r="A138" s="16" t="str">
        <x:v>MRG-0066</x:v>
      </x:c>
      <x:c r="B138" s="16" t="str">
        <x:v>Observation</x:v>
      </x:c>
      <x:c r="C138" s="16" t="str">
        <x:v>OBS-0389</x:v>
      </x:c>
      <x:c r="D138" s="16" t="str">
        <x:v>Minor corrosion of front verandah columns.</x:v>
      </x:c>
      <x:c r="E138" s="19" t="n">
        <x:v>1</x:v>
      </x:c>
      <x:c r="F138" s="16" t="str">
        <x:v>SRC-027</x:v>
      </x:c>
    </x:row>
    <x:row r="139" ht="37" customHeight="1">
      <x:c r="A139" s="16" t="str">
        <x:v>MRG-0067</x:v>
      </x:c>
      <x:c r="B139" s="16" t="str">
        <x:v>Observation</x:v>
      </x:c>
      <x:c r="C139" s="16" t="str">
        <x:v>OBS-0067</x:v>
      </x:c>
      <x:c r="D139" s="16" t="str">
        <x:v>Minor corrosion towards lower section of column.</x:v>
      </x:c>
      <x:c r="E139" s="19" t="n">
        <x:v>2</x:v>
      </x:c>
      <x:c r="F139" s="16" t="str">
        <x:v>SRC-100</x:v>
      </x:c>
    </x:row>
    <x:row r="140" ht="37" customHeight="1">
      <x:c r="A140" s="16" t="str">
        <x:v>MRG-0067</x:v>
      </x:c>
      <x:c r="B140" s="16" t="str">
        <x:v>Observation</x:v>
      </x:c>
      <x:c r="C140" s="16" t="str">
        <x:v>OBS-0384</x:v>
      </x:c>
      <x:c r="D140" s="16" t="str">
        <x:v>Minor corrosion at lower section of column.</x:v>
      </x:c>
      <x:c r="E140" s="19" t="n">
        <x:v>1</x:v>
      </x:c>
      <x:c r="F140" s="16" t="str">
        <x:v>SRC-063</x:v>
      </x:c>
    </x:row>
    <x:row r="141" ht="37" customHeight="1">
      <x:c r="A141" s="16" t="str">
        <x:v>MRG-0068</x:v>
      </x:c>
      <x:c r="B141" s="16" t="str">
        <x:v>Observation</x:v>
      </x:c>
      <x:c r="C141" s="16" t="str">
        <x:v>OBS-0036</x:v>
      </x:c>
      <x:c r="D141" s="16" t="str">
        <x:v>Carport front window. Salt staining and minor corrosion.</x:v>
      </x:c>
      <x:c r="E141" s="19" t="n">
        <x:v>2</x:v>
      </x:c>
      <x:c r="F141" s="16" t="str">
        <x:v>SRC-009, SRC-055</x:v>
      </x:c>
    </x:row>
    <x:row r="142" ht="37" customHeight="1">
      <x:c r="A142" s="16" t="str">
        <x:v>MRG-0068</x:v>
      </x:c>
      <x:c r="B142" s="16" t="str">
        <x:v>Observation</x:v>
      </x:c>
      <x:c r="C142" s="16" t="str">
        <x:v>OBS-0311</x:v>
      </x:c>
      <x:c r="D142" s="16" t="str">
        <x:v>Front window. Salt staining and minor corrosion.</x:v>
      </x:c>
      <x:c r="E142" s="19" t="n">
        <x:v>1</x:v>
      </x:c>
      <x:c r="F142" s="16" t="str">
        <x:v>SRC-059</x:v>
      </x:c>
    </x:row>
    <x:row r="143" ht="41" customHeight="1">
      <x:c r="A143" s="16" t="str">
        <x:v>MRG-0069</x:v>
      </x:c>
      <x:c r="B143" s="16" t="str">
        <x:v>Observation</x:v>
      </x:c>
      <x:c r="C143" s="16" t="str">
        <x:v>OBS-0004</x:v>
      </x:c>
      <x:c r="D143" s="16" t="str">
        <x:v>Front of property. Cladding and framing in good condition.</x:v>
      </x:c>
      <x:c r="E143" s="19" t="n">
        <x:v>8</x:v>
      </x:c>
      <x:c r="F143" s="16" t="str">
        <x:v>SRC-001, SRC-003, SRC-004, SRC-011, SRC-024, SRC-026, SRC-052, SRC-056</x:v>
      </x:c>
    </x:row>
    <x:row r="144" ht="37" customHeight="1">
      <x:c r="A144" s="16" t="str">
        <x:v>MRG-0069</x:v>
      </x:c>
      <x:c r="B144" s="16" t="str">
        <x:v>Observation</x:v>
      </x:c>
      <x:c r="C144" s="16" t="str">
        <x:v>OBS-0011</x:v>
      </x:c>
      <x:c r="D144" s="16" t="str">
        <x:v>Back of property. Cladding and framing in good condition.</x:v>
      </x:c>
      <x:c r="E144" s="19" t="n">
        <x:v>4</x:v>
      </x:c>
      <x:c r="F144" s="16" t="str">
        <x:v>SRC-011, SRC-024, SRC-026, SRC-052</x:v>
      </x:c>
    </x:row>
    <x:row r="145" ht="37" customHeight="1">
      <x:c r="A145" s="16" t="str">
        <x:v>MRG-0070</x:v>
      </x:c>
      <x:c r="B145" s="16" t="str">
        <x:v>Observation</x:v>
      </x:c>
      <x:c r="C145" s="16" t="str">
        <x:v>OBS-0093</x:v>
      </x:c>
      <x:c r="D145" s="16" t="str">
        <x:v>All cladding in good condition.</x:v>
      </x:c>
      <x:c r="E145" s="19" t="n">
        <x:v>1</x:v>
      </x:c>
      <x:c r="F145" s="16" t="str">
        <x:v>SRC-061</x:v>
      </x:c>
    </x:row>
    <x:row r="146" ht="37" customHeight="1">
      <x:c r="A146" s="16" t="str">
        <x:v>MRG-0070</x:v>
      </x:c>
      <x:c r="B146" s="16" t="str">
        <x:v>Observation</x:v>
      </x:c>
      <x:c r="C146" s="16" t="str">
        <x:v>OBS-0099</x:v>
      </x:c>
      <x:c r="D146" s="16" t="str">
        <x:v>Back cladding in good condition.</x:v>
      </x:c>
      <x:c r="E146" s="19" t="n">
        <x:v>1</x:v>
      </x:c>
      <x:c r="F146" s="16" t="str">
        <x:v>SRC-002</x:v>
      </x:c>
    </x:row>
    <x:row r="147" ht="37" customHeight="1">
      <x:c r="A147" s="16" t="str">
        <x:v>MRG-0071</x:v>
      </x:c>
      <x:c r="B147" s="16" t="str">
        <x:v>Observation</x:v>
      </x:c>
      <x:c r="C147" s="16" t="str">
        <x:v>OBS-0222</x:v>
      </x:c>
      <x:c r="D147" s="16" t="str">
        <x:v>Corrosion and paint deterioration.</x:v>
      </x:c>
      <x:c r="E147" s="19" t="n">
        <x:v>1</x:v>
      </x:c>
      <x:c r="F147" s="16" t="str">
        <x:v>SRC-092</x:v>
      </x:c>
    </x:row>
    <x:row r="148" ht="37" customHeight="1">
      <x:c r="A148" s="16" t="str">
        <x:v>MRG-0071</x:v>
      </x:c>
      <x:c r="B148" s="16" t="str">
        <x:v>Observation</x:v>
      </x:c>
      <x:c r="C148" s="16" t="str">
        <x:v>OBS-0379</x:v>
      </x:c>
      <x:c r="D148" s="16" t="str">
        <x:v>Minor corrosion and paint deterioration.</x:v>
      </x:c>
      <x:c r="E148" s="19" t="n">
        <x:v>1</x:v>
      </x:c>
      <x:c r="F148" s="16" t="str">
        <x:v>SRC-063</x:v>
      </x:c>
    </x:row>
    <x:row r="149" ht="41" customHeight="1">
      <x:c r="A149" s="16" t="str">
        <x:v>MRG-0072</x:v>
      </x:c>
      <x:c r="B149" s="16" t="str">
        <x:v>Observation</x:v>
      </x:c>
      <x:c r="C149" s="16" t="str">
        <x:v>OBS-0161</x:v>
      </x:c>
      <x:c r="D149" s="16" t="str">
        <x:v>Carport front window. Minor corrosion at corner of window, typical to most windows. Salt staining on wall cladding at bolted connection.</x:v>
      </x:c>
      <x:c r="E149" s="19" t="n">
        <x:v>1</x:v>
      </x:c>
      <x:c r="F149" s="16" t="str">
        <x:v>SRC-025</x:v>
      </x:c>
    </x:row>
    <x:row r="150" ht="41" customHeight="1">
      <x:c r="A150" s="16" t="str">
        <x:v>MRG-0072</x:v>
      </x:c>
      <x:c r="B150" s="16" t="str">
        <x:v>Observation</x:v>
      </x:c>
      <x:c r="C150" s="16" t="str">
        <x:v>OBS-0383</x:v>
      </x:c>
      <x:c r="D150" s="16" t="str">
        <x:v>Minor corrosion at corner of window, typical to most windows. Salt staining on wall cladding at bolted connection.</x:v>
      </x:c>
      <x:c r="E150" s="19" t="n">
        <x:v>1</x:v>
      </x:c>
      <x:c r="F150" s="16" t="str">
        <x:v>SRC-027</x:v>
      </x:c>
    </x:row>
    <x:row r="151" ht="41" customHeight="1">
      <x:c r="A151" s="16" t="str">
        <x:v>MRG-0073</x:v>
      </x:c>
      <x:c r="B151" s="16" t="str">
        <x:v>Observation</x:v>
      </x:c>
      <x:c r="C151" s="16" t="str">
        <x:v>OBS-0507</x:v>
      </x:c>
      <x:c r="D151" s="16" t="str">
        <x:v>Right hand side roof overhang facing front entrance. Paint deterioration and salt staining on purlins and rafters.</x:v>
      </x:c>
      <x:c r="E151" s="19" t="n">
        <x:v>1</x:v>
      </x:c>
      <x:c r="F151" s="16" t="str">
        <x:v>SRC-009</x:v>
      </x:c>
    </x:row>
    <x:row r="152" ht="37" customHeight="1">
      <x:c r="A152" s="16" t="str">
        <x:v>MRG-0073</x:v>
      </x:c>
      <x:c r="B152" s="16" t="str">
        <x:v>Observation</x:v>
      </x:c>
      <x:c r="C152" s="16" t="str">
        <x:v>OBS-0508</x:v>
      </x:c>
      <x:c r="D152" s="16" t="str">
        <x:v>Right hand side roof overhang facing front entrance. Paint deterioration on purlins and rafters.</x:v>
      </x:c>
      <x:c r="E152" s="19" t="n">
        <x:v>1</x:v>
      </x:c>
      <x:c r="F152" s="16" t="str">
        <x:v>SRC-009</x:v>
      </x:c>
    </x:row>
    <x:row r="153" ht="37" customHeight="1">
      <x:c r="A153" s="16" t="str">
        <x:v>MRG-0074</x:v>
      </x:c>
      <x:c r="B153" s="16" t="str">
        <x:v>Observation</x:v>
      </x:c>
      <x:c r="C153" s="16" t="str">
        <x:v>OBS-0284</x:v>
      </x:c>
      <x:c r="D153" s="16" t="str">
        <x:v>Front roof overhang has salt minor corrosion on purlins and rafters.</x:v>
      </x:c>
      <x:c r="E153" s="19" t="n">
        <x:v>1</x:v>
      </x:c>
      <x:c r="F153" s="16" t="str">
        <x:v>SRC-061</x:v>
      </x:c>
    </x:row>
    <x:row r="154" ht="37" customHeight="1">
      <x:c r="A154" s="16" t="str">
        <x:v>MRG-0074</x:v>
      </x:c>
      <x:c r="B154" s="16" t="str">
        <x:v>Observation</x:v>
      </x:c>
      <x:c r="C154" s="16" t="str">
        <x:v>OBS-0285</x:v>
      </x:c>
      <x:c r="D154" s="16" t="str">
        <x:v>Front roof overhang has salt staining and minor corrosion on purlins and rafters.</x:v>
      </x:c>
      <x:c r="E154" s="19" t="n">
        <x:v>1</x:v>
      </x:c>
      <x:c r="F154" s="16" t="str">
        <x:v>SRC-058</x:v>
      </x:c>
    </x:row>
    <x:row r="155" ht="37" customHeight="1">
      <x:c r="A155" s="16" t="str">
        <x:v>MRG-0075</x:v>
      </x:c>
      <x:c r="B155" s="16" t="str">
        <x:v>Observation</x:v>
      </x:c>
      <x:c r="C155" s="16" t="str">
        <x:v>OBS-0189</x:v>
      </x:c>
      <x:c r="D155" s="16" t="str">
        <x:v>Column 1 strut. Paint deterioration and corrosion.</x:v>
      </x:c>
      <x:c r="E155" s="19" t="n">
        <x:v>1</x:v>
      </x:c>
      <x:c r="F155" s="16" t="str">
        <x:v>SRC-092</x:v>
      </x:c>
    </x:row>
    <x:row r="156" ht="37" customHeight="1">
      <x:c r="A156" s="16" t="str">
        <x:v>MRG-0075</x:v>
      </x:c>
      <x:c r="B156" s="16" t="str">
        <x:v>Observation</x:v>
      </x:c>
      <x:c r="C156" s="16" t="str">
        <x:v>OBS-0199</x:v>
      </x:c>
      <x:c r="D156" s="16" t="str">
        <x:v>Column 3. Paint deterioration and corrosion.</x:v>
      </x:c>
      <x:c r="E156" s="19" t="n">
        <x:v>1</x:v>
      </x:c>
      <x:c r="F156" s="16" t="str">
        <x:v>SRC-092</x:v>
      </x:c>
    </x:row>
    <x:row r="157" ht="37" customHeight="1">
      <x:c r="A157" s="16" t="str">
        <x:v>MRG-0076</x:v>
      </x:c>
      <x:c r="B157" s="16" t="str">
        <x:v>Observation</x:v>
      </x:c>
      <x:c r="C157" s="16" t="str">
        <x:v>OBS-0308</x:v>
      </x:c>
      <x:c r="D157" s="16" t="str">
        <x:v>Front verandah. Rafters have minor corrosion. Most significant corrosion towards end of rafter.</x:v>
      </x:c>
      <x:c r="E157" s="19" t="n">
        <x:v>1</x:v>
      </x:c>
      <x:c r="F157" s="16" t="str">
        <x:v>SRC-014</x:v>
      </x:c>
    </x:row>
    <x:row r="158" ht="41" customHeight="1">
      <x:c r="A158" s="16" t="str">
        <x:v>MRG-0076</x:v>
      </x:c>
      <x:c r="B158" s="16" t="str">
        <x:v>Observation</x:v>
      </x:c>
      <x:c r="C158" s="16" t="str">
        <x:v>OBS-0345</x:v>
      </x:c>
      <x:c r="D158" s="16" t="str">
        <x:v>Left hand side of front verandah. Rafters have minor corrosion. Most significant corrosion towards end of rafter.</x:v>
      </x:c>
      <x:c r="E158" s="19" t="n">
        <x:v>1</x:v>
      </x:c>
      <x:c r="F158" s="16" t="str">
        <x:v>SRC-014</x:v>
      </x:c>
    </x:row>
    <x:row r="159" ht="37" customHeight="1">
      <x:c r="A159" s="16" t="str">
        <x:v>MRG-0077</x:v>
      </x:c>
      <x:c r="B159" s="16" t="str">
        <x:v>Observation</x:v>
      </x:c>
      <x:c r="C159" s="16" t="str">
        <x:v>OBS-0093</x:v>
      </x:c>
      <x:c r="D159" s="16" t="str">
        <x:v>All cladding in good condition.</x:v>
      </x:c>
      <x:c r="E159" s="19" t="n">
        <x:v>1</x:v>
      </x:c>
      <x:c r="F159" s="16" t="str">
        <x:v>SRC-061</x:v>
      </x:c>
    </x:row>
    <x:row r="160" ht="37" customHeight="1">
      <x:c r="A160" s="16" t="str">
        <x:v>MRG-0077</x:v>
      </x:c>
      <x:c r="B160" s="16" t="str">
        <x:v>Observation</x:v>
      </x:c>
      <x:c r="C160" s="16" t="str">
        <x:v>OBS-0122</x:v>
      </x:c>
      <x:c r="D160" s="16" t="str">
        <x:v>Back wall cladding in good condition</x:v>
      </x:c>
      <x:c r="E160" s="19" t="n">
        <x:v>1</x:v>
      </x:c>
      <x:c r="F160" s="16" t="str">
        <x:v>SRC-015</x:v>
      </x:c>
    </x:row>
    <x:row r="161" ht="41" customHeight="1">
      <x:c r="A161" s="16" t="str">
        <x:v>MRG-0078</x:v>
      </x:c>
      <x:c r="B161" s="16" t="str">
        <x:v>Observation</x:v>
      </x:c>
      <x:c r="C161" s="16" t="str">
        <x:v>OBS-0003</x:v>
      </x:c>
      <x:c r="D161" s="16" t="str">
        <x:v>Carport verandah in good condition.</x:v>
      </x:c>
      <x:c r="E161" s="19" t="n">
        <x:v>8</x:v>
      </x:c>
      <x:c r="F161" s="16" t="str">
        <x:v>SRC-002, SRC-011, SRC-024, SRC-026, SRC-052, SRC-060, SRC-062</x:v>
      </x:c>
    </x:row>
    <x:row r="162" ht="37" customHeight="1">
      <x:c r="A162" s="16" t="str">
        <x:v>MRG-0078</x:v>
      </x:c>
      <x:c r="B162" s="16" t="str">
        <x:v>Observation</x:v>
      </x:c>
      <x:c r="C162" s="16" t="str">
        <x:v>OBS-0013</x:v>
      </x:c>
      <x:c r="D162" s="16" t="str">
        <x:v>Front verandah in good condition.</x:v>
      </x:c>
      <x:c r="E162" s="19" t="n">
        <x:v>4</x:v>
      </x:c>
      <x:c r="F162" s="16" t="str">
        <x:v>SRC-011, SRC-024, SRC-026, SRC-052</x:v>
      </x:c>
    </x:row>
    <x:row r="163" ht="41" customHeight="1">
      <x:c r="A163" s="16" t="str">
        <x:v>MRG-0079</x:v>
      </x:c>
      <x:c r="B163" s="16" t="str">
        <x:v>Observation</x:v>
      </x:c>
      <x:c r="C163" s="16" t="str">
        <x:v>OBS-0003</x:v>
      </x:c>
      <x:c r="D163" s="16" t="str">
        <x:v>Carport verandah in good condition.</x:v>
      </x:c>
      <x:c r="E163" s="19" t="n">
        <x:v>8</x:v>
      </x:c>
      <x:c r="F163" s="16" t="str">
        <x:v>SRC-002, SRC-011, SRC-024, SRC-026, SRC-052, SRC-060, SRC-062</x:v>
      </x:c>
    </x:row>
    <x:row r="164" ht="37" customHeight="1">
      <x:c r="A164" s="16" t="str">
        <x:v>MRG-0079</x:v>
      </x:c>
      <x:c r="B164" s="16" t="str">
        <x:v>Observation</x:v>
      </x:c>
      <x:c r="C164" s="16" t="str">
        <x:v>OBS-0078</x:v>
      </x:c>
      <x:c r="D164" s="16" t="str">
        <x:v>Porch verandah in good condition</x:v>
      </x:c>
      <x:c r="E164" s="19" t="n">
        <x:v>2</x:v>
      </x:c>
      <x:c r="F164" s="16" t="str">
        <x:v>SRC-001, SRC-062</x:v>
      </x:c>
    </x:row>
    <x:row r="165" ht="37" customHeight="1">
      <x:c r="A165" s="16" t="str">
        <x:v>MRG-0080</x:v>
      </x:c>
      <x:c r="B165" s="16" t="str">
        <x:v>Observation</x:v>
      </x:c>
      <x:c r="C165" s="16" t="str">
        <x:v>OBS-0045</x:v>
      </x:c>
      <x:c r="D165" s="16" t="str">
        <x:v>Corrosion delamination towards the lower.</x:v>
      </x:c>
      <x:c r="E165" s="19" t="n">
        <x:v>2</x:v>
      </x:c>
      <x:c r="F165" s="16" t="str">
        <x:v>SRC-092</x:v>
      </x:c>
    </x:row>
    <x:row r="166" ht="37" customHeight="1">
      <x:c r="A166" s="16" t="str">
        <x:v>MRG-0080</x:v>
      </x:c>
      <x:c r="B166" s="16" t="str">
        <x:v>Observation</x:v>
      </x:c>
      <x:c r="C166" s="16" t="str">
        <x:v>OBS-0227</x:v>
      </x:c>
      <x:c r="D166" s="16" t="str">
        <x:v>Corrosion delamination towards the lower section.</x:v>
      </x:c>
      <x:c r="E166" s="19" t="n">
        <x:v>1</x:v>
      </x:c>
      <x:c r="F166" s="16" t="str">
        <x:v>SRC-092</x:v>
      </x:c>
    </x:row>
    <x:row r="167" ht="37" customHeight="1">
      <x:c r="A167" s="16" t="str">
        <x:v>MRG-0081</x:v>
      </x:c>
      <x:c r="B167" s="16" t="str">
        <x:v>Observation</x:v>
      </x:c>
      <x:c r="C167" s="16" t="str">
        <x:v>OBS-0025</x:v>
      </x:c>
      <x:c r="D167" s="16" t="str">
        <x:v>Front wall cladding in good condition</x:v>
      </x:c>
      <x:c r="E167" s="19" t="n">
        <x:v>3</x:v>
      </x:c>
      <x:c r="F167" s="16" t="str">
        <x:v>SRC-014, SRC-015, SRC-058</x:v>
      </x:c>
    </x:row>
    <x:row r="168" ht="37" customHeight="1">
      <x:c r="A168" s="16" t="str">
        <x:v>MRG-0081</x:v>
      </x:c>
      <x:c r="B168" s="16" t="str">
        <x:v>Observation</x:v>
      </x:c>
      <x:c r="C168" s="16" t="str">
        <x:v>OBS-0512</x:v>
      </x:c>
      <x:c r="D168" s="16" t="str">
        <x:v>Roof and wall cladding in good condition.</x:v>
      </x:c>
      <x:c r="E168" s="19" t="n">
        <x:v>1</x:v>
      </x:c>
      <x:c r="F168" s="16" t="str">
        <x:v>SRC-025</x:v>
      </x:c>
    </x:row>
    <x:row r="169" ht="37" customHeight="1">
      <x:c r="A169" s="16" t="str">
        <x:v>MRG-0082</x:v>
      </x:c>
      <x:c r="B169" s="16" t="str">
        <x:v>Observation</x:v>
      </x:c>
      <x:c r="C169" s="16" t="str">
        <x:v>OBS-0268</x:v>
      </x:c>
      <x:c r="D169" s="16" t="str">
        <x:v>Front and right hand side of house facing the entrance. Minor corrosion of verandah beam.</x:v>
      </x:c>
      <x:c r="E169" s="19" t="n">
        <x:v>1</x:v>
      </x:c>
      <x:c r="F169" s="16" t="str">
        <x:v>SRC-055</x:v>
      </x:c>
    </x:row>
    <x:row r="170" ht="37" customHeight="1">
      <x:c r="A170" s="16" t="str">
        <x:v>MRG-0082</x:v>
      </x:c>
      <x:c r="B170" s="16" t="str">
        <x:v>Observation</x:v>
      </x:c>
      <x:c r="C170" s="16" t="str">
        <x:v>OBS-0351</x:v>
      </x:c>
      <x:c r="D170" s="16" t="str">
        <x:v>Left hand side of house facing the entrance. Minor corrosion of verandah beam.</x:v>
      </x:c>
      <x:c r="E170" s="19" t="n">
        <x:v>1</x:v>
      </x:c>
      <x:c r="F170" s="16" t="str">
        <x:v>SRC-025</x:v>
      </x:c>
    </x:row>
    <x:row r="171" ht="37" customHeight="1">
      <x:c r="A171" s="16" t="str">
        <x:v>MRG-0083</x:v>
      </x:c>
      <x:c r="B171" s="16" t="str">
        <x:v>Observation</x:v>
      </x:c>
      <x:c r="C171" s="16" t="str">
        <x:v>OBS-0377</x:v>
      </x:c>
      <x:c r="D171" s="16" t="str">
        <x:v>Minor corrosion and paint deterioration on hoop.</x:v>
      </x:c>
      <x:c r="E171" s="19" t="n">
        <x:v>1</x:v>
      </x:c>
      <x:c r="F171" s="16" t="str">
        <x:v>SRC-092</x:v>
      </x:c>
    </x:row>
    <x:row r="172" ht="37" customHeight="1">
      <x:c r="A172" s="16" t="str">
        <x:v>MRG-0083</x:v>
      </x:c>
      <x:c r="B172" s="16" t="str">
        <x:v>Observation</x:v>
      </x:c>
      <x:c r="C172" s="16" t="str">
        <x:v>OBS-0379</x:v>
      </x:c>
      <x:c r="D172" s="16" t="str">
        <x:v>Minor corrosion and paint deterioration.</x:v>
      </x:c>
      <x:c r="E172" s="19" t="n">
        <x:v>1</x:v>
      </x:c>
      <x:c r="F172" s="16" t="str">
        <x:v>SRC-063</x:v>
      </x:c>
    </x:row>
    <x:row r="173" ht="37" customHeight="1">
      <x:c r="A173" s="16" t="str">
        <x:v>MRG-0084</x:v>
      </x:c>
      <x:c r="B173" s="16" t="str">
        <x:v>Observation</x:v>
      </x:c>
      <x:c r="C173" s="16" t="str">
        <x:v>OBS-0139</x:v>
      </x:c>
      <x:c r="D173" s="16" t="str">
        <x:v>Backyard verandah. Paint deterioration on purlins and rafters.</x:v>
      </x:c>
      <x:c r="E173" s="19" t="n">
        <x:v>1</x:v>
      </x:c>
      <x:c r="F173" s="16" t="str">
        <x:v>SRC-009</x:v>
      </x:c>
    </x:row>
    <x:row r="174" ht="37" customHeight="1">
      <x:c r="A174" s="16" t="str">
        <x:v>MRG-0084</x:v>
      </x:c>
      <x:c r="B174" s="16" t="str">
        <x:v>Observation</x:v>
      </x:c>
      <x:c r="C174" s="16" t="str">
        <x:v>OBS-0305</x:v>
      </x:c>
      <x:c r="D174" s="16" t="str">
        <x:v>Front verandah. Paint deterioration on purlins and rafters.</x:v>
      </x:c>
      <x:c r="E174" s="19" t="n">
        <x:v>1</x:v>
      </x:c>
      <x:c r="F174" s="16" t="str">
        <x:v>SRC-009</x:v>
      </x:c>
    </x:row>
    <x:row r="175" ht="37" customHeight="1">
      <x:c r="A175" s="16" t="str">
        <x:v>MRG-0085</x:v>
      </x:c>
      <x:c r="B175" s="16" t="str">
        <x:v>Observation</x:v>
      </x:c>
      <x:c r="C175" s="16" t="str">
        <x:v>OBS-0072</x:v>
      </x:c>
      <x:c r="D175" s="16" t="str">
        <x:v>Overview of carport.</x:v>
      </x:c>
      <x:c r="E175" s="19" t="n">
        <x:v>2</x:v>
      </x:c>
      <x:c r="F175" s="16" t="str">
        <x:v>SRC-005, SRC-029</x:v>
      </x:c>
    </x:row>
    <x:row r="176" ht="37" customHeight="1">
      <x:c r="A176" s="16" t="str">
        <x:v>MRG-0085</x:v>
      </x:c>
      <x:c r="B176" s="16" t="str">
        <x:v>Observation</x:v>
      </x:c>
      <x:c r="C176" s="16" t="str">
        <x:v>OBS-0440</x:v>
      </x:c>
      <x:c r="D176" s="16" t="str">
        <x:v>Overview of the carport.</x:v>
      </x:c>
      <x:c r="E176" s="19" t="n">
        <x:v>1</x:v>
      </x:c>
      <x:c r="F176" s="16" t="str">
        <x:v>SRC-009</x:v>
      </x:c>
    </x:row>
    <x:row r="177" ht="41" customHeight="1">
      <x:c r="A177" s="16" t="str">
        <x:v>MRG-0086</x:v>
      </x:c>
      <x:c r="B177" s="16" t="str">
        <x:v>Observation</x:v>
      </x:c>
      <x:c r="C177" s="16" t="str">
        <x:v>OBS-0091</x:v>
      </x:c>
      <x:c r="D177" s="16" t="str">
        <x:v>Adjacent to front door. Minor corrosion at corner of window, typical to most windows. Staining on wall cladding at bolted connection.</x:v>
      </x:c>
      <x:c r="E177" s="19" t="n">
        <x:v>1</x:v>
      </x:c>
      <x:c r="F177" s="16" t="str">
        <x:v>SRC-023</x:v>
      </x:c>
    </x:row>
    <x:row r="178" ht="41" customHeight="1">
      <x:c r="A178" s="16" t="str">
        <x:v>MRG-0086</x:v>
      </x:c>
      <x:c r="B178" s="16" t="str">
        <x:v>Observation</x:v>
      </x:c>
      <x:c r="C178" s="16" t="str">
        <x:v>OBS-0161</x:v>
      </x:c>
      <x:c r="D178" s="16" t="str">
        <x:v>Carport front window. Minor corrosion at corner of window, typical to most windows. Salt staining on wall cladding at bolted connection.</x:v>
      </x:c>
      <x:c r="E178" s="19" t="n">
        <x:v>1</x:v>
      </x:c>
      <x:c r="F178" s="16" t="str">
        <x:v>SRC-025</x:v>
      </x:c>
    </x:row>
    <x:row r="179" ht="37" customHeight="1">
      <x:c r="A179" s="16" t="str">
        <x:v>MRG-0087</x:v>
      </x:c>
      <x:c r="B179" s="16" t="str">
        <x:v>Observation</x:v>
      </x:c>
      <x:c r="C179" s="16" t="str">
        <x:v>OBS-0013</x:v>
      </x:c>
      <x:c r="D179" s="16" t="str">
        <x:v>Front verandah in good condition.</x:v>
      </x:c>
      <x:c r="E179" s="19" t="n">
        <x:v>4</x:v>
      </x:c>
      <x:c r="F179" s="16" t="str">
        <x:v>SRC-011, SRC-024, SRC-026, SRC-052</x:v>
      </x:c>
    </x:row>
    <x:row r="180" ht="37" customHeight="1">
      <x:c r="A180" s="16" t="str">
        <x:v>MRG-0087</x:v>
      </x:c>
      <x:c r="B180" s="16" t="str">
        <x:v>Observation</x:v>
      </x:c>
      <x:c r="C180" s="16" t="str">
        <x:v>OBS-0051</x:v>
      </x:c>
      <x:c r="D180" s="16" t="str">
        <x:v>Front verandah column in good condition.</x:v>
      </x:c>
      <x:c r="E180" s="19" t="n">
        <x:v>2</x:v>
      </x:c>
      <x:c r="F180" s="16" t="str">
        <x:v>SRC-050, SRC-052</x:v>
      </x:c>
    </x:row>
    <x:row r="181" ht="37" customHeight="1">
      <x:c r="A181" s="16" t="str">
        <x:v>MRG-0088</x:v>
      </x:c>
      <x:c r="B181" s="16" t="str">
        <x:v>Observation</x:v>
      </x:c>
      <x:c r="C181" s="16" t="str">
        <x:v>OBS-0055</x:v>
      </x:c>
      <x:c r="D181" s="16" t="str">
        <x:v>Left hand side columns facing front of house.</x:v>
      </x:c>
      <x:c r="E181" s="19" t="n">
        <x:v>2</x:v>
      </x:c>
      <x:c r="F181" s="16" t="str">
        <x:v>SRC-009, SRC-055</x:v>
      </x:c>
    </x:row>
    <x:row r="182" ht="37" customHeight="1">
      <x:c r="A182" s="16" t="str">
        <x:v>MRG-0088</x:v>
      </x:c>
      <x:c r="B182" s="16" t="str">
        <x:v>Observation</x:v>
      </x:c>
      <x:c r="C182" s="16" t="str">
        <x:v>OBS-0365</x:v>
      </x:c>
      <x:c r="D182" s="16" t="str">
        <x:v>Left-hand side facing front of house.</x:v>
      </x:c>
      <x:c r="E182" s="19" t="n">
        <x:v>1</x:v>
      </x:c>
      <x:c r="F182" s="16" t="str">
        <x:v>SRC-015</x:v>
      </x:c>
    </x:row>
    <x:row r="183" ht="37" customHeight="1">
      <x:c r="A183" s="16" t="str">
        <x:v>MRG-0089</x:v>
      </x:c>
      <x:c r="B183" s="16" t="str">
        <x:v>Observation</x:v>
      </x:c>
      <x:c r="C183" s="16" t="str">
        <x:v>OBS-0505</x:v>
      </x:c>
      <x:c r="D183" s="16" t="str">
        <x:v>Right hand side of property. Cladding and framing in good condition.</x:v>
      </x:c>
      <x:c r="E183" s="19" t="n">
        <x:v>1</x:v>
      </x:c>
      <x:c r="F183" s="16" t="str">
        <x:v>SRC-002</x:v>
      </x:c>
    </x:row>
    <x:row r="184" ht="37" customHeight="1">
      <x:c r="A184" s="16" t="str">
        <x:v>MRG-0089</x:v>
      </x:c>
      <x:c r="B184" s="16" t="str">
        <x:v>Observation</x:v>
      </x:c>
      <x:c r="C184" s="16" t="str">
        <x:v>OBS-0506</x:v>
      </x:c>
      <x:c r="D184" s="16" t="str">
        <x:v>Right hand side of property. Cladding in good condition.</x:v>
      </x:c>
      <x:c r="E184" s="19" t="n">
        <x:v>1</x:v>
      </x:c>
      <x:c r="F184" s="16" t="str">
        <x:v>SRC-001</x:v>
      </x:c>
    </x:row>
    <x:row r="185" ht="37" customHeight="1">
      <x:c r="A185" s="16" t="str">
        <x:v>MRG-0090</x:v>
      </x:c>
      <x:c r="B185" s="16" t="str">
        <x:v>Observation</x:v>
      </x:c>
      <x:c r="C185" s="16" t="str">
        <x:v>OBS-0007</x:v>
      </x:c>
      <x:c r="D185" s="16" t="str">
        <x:v>Back verandah in good condition.</x:v>
      </x:c>
      <x:c r="E185" s="19" t="n">
        <x:v>5</x:v>
      </x:c>
      <x:c r="F185" s="16" t="str">
        <x:v>SRC-011, SRC-024, SRC-026, SRC-052, SRC-060</x:v>
      </x:c>
    </x:row>
    <x:row r="186" ht="37" customHeight="1">
      <x:c r="A186" s="16" t="str">
        <x:v>MRG-0090</x:v>
      </x:c>
      <x:c r="B186" s="16" t="str">
        <x:v>Observation</x:v>
      </x:c>
      <x:c r="C186" s="16" t="str">
        <x:v>OBS-0109</x:v>
      </x:c>
      <x:c r="D186" s="16" t="str">
        <x:v>Back verandah column in good condition.</x:v>
      </x:c>
      <x:c r="E186" s="19" t="n">
        <x:v>1</x:v>
      </x:c>
      <x:c r="F186" s="16" t="str">
        <x:v>SRC-052</x:v>
      </x:c>
    </x:row>
    <x:row r="187" ht="41" customHeight="1">
      <x:c r="A187" s="16" t="str">
        <x:v>MRG-0091</x:v>
      </x:c>
      <x:c r="B187" s="16" t="str">
        <x:v>Observation</x:v>
      </x:c>
      <x:c r="C187" s="16" t="str">
        <x:v>OBS-0490</x:v>
      </x:c>
      <x:c r="D187" s="16" t="str">
        <x:v>Right hand side of house facing front entrance. Minor corrosion to rafters. Staining on wall cladding at bolted connection.</x:v>
      </x:c>
      <x:c r="E187" s="19" t="n">
        <x:v>1</x:v>
      </x:c>
      <x:c r="F187" s="16" t="str">
        <x:v>SRC-023</x:v>
      </x:c>
    </x:row>
    <x:row r="188" ht="41" customHeight="1">
      <x:c r="A188" s="16" t="str">
        <x:v>MRG-0091</x:v>
      </x:c>
      <x:c r="B188" s="16" t="str">
        <x:v>Observation</x:v>
      </x:c>
      <x:c r="C188" s="16" t="str">
        <x:v>OBS-0497</x:v>
      </x:c>
      <x:c r="D188" s="16" t="str">
        <x:v>Right hand side of house front window. Minor corrosion to rafters. Salt staining on wall cladding at bolted connection.</x:v>
      </x:c>
      <x:c r="E188" s="19" t="n">
        <x:v>1</x:v>
      </x:c>
      <x:c r="F188" s="16" t="str">
        <x:v>SRC-025</x:v>
      </x:c>
    </x:row>
    <x:row r="189" ht="37" customHeight="1">
      <x:c r="A189" s="16" t="str">
        <x:v>MRG-0092</x:v>
      </x:c>
      <x:c r="B189" s="16" t="str">
        <x:v>Observation</x:v>
      </x:c>
      <x:c r="C189" s="16" t="str">
        <x:v>OBS-0493</x:v>
      </x:c>
      <x:c r="D189" s="16" t="str">
        <x:v>Right hand side of house facing the entrance. Minor corrosion of verandah beams and posts.</x:v>
      </x:c>
      <x:c r="E189" s="19" t="n">
        <x:v>1</x:v>
      </x:c>
      <x:c r="F189" s="16" t="str">
        <x:v>SRC-010</x:v>
      </x:c>
    </x:row>
    <x:row r="190" ht="37" customHeight="1">
      <x:c r="A190" s="16" t="str">
        <x:v>MRG-0092</x:v>
      </x:c>
      <x:c r="B190" s="16" t="str">
        <x:v>Observation</x:v>
      </x:c>
      <x:c r="C190" s="16" t="str">
        <x:v>OBS-0494</x:v>
      </x:c>
      <x:c r="D190" s="16" t="str">
        <x:v>Right hand side of house facing the entrance. Minor corrosion of verandah column and beam.</x:v>
      </x:c>
      <x:c r="E190" s="19" t="n">
        <x:v>1</x:v>
      </x:c>
      <x:c r="F190" s="16" t="str">
        <x:v>SRC-010</x:v>
      </x:c>
    </x:row>
    <x:row r="191" ht="37" customHeight="1">
      <x:c r="A191" s="16" t="str">
        <x:v>MRG-0093</x:v>
      </x:c>
      <x:c r="B191" s="16" t="str">
        <x:v>Observation</x:v>
      </x:c>
      <x:c r="C191" s="16" t="str">
        <x:v>OBS-0066</x:v>
      </x:c>
      <x:c r="D191" s="16" t="str">
        <x:v>Minor corrosion on roof sheeting</x:v>
      </x:c>
      <x:c r="E191" s="19" t="n">
        <x:v>2</x:v>
      </x:c>
      <x:c r="F191" s="16" t="str">
        <x:v>SRC-059, SRC-063</x:v>
      </x:c>
    </x:row>
    <x:row r="192" ht="37" customHeight="1">
      <x:c r="A192" s="16" t="str">
        <x:v>MRG-0093</x:v>
      </x:c>
      <x:c r="B192" s="16" t="str">
        <x:v>Observation</x:v>
      </x:c>
      <x:c r="C192" s="16" t="str">
        <x:v>OBS-0233</x:v>
      </x:c>
      <x:c r="D192" s="16" t="str">
        <x:v>Corrosion on roof sheeting.</x:v>
      </x:c>
      <x:c r="E192" s="19" t="n">
        <x:v>1</x:v>
      </x:c>
      <x:c r="F192" s="16" t="str">
        <x:v>SRC-063</x:v>
      </x:c>
    </x:row>
    <x:row r="193" ht="37" customHeight="1">
      <x:c r="A193" s="16" t="str">
        <x:v>MRG-0094</x:v>
      </x:c>
      <x:c r="B193" s="16" t="str">
        <x:v>Observation</x:v>
      </x:c>
      <x:c r="C193" s="16" t="str">
        <x:v>OBS-0025</x:v>
      </x:c>
      <x:c r="D193" s="16" t="str">
        <x:v>Front wall cladding in good condition</x:v>
      </x:c>
      <x:c r="E193" s="19" t="n">
        <x:v>3</x:v>
      </x:c>
      <x:c r="F193" s="16" t="str">
        <x:v>SRC-014, SRC-015, SRC-058</x:v>
      </x:c>
    </x:row>
    <x:row r="194" ht="37" customHeight="1">
      <x:c r="A194" s="16" t="str">
        <x:v>MRG-0094</x:v>
      </x:c>
      <x:c r="B194" s="16" t="str">
        <x:v>Observation</x:v>
      </x:c>
      <x:c r="C194" s="16" t="str">
        <x:v>OBS-0093</x:v>
      </x:c>
      <x:c r="D194" s="16" t="str">
        <x:v>All cladding in good condition.</x:v>
      </x:c>
      <x:c r="E194" s="19" t="n">
        <x:v>1</x:v>
      </x:c>
      <x:c r="F194" s="16" t="str">
        <x:v>SRC-061</x:v>
      </x:c>
    </x:row>
    <x:row r="195" ht="41" customHeight="1">
      <x:c r="A195" s="16" t="str">
        <x:v>MRG-0095</x:v>
      </x:c>
      <x:c r="B195" s="16" t="str">
        <x:v>Observation</x:v>
      </x:c>
      <x:c r="C195" s="16" t="str">
        <x:v>OBS-0003</x:v>
      </x:c>
      <x:c r="D195" s="16" t="str">
        <x:v>Carport verandah in good condition.</x:v>
      </x:c>
      <x:c r="E195" s="19" t="n">
        <x:v>8</x:v>
      </x:c>
      <x:c r="F195" s="16" t="str">
        <x:v>SRC-002, SRC-011, SRC-024, SRC-026, SRC-052, SRC-060, SRC-062</x:v>
      </x:c>
    </x:row>
    <x:row r="196" ht="37" customHeight="1">
      <x:c r="A196" s="16" t="str">
        <x:v>MRG-0095</x:v>
      </x:c>
      <x:c r="B196" s="16" t="str">
        <x:v>Observation</x:v>
      </x:c>
      <x:c r="C196" s="16" t="str">
        <x:v>OBS-0012</x:v>
      </x:c>
      <x:c r="D196" s="16" t="str">
        <x:v>Carport verandah columns in good condition.</x:v>
      </x:c>
      <x:c r="E196" s="19" t="n">
        <x:v>4</x:v>
      </x:c>
      <x:c r="F196" s="16" t="str">
        <x:v>SRC-025, SRC-053</x:v>
      </x:c>
    </x:row>
    <x:row r="197" ht="37" customHeight="1">
      <x:c r="A197" s="16" t="str">
        <x:v>MRG-0096</x:v>
      </x:c>
      <x:c r="B197" s="16" t="str">
        <x:v>Observation</x:v>
      </x:c>
      <x:c r="C197" s="16" t="str">
        <x:v>OBS-0516</x:v>
      </x:c>
      <x:c r="D197" s="16" t="str">
        <x:v>Row 1 Column 1 corrosion to the lower portion of column.</x:v>
      </x:c>
      <x:c r="E197" s="19" t="n">
        <x:v>1</x:v>
      </x:c>
      <x:c r="F197" s="16" t="str">
        <x:v>SRC-010</x:v>
      </x:c>
    </x:row>
    <x:row r="198" ht="37" customHeight="1">
      <x:c r="A198" s="16" t="str">
        <x:v>MRG-0096</x:v>
      </x:c>
      <x:c r="B198" s="16" t="str">
        <x:v>Observation</x:v>
      </x:c>
      <x:c r="C198" s="16" t="str">
        <x:v>OBS-0521</x:v>
      </x:c>
      <x:c r="D198" s="16" t="str">
        <x:v>Row 1 Column 1. Minor corrosion at lower portion of column.</x:v>
      </x:c>
      <x:c r="E198" s="19" t="n">
        <x:v>1</x:v>
      </x:c>
      <x:c r="F198" s="16" t="str">
        <x:v>SRC-059</x:v>
      </x:c>
    </x:row>
    <x:row r="199" ht="41" customHeight="1">
      <x:c r="A199" s="16" t="str">
        <x:v>MRG-0097</x:v>
      </x:c>
      <x:c r="B199" s="16" t="str">
        <x:v>Observation</x:v>
      </x:c>
      <x:c r="C199" s="16" t="str">
        <x:v>OBS-0162</x:v>
      </x:c>
      <x:c r="D199" s="16" t="str">
        <x:v>Carport front window. Minor corrosion at corner of window, typical to most windows. Staining on wall cladding at bolted connection.</x:v>
      </x:c>
      <x:c r="E199" s="19" t="n">
        <x:v>1</x:v>
      </x:c>
      <x:c r="F199" s="16" t="str">
        <x:v>SRC-023</x:v>
      </x:c>
    </x:row>
    <x:row r="200" ht="41" customHeight="1">
      <x:c r="A200" s="16" t="str">
        <x:v>MRG-0097</x:v>
      </x:c>
      <x:c r="B200" s="16" t="str">
        <x:v>Observation</x:v>
      </x:c>
      <x:c r="C200" s="16" t="str">
        <x:v>OBS-0383</x:v>
      </x:c>
      <x:c r="D200" s="16" t="str">
        <x:v>Minor corrosion at corner of window, typical to most windows. Salt staining on wall cladding at bolted connection.</x:v>
      </x:c>
      <x:c r="E200" s="19" t="n">
        <x:v>1</x:v>
      </x:c>
      <x:c r="F200" s="16" t="str">
        <x:v>SRC-027</x:v>
      </x:c>
    </x:row>
    <x:row r="201" ht="37" customHeight="1">
      <x:c r="A201" s="16" t="str">
        <x:v>MRG-0098</x:v>
      </x:c>
      <x:c r="B201" s="16" t="str">
        <x:v>Observation</x:v>
      </x:c>
      <x:c r="C201" s="16" t="str">
        <x:v>OBS-0351</x:v>
      </x:c>
      <x:c r="D201" s="16" t="str">
        <x:v>Left hand side of house facing the entrance. Minor corrosion of verandah beam.</x:v>
      </x:c>
      <x:c r="E201" s="19" t="n">
        <x:v>1</x:v>
      </x:c>
      <x:c r="F201" s="16" t="str">
        <x:v>SRC-025</x:v>
      </x:c>
    </x:row>
    <x:row r="202" ht="37" customHeight="1">
      <x:c r="A202" s="16" t="str">
        <x:v>MRG-0098</x:v>
      </x:c>
      <x:c r="B202" s="16" t="str">
        <x:v>Observation</x:v>
      </x:c>
      <x:c r="C202" s="16" t="str">
        <x:v>OBS-0493</x:v>
      </x:c>
      <x:c r="D202" s="16" t="str">
        <x:v>Right hand side of house facing the entrance. Minor corrosion of verandah beams and posts.</x:v>
      </x:c>
      <x:c r="E202" s="19" t="n">
        <x:v>1</x:v>
      </x:c>
      <x:c r="F202" s="16" t="str">
        <x:v>SRC-010</x:v>
      </x:c>
    </x:row>
    <x:row r="203" ht="37" customHeight="1">
      <x:c r="A203" s="16" t="str">
        <x:v>MRG-0099</x:v>
      </x:c>
      <x:c r="B203" s="16" t="str">
        <x:v>Observation</x:v>
      </x:c>
      <x:c r="C203" s="16" t="str">
        <x:v>OBS-0351</x:v>
      </x:c>
      <x:c r="D203" s="16" t="str">
        <x:v>Left hand side of house facing the entrance. Minor corrosion of verandah beam.</x:v>
      </x:c>
      <x:c r="E203" s="19" t="n">
        <x:v>1</x:v>
      </x:c>
      <x:c r="F203" s="16" t="str">
        <x:v>SRC-025</x:v>
      </x:c>
    </x:row>
    <x:row r="204" ht="37" customHeight="1">
      <x:c r="A204" s="16" t="str">
        <x:v>MRG-0099</x:v>
      </x:c>
      <x:c r="B204" s="16" t="str">
        <x:v>Observation</x:v>
      </x:c>
      <x:c r="C204" s="16" t="str">
        <x:v>OBS-0494</x:v>
      </x:c>
      <x:c r="D204" s="16" t="str">
        <x:v>Right hand side of house facing the entrance. Minor corrosion of verandah column and beam.</x:v>
      </x:c>
      <x:c r="E204" s="19" t="n">
        <x:v>1</x:v>
      </x:c>
      <x:c r="F204" s="16" t="str">
        <x:v>SRC-010</x:v>
      </x:c>
    </x:row>
    <x:row r="205" ht="37" customHeight="1">
      <x:c r="A205" s="16" t="str">
        <x:v>MRG-0100</x:v>
      </x:c>
      <x:c r="B205" s="16" t="str">
        <x:v>Observation</x:v>
      </x:c>
      <x:c r="C205" s="16" t="str">
        <x:v>OBS-0007</x:v>
      </x:c>
      <x:c r="D205" s="16" t="str">
        <x:v>Back verandah in good condition.</x:v>
      </x:c>
      <x:c r="E205" s="19" t="n">
        <x:v>5</x:v>
      </x:c>
      <x:c r="F205" s="16" t="str">
        <x:v>SRC-011, SRC-024, SRC-026, SRC-052, SRC-060</x:v>
      </x:c>
    </x:row>
    <x:row r="206" ht="37" customHeight="1">
      <x:c r="A206" s="16" t="str">
        <x:v>MRG-0100</x:v>
      </x:c>
      <x:c r="B206" s="16" t="str">
        <x:v>Observation</x:v>
      </x:c>
      <x:c r="C206" s="16" t="str">
        <x:v>OBS-0078</x:v>
      </x:c>
      <x:c r="D206" s="16" t="str">
        <x:v>Porch verandah in good condition</x:v>
      </x:c>
      <x:c r="E206" s="19" t="n">
        <x:v>2</x:v>
      </x:c>
      <x:c r="F206" s="16" t="str">
        <x:v>SRC-001, SRC-062</x:v>
      </x:c>
    </x:row>
    <x:row r="207" ht="37" customHeight="1">
      <x:c r="A207" s="16" t="str">
        <x:v>MRG-0101</x:v>
      </x:c>
      <x:c r="B207" s="16" t="str">
        <x:v>Observation</x:v>
      </x:c>
      <x:c r="C207" s="16" t="str">
        <x:v>OBS-0012</x:v>
      </x:c>
      <x:c r="D207" s="16" t="str">
        <x:v>Carport verandah columns in good condition.</x:v>
      </x:c>
      <x:c r="E207" s="19" t="n">
        <x:v>4</x:v>
      </x:c>
      <x:c r="F207" s="16" t="str">
        <x:v>SRC-025, SRC-053</x:v>
      </x:c>
    </x:row>
    <x:row r="208" ht="37" customHeight="1">
      <x:c r="A208" s="16" t="str">
        <x:v>MRG-0101</x:v>
      </x:c>
      <x:c r="B208" s="16" t="str">
        <x:v>Observation</x:v>
      </x:c>
      <x:c r="C208" s="16" t="str">
        <x:v>OBS-0021</x:v>
      </x:c>
      <x:c r="D208" s="16" t="str">
        <x:v>Back verandah columns in good condition.</x:v>
      </x:c>
      <x:c r="E208" s="19" t="n">
        <x:v>3</x:v>
      </x:c>
      <x:c r="F208" s="16" t="str">
        <x:v>SRC-011, SRC-026, SRC-060</x:v>
      </x:c>
    </x:row>
    <x:row r="209" ht="37" customHeight="1">
      <x:c r="A209" s="16" t="str">
        <x:v>MRG-0102</x:v>
      </x:c>
      <x:c r="B209" s="16" t="str">
        <x:v>Observation</x:v>
      </x:c>
      <x:c r="C209" s="16" t="str">
        <x:v>OBS-0013</x:v>
      </x:c>
      <x:c r="D209" s="16" t="str">
        <x:v>Front verandah in good condition.</x:v>
      </x:c>
      <x:c r="E209" s="19" t="n">
        <x:v>4</x:v>
      </x:c>
      <x:c r="F209" s="16" t="str">
        <x:v>SRC-011, SRC-024, SRC-026, SRC-052</x:v>
      </x:c>
    </x:row>
    <x:row r="210" ht="37" customHeight="1">
      <x:c r="A210" s="16" t="str">
        <x:v>MRG-0102</x:v>
      </x:c>
      <x:c r="B210" s="16" t="str">
        <x:v>Observation</x:v>
      </x:c>
      <x:c r="C210" s="16" t="str">
        <x:v>OBS-0299</x:v>
      </x:c>
      <x:c r="D210" s="16" t="str">
        <x:v>Front verandah. Columns in good condition.</x:v>
      </x:c>
      <x:c r="E210" s="19" t="n">
        <x:v>1</x:v>
      </x:c>
      <x:c r="F210" s="16" t="str">
        <x:v>SRC-053</x:v>
      </x:c>
    </x:row>
    <x:row r="211" ht="37" customHeight="1">
      <x:c r="A211" s="16" t="str">
        <x:v>MRG-0103</x:v>
      </x:c>
      <x:c r="B211" s="16" t="str">
        <x:v>Observation</x:v>
      </x:c>
      <x:c r="C211" s="16" t="str">
        <x:v>OBS-0408</x:v>
      </x:c>
      <x:c r="D211" s="16" t="str">
        <x:v>Minor surface corrosion of window corner.</x:v>
      </x:c>
      <x:c r="E211" s="19" t="n">
        <x:v>1</x:v>
      </x:c>
      <x:c r="F211" s="16" t="str">
        <x:v>SRC-010</x:v>
      </x:c>
    </x:row>
    <x:row r="212" ht="37" customHeight="1">
      <x:c r="A212" s="16" t="str">
        <x:v>MRG-0103</x:v>
      </x:c>
      <x:c r="B212" s="16" t="str">
        <x:v>Observation</x:v>
      </x:c>
      <x:c r="C212" s="16" t="str">
        <x:v>OBS-0409</x:v>
      </x:c>
      <x:c r="D212" s="16" t="str">
        <x:v>Minor surface corrosion of window framing</x:v>
      </x:c>
      <x:c r="E212" s="19" t="n">
        <x:v>1</x:v>
      </x:c>
      <x:c r="F212" s="16" t="str">
        <x:v>SRC-054</x:v>
      </x:c>
    </x:row>
    <x:row r="213" ht="37" customHeight="1">
      <x:c r="A213" s="16" t="str">
        <x:v>MRG-0104</x:v>
      </x:c>
      <x:c r="B213" s="16" t="str">
        <x:v>Observation</x:v>
      </x:c>
      <x:c r="C213" s="16" t="str">
        <x:v>OBS-0021</x:v>
      </x:c>
      <x:c r="D213" s="16" t="str">
        <x:v>Back verandah columns in good condition.</x:v>
      </x:c>
      <x:c r="E213" s="19" t="n">
        <x:v>3</x:v>
      </x:c>
      <x:c r="F213" s="16" t="str">
        <x:v>SRC-011, SRC-026, SRC-060</x:v>
      </x:c>
    </x:row>
    <x:row r="214" ht="37" customHeight="1">
      <x:c r="A214" s="16" t="str">
        <x:v>MRG-0104</x:v>
      </x:c>
      <x:c r="B214" s="16" t="str">
        <x:v>Observation</x:v>
      </x:c>
      <x:c r="C214" s="16" t="str">
        <x:v>OBS-0299</x:v>
      </x:c>
      <x:c r="D214" s="16" t="str">
        <x:v>Front verandah. Columns in good condition.</x:v>
      </x:c>
      <x:c r="E214" s="19" t="n">
        <x:v>1</x:v>
      </x:c>
      <x:c r="F214" s="16" t="str">
        <x:v>SRC-053</x:v>
      </x:c>
    </x:row>
    <x:row r="215" ht="37" customHeight="1">
      <x:c r="A215" s="16" t="str">
        <x:v>MRG-0105</x:v>
      </x:c>
      <x:c r="B215" s="16" t="str">
        <x:v>Observation</x:v>
      </x:c>
      <x:c r="C215" s="16" t="str">
        <x:v>OBS-0007</x:v>
      </x:c>
      <x:c r="D215" s="16" t="str">
        <x:v>Back verandah in good condition.</x:v>
      </x:c>
      <x:c r="E215" s="19" t="n">
        <x:v>5</x:v>
      </x:c>
      <x:c r="F215" s="16" t="str">
        <x:v>SRC-011, SRC-024, SRC-026, SRC-052, SRC-060</x:v>
      </x:c>
    </x:row>
    <x:row r="216" ht="37" customHeight="1">
      <x:c r="A216" s="16" t="str">
        <x:v>MRG-0105</x:v>
      </x:c>
      <x:c r="B216" s="16" t="str">
        <x:v>Observation</x:v>
      </x:c>
      <x:c r="C216" s="16" t="str">
        <x:v>OBS-0021</x:v>
      </x:c>
      <x:c r="D216" s="16" t="str">
        <x:v>Back verandah columns in good condition.</x:v>
      </x:c>
      <x:c r="E216" s="19" t="n">
        <x:v>3</x:v>
      </x:c>
      <x:c r="F216" s="16" t="str">
        <x:v>SRC-011, SRC-026, SRC-060</x:v>
      </x:c>
    </x:row>
    <x:row r="217" ht="41" customHeight="1">
      <x:c r="A217" s="16" t="str">
        <x:v>MRG-0106</x:v>
      </x:c>
      <x:c r="B217" s="16" t="str">
        <x:v>Observation</x:v>
      </x:c>
      <x:c r="C217" s="16" t="str">
        <x:v>OBS-0457</x:v>
      </x:c>
      <x:c r="D217" s="16" t="str">
        <x:v>Pier 7. Severe corrosion at support location. Expansion of steel due to corrosion causing brickwork to crack.</x:v>
      </x:c>
      <x:c r="E217" s="19" t="n">
        <x:v>1</x:v>
      </x:c>
      <x:c r="F217" s="16" t="str">
        <x:v>SRC-006</x:v>
      </x:c>
    </x:row>
    <x:row r="218" ht="41" customHeight="1">
      <x:c r="A218" s="16" t="str">
        <x:v>MRG-0106</x:v>
      </x:c>
      <x:c r="B218" s="16" t="str">
        <x:v>Observation</x:v>
      </x:c>
      <x:c r="C218" s="16" t="str">
        <x:v>OBS-0475</x:v>
      </x:c>
      <x:c r="D218" s="16" t="str">
        <x:v>Rafter at the top of pier 5. Severe corrosion at support location. Expansion of steel due to corrosion causing the brickwork to crack.</x:v>
      </x:c>
      <x:c r="E218" s="19" t="n">
        <x:v>1</x:v>
      </x:c>
      <x:c r="F218" s="16" t="str">
        <x:v>SRC-006</x:v>
      </x:c>
    </x:row>
    <x:row r="219" ht="41" customHeight="1">
      <x:c r="A219" s="16" t="str">
        <x:v>MRG-0107</x:v>
      </x:c>
      <x:c r="B219" s="16" t="str">
        <x:v>Observation</x:v>
      </x:c>
      <x:c r="C219" s="16" t="str">
        <x:v>OBS-0459</x:v>
      </x:c>
      <x:c r="D219" s="16" t="str">
        <x:v>Pier 8. Severe corrosion at support location. Expansion of steel due to corrosion causing brickwork to crack.</x:v>
      </x:c>
      <x:c r="E219" s="19" t="n">
        <x:v>1</x:v>
      </x:c>
      <x:c r="F219" s="16" t="str">
        <x:v>SRC-006</x:v>
      </x:c>
    </x:row>
    <x:row r="220" ht="41" customHeight="1">
      <x:c r="A220" s="16" t="str">
        <x:v>MRG-0107</x:v>
      </x:c>
      <x:c r="B220" s="16" t="str">
        <x:v>Observation</x:v>
      </x:c>
      <x:c r="C220" s="16" t="str">
        <x:v>OBS-0475</x:v>
      </x:c>
      <x:c r="D220" s="16" t="str">
        <x:v>Rafter at the top of pier 5. Severe corrosion at support location. Expansion of steel due to corrosion causing the brickwork to crack.</x:v>
      </x:c>
      <x:c r="E220" s="19" t="n">
        <x:v>1</x:v>
      </x:c>
      <x:c r="F220" s="16" t="str">
        <x:v>SRC-006</x:v>
      </x:c>
    </x:row>
    <x:row r="221" ht="37" customHeight="1">
      <x:c r="A221" s="16" t="str">
        <x:v>MRG-0108</x:v>
      </x:c>
      <x:c r="B221" s="16" t="str">
        <x:v>Observation</x:v>
      </x:c>
      <x:c r="C221" s="16" t="str">
        <x:v>OBS-0297</x:v>
      </x:c>
      <x:c r="D221" s="16" t="str">
        <x:v>Front verandah soffit cladding. Minor corrosion on flashing.</x:v>
      </x:c>
      <x:c r="E221" s="19" t="n">
        <x:v>1</x:v>
      </x:c>
      <x:c r="F221" s="16" t="str">
        <x:v>SRC-009</x:v>
      </x:c>
    </x:row>
    <x:row r="222" ht="37" customHeight="1">
      <x:c r="A222" s="16" t="str">
        <x:v>MRG-0108</x:v>
      </x:c>
      <x:c r="B222" s="16" t="str">
        <x:v>Observation</x:v>
      </x:c>
      <x:c r="C222" s="16" t="str">
        <x:v>OBS-0298</x:v>
      </x:c>
      <x:c r="D222" s="16" t="str">
        <x:v>Front verandah soffit cladding. Minor corrosion.</x:v>
      </x:c>
      <x:c r="E222" s="19" t="n">
        <x:v>1</x:v>
      </x:c>
      <x:c r="F222" s="16" t="str">
        <x:v>SRC-009</x:v>
      </x:c>
    </x:row>
    <x:row r="223" ht="41" customHeight="1">
      <x:c r="A223" s="16" t="str">
        <x:v>MRG-0109</x:v>
      </x:c>
      <x:c r="B223" s="16" t="str">
        <x:v>Observation</x:v>
      </x:c>
      <x:c r="C223" s="16" t="str">
        <x:v>OBS-0091</x:v>
      </x:c>
      <x:c r="D223" s="16" t="str">
        <x:v>Adjacent to front door. Minor corrosion at corner of window, typical to most windows. Staining on wall cladding at bolted connection.</x:v>
      </x:c>
      <x:c r="E223" s="19" t="n">
        <x:v>1</x:v>
      </x:c>
      <x:c r="F223" s="16" t="str">
        <x:v>SRC-023</x:v>
      </x:c>
    </x:row>
    <x:row r="224" ht="41" customHeight="1">
      <x:c r="A224" s="16" t="str">
        <x:v>MRG-0109</x:v>
      </x:c>
      <x:c r="B224" s="16" t="str">
        <x:v>Observation</x:v>
      </x:c>
      <x:c r="C224" s="16" t="str">
        <x:v>OBS-0383</x:v>
      </x:c>
      <x:c r="D224" s="16" t="str">
        <x:v>Minor corrosion at corner of window, typical to most windows. Salt staining on wall cladding at bolted connection.</x:v>
      </x:c>
      <x:c r="E224" s="19" t="n">
        <x:v>1</x:v>
      </x:c>
      <x:c r="F224" s="16" t="str">
        <x:v>SRC-027</x:v>
      </x:c>
    </x:row>
    <x:row r="225" ht="37" customHeight="1">
      <x:c r="A225" s="16" t="str">
        <x:v>MRG-0110</x:v>
      </x:c>
      <x:c r="B225" s="16" t="str">
        <x:v>Observation</x:v>
      </x:c>
      <x:c r="C225" s="16" t="str">
        <x:v>OBS-0170</x:v>
      </x:c>
      <x:c r="D225" s="16" t="str">
        <x:v>Carport verandah corner. Salt staining on purlins and rafters.</x:v>
      </x:c>
      <x:c r="E225" s="19" t="n">
        <x:v>1</x:v>
      </x:c>
      <x:c r="F225" s="16" t="str">
        <x:v>SRC-053</x:v>
      </x:c>
    </x:row>
    <x:row r="226" ht="37" customHeight="1">
      <x:c r="A226" s="16" t="str">
        <x:v>MRG-0110</x:v>
      </x:c>
      <x:c r="B226" s="16" t="str">
        <x:v>Observation</x:v>
      </x:c>
      <x:c r="C226" s="16" t="str">
        <x:v>OBS-0309</x:v>
      </x:c>
      <x:c r="D226" s="16" t="str">
        <x:v>Front verandah. Salt staining on purlins and rafters.</x:v>
      </x:c>
      <x:c r="E226" s="19" t="n">
        <x:v>1</x:v>
      </x:c>
      <x:c r="F226" s="16" t="str">
        <x:v>SRC-053</x:v>
      </x:c>
    </x:row>
    <x:row r="227" ht="37" customHeight="1">
      <x:c r="A227" s="16" t="str">
        <x:v>MRG-0111</x:v>
      </x:c>
      <x:c r="B227" s="16" t="str">
        <x:v>Observation</x:v>
      </x:c>
      <x:c r="C227" s="16" t="str">
        <x:v>OBS-0051</x:v>
      </x:c>
      <x:c r="D227" s="16" t="str">
        <x:v>Front verandah column in good condition.</x:v>
      </x:c>
      <x:c r="E227" s="19" t="n">
        <x:v>2</x:v>
      </x:c>
      <x:c r="F227" s="16" t="str">
        <x:v>SRC-050, SRC-052</x:v>
      </x:c>
    </x:row>
    <x:row r="228" ht="37" customHeight="1">
      <x:c r="A228" s="16" t="str">
        <x:v>MRG-0111</x:v>
      </x:c>
      <x:c r="B228" s="16" t="str">
        <x:v>Observation</x:v>
      </x:c>
      <x:c r="C228" s="16" t="str">
        <x:v>OBS-0109</x:v>
      </x:c>
      <x:c r="D228" s="16" t="str">
        <x:v>Back verandah column in good condition.</x:v>
      </x:c>
      <x:c r="E228" s="19" t="n">
        <x:v>1</x:v>
      </x:c>
      <x:c r="F228" s="16" t="str">
        <x:v>SRC-052</x:v>
      </x:c>
    </x:row>
    <x:row r="229" ht="37" customHeight="1">
      <x:c r="A229" s="16" t="str">
        <x:v>MRG-0112</x:v>
      </x:c>
      <x:c r="B229" s="16" t="str">
        <x:v>Observation</x:v>
      </x:c>
      <x:c r="C229" s="16" t="str">
        <x:v>OBS-0035</x:v>
      </x:c>
      <x:c r="D229" s="16" t="str">
        <x:v>Backyard fencing post. Most posts have paint deterioration at the lower section.</x:v>
      </x:c>
      <x:c r="E229" s="19" t="n">
        <x:v>2</x:v>
      </x:c>
      <x:c r="F229" s="16" t="str">
        <x:v>SRC-024, SRC-026</x:v>
      </x:c>
    </x:row>
    <x:row r="230" ht="37" customHeight="1">
      <x:c r="A230" s="16" t="str">
        <x:v>MRG-0112</x:v>
      </x:c>
      <x:c r="B230" s="16" t="str">
        <x:v>Observation</x:v>
      </x:c>
      <x:c r="C230" s="16" t="str">
        <x:v>OBS-0164</x:v>
      </x:c>
      <x:c r="D230" s="16" t="str">
        <x:v>Carport gate post. Most posts have paint deterioration at the lower section.</x:v>
      </x:c>
      <x:c r="E230" s="19" t="n">
        <x:v>1</x:v>
      </x:c>
      <x:c r="F230" s="16" t="str">
        <x:v>SRC-050</x:v>
      </x:c>
    </x:row>
    <x:row r="231" ht="37" customHeight="1">
      <x:c r="A231" s="16" t="str">
        <x:v>MRG-0113</x:v>
      </x:c>
      <x:c r="B231" s="16" t="str">
        <x:v>Observation</x:v>
      </x:c>
      <x:c r="C231" s="16" t="str">
        <x:v>OBS-0196</x:v>
      </x:c>
      <x:c r="D231" s="16" t="str">
        <x:v>Column 3 overview. Minor corrosion of the connection.</x:v>
      </x:c>
      <x:c r="E231" s="19" t="n">
        <x:v>1</x:v>
      </x:c>
      <x:c r="F231" s="16" t="str">
        <x:v>SRC-092</x:v>
      </x:c>
    </x:row>
    <x:row r="232" ht="37" customHeight="1">
      <x:c r="A232" s="16" t="str">
        <x:v>MRG-0113</x:v>
      </x:c>
      <x:c r="B232" s="16" t="str">
        <x:v>Observation</x:v>
      </x:c>
      <x:c r="C232" s="16" t="str">
        <x:v>OBS-0204</x:v>
      </x:c>
      <x:c r="D232" s="16" t="str">
        <x:v>Column 4. Minor corrosion of the connection.</x:v>
      </x:c>
      <x:c r="E232" s="19" t="n">
        <x:v>1</x:v>
      </x:c>
      <x:c r="F232" s="16" t="str">
        <x:v>SRC-092</x:v>
      </x:c>
    </x:row>
    <x:row r="233" ht="37" customHeight="1">
      <x:c r="A233" s="16" t="str">
        <x:v>MRG-0114</x:v>
      </x:c>
      <x:c r="B233" s="16" t="str">
        <x:v>Observation</x:v>
      </x:c>
      <x:c r="C233" s="16" t="str">
        <x:v>OBS-0038</x:v>
      </x:c>
      <x:c r="D233" s="16" t="str">
        <x:v>Carport wall cladding in good condition.</x:v>
      </x:c>
      <x:c r="E233" s="19" t="n">
        <x:v>2</x:v>
      </x:c>
      <x:c r="F233" s="16" t="str">
        <x:v>SRC-026, SRC-052</x:v>
      </x:c>
    </x:row>
    <x:row r="234" ht="37" customHeight="1">
      <x:c r="A234" s="16" t="str">
        <x:v>MRG-0114</x:v>
      </x:c>
      <x:c r="B234" s="16" t="str">
        <x:v>Observation</x:v>
      </x:c>
      <x:c r="C234" s="16" t="str">
        <x:v>OBS-0122</x:v>
      </x:c>
      <x:c r="D234" s="16" t="str">
        <x:v>Back wall cladding in good condition</x:v>
      </x:c>
      <x:c r="E234" s="19" t="n">
        <x:v>1</x:v>
      </x:c>
      <x:c r="F234" s="16" t="str">
        <x:v>SRC-015</x:v>
      </x:c>
    </x:row>
    <x:row r="235" ht="37" customHeight="1">
      <x:c r="A235" s="16" t="str">
        <x:v>MRG-0115</x:v>
      </x:c>
      <x:c r="B235" s="16" t="str">
        <x:v>Observation</x:v>
      </x:c>
      <x:c r="C235" s="16" t="str">
        <x:v>OBS-0268</x:v>
      </x:c>
      <x:c r="D235" s="16" t="str">
        <x:v>Front and right hand side of house facing the entrance. Minor corrosion of verandah beam.</x:v>
      </x:c>
      <x:c r="E235" s="19" t="n">
        <x:v>1</x:v>
      </x:c>
      <x:c r="F235" s="16" t="str">
        <x:v>SRC-055</x:v>
      </x:c>
    </x:row>
    <x:row r="236" ht="37" customHeight="1">
      <x:c r="A236" s="16" t="str">
        <x:v>MRG-0115</x:v>
      </x:c>
      <x:c r="B236" s="16" t="str">
        <x:v>Observation</x:v>
      </x:c>
      <x:c r="C236" s="16" t="str">
        <x:v>OBS-0493</x:v>
      </x:c>
      <x:c r="D236" s="16" t="str">
        <x:v>Right hand side of house facing the entrance. Minor corrosion of verandah beams and posts.</x:v>
      </x:c>
      <x:c r="E236" s="19" t="n">
        <x:v>1</x:v>
      </x:c>
      <x:c r="F236" s="16" t="str">
        <x:v>SRC-010</x:v>
      </x:c>
    </x:row>
    <x:row r="237" ht="37" customHeight="1">
      <x:c r="A237" s="16" t="str">
        <x:v>MRG-0116</x:v>
      </x:c>
      <x:c r="B237" s="16" t="str">
        <x:v>Observation</x:v>
      </x:c>
      <x:c r="C237" s="16" t="str">
        <x:v>OBS-0268</x:v>
      </x:c>
      <x:c r="D237" s="16" t="str">
        <x:v>Front and right hand side of house facing the entrance. Minor corrosion of verandah beam.</x:v>
      </x:c>
      <x:c r="E237" s="19" t="n">
        <x:v>1</x:v>
      </x:c>
      <x:c r="F237" s="16" t="str">
        <x:v>SRC-055</x:v>
      </x:c>
    </x:row>
    <x:row r="238" ht="37" customHeight="1">
      <x:c r="A238" s="16" t="str">
        <x:v>MRG-0116</x:v>
      </x:c>
      <x:c r="B238" s="16" t="str">
        <x:v>Observation</x:v>
      </x:c>
      <x:c r="C238" s="16" t="str">
        <x:v>OBS-0494</x:v>
      </x:c>
      <x:c r="D238" s="16" t="str">
        <x:v>Right hand side of house facing the entrance. Minor corrosion of verandah column and beam.</x:v>
      </x:c>
      <x:c r="E238" s="19" t="n">
        <x:v>1</x:v>
      </x:c>
      <x:c r="F238" s="16" t="str">
        <x:v>SRC-010</x:v>
      </x:c>
    </x:row>
    <x:row r="239" ht="37" customHeight="1">
      <x:c r="A239" s="16" t="str">
        <x:v>MRG-0117</x:v>
      </x:c>
      <x:c r="B239" s="16" t="str">
        <x:v>Observation</x:v>
      </x:c>
      <x:c r="C239" s="16" t="str">
        <x:v>OBS-0487</x:v>
      </x:c>
      <x:c r="D239" s="16" t="str">
        <x:v>Right hand side of back balcony facing front entrance. Spalling and exposed reinforcement.</x:v>
      </x:c>
      <x:c r="E239" s="19" t="n">
        <x:v>1</x:v>
      </x:c>
      <x:c r="F239" s="16" t="str">
        <x:v>SRC-096</x:v>
      </x:c>
    </x:row>
    <x:row r="240" ht="41" customHeight="1">
      <x:c r="A240" s="16" t="str">
        <x:v>MRG-0117</x:v>
      </x:c>
      <x:c r="B240" s="16" t="str">
        <x:v>Observation</x:v>
      </x:c>
      <x:c r="C240" s="16" t="str">
        <x:v>OBS-0488</x:v>
      </x:c>
      <x:c r="D240" s="16" t="str">
        <x:v>Right hand side of back balcony facing front entrance. Spalling and exposed reinforcement. This is a typical issue.</x:v>
      </x:c>
      <x:c r="E240" s="19" t="n">
        <x:v>1</x:v>
      </x:c>
      <x:c r="F240" s="16" t="str">
        <x:v>SRC-096</x:v>
      </x:c>
    </x:row>
    <x:row r="241" ht="37" customHeight="1">
      <x:c r="A241" s="16" t="str">
        <x:v>MRG-0118</x:v>
      </x:c>
      <x:c r="B241" s="16" t="str">
        <x:v>Observation</x:v>
      </x:c>
      <x:c r="C241" s="16" t="str">
        <x:v>OBS-0280</x:v>
      </x:c>
      <x:c r="D241" s="16" t="str">
        <x:v>Front of property. Minor corrosion of lintel.</x:v>
      </x:c>
      <x:c r="E241" s="19" t="n">
        <x:v>1</x:v>
      </x:c>
      <x:c r="F241" s="16" t="str">
        <x:v>SRC-057</x:v>
      </x:c>
    </x:row>
    <x:row r="242" ht="37" customHeight="1">
      <x:c r="A242" s="16" t="str">
        <x:v>MRG-0118</x:v>
      </x:c>
      <x:c r="B242" s="16" t="str">
        <x:v>Observation</x:v>
      </x:c>
      <x:c r="C242" s="16" t="str">
        <x:v>OBS-0281</x:v>
      </x:c>
      <x:c r="D242" s="16" t="str">
        <x:v>Front of property. Minor corrosion of steel plate.</x:v>
      </x:c>
      <x:c r="E242" s="19" t="n">
        <x:v>1</x:v>
      </x:c>
      <x:c r="F242" s="16" t="str">
        <x:v>SRC-013</x:v>
      </x:c>
    </x:row>
    <x:row r="243" ht="37" customHeight="1">
      <x:c r="A243" s="16" t="str">
        <x:v>MRG-0119</x:v>
      </x:c>
      <x:c r="B243" s="16" t="str">
        <x:v>Observation</x:v>
      </x:c>
      <x:c r="C243" s="16" t="str">
        <x:v>OBS-0025</x:v>
      </x:c>
      <x:c r="D243" s="16" t="str">
        <x:v>Front wall cladding in good condition</x:v>
      </x:c>
      <x:c r="E243" s="19" t="n">
        <x:v>3</x:v>
      </x:c>
      <x:c r="F243" s="16" t="str">
        <x:v>SRC-014, SRC-015, SRC-058</x:v>
      </x:c>
    </x:row>
    <x:row r="244" ht="37" customHeight="1">
      <x:c r="A244" s="16" t="str">
        <x:v>MRG-0119</x:v>
      </x:c>
      <x:c r="B244" s="16" t="str">
        <x:v>Observation</x:v>
      </x:c>
      <x:c r="C244" s="16" t="str">
        <x:v>OBS-0122</x:v>
      </x:c>
      <x:c r="D244" s="16" t="str">
        <x:v>Back wall cladding in good condition</x:v>
      </x:c>
      <x:c r="E244" s="19" t="n">
        <x:v>1</x:v>
      </x:c>
      <x:c r="F244" s="16" t="str">
        <x:v>SRC-015</x:v>
      </x:c>
    </x:row>
    <x:row r="245" ht="41" customHeight="1">
      <x:c r="A245" s="16" t="str">
        <x:v>MRG-0120</x:v>
      </x:c>
      <x:c r="B245" s="16" t="str">
        <x:v>Observation</x:v>
      </x:c>
      <x:c r="C245" s="16" t="str">
        <x:v>OBS-0004</x:v>
      </x:c>
      <x:c r="D245" s="16" t="str">
        <x:v>Front of property. Cladding and framing in good condition.</x:v>
      </x:c>
      <x:c r="E245" s="19" t="n">
        <x:v>8</x:v>
      </x:c>
      <x:c r="F245" s="16" t="str">
        <x:v>SRC-001, SRC-003, SRC-004, SRC-011, SRC-024, SRC-026, SRC-052, SRC-056</x:v>
      </x:c>
    </x:row>
    <x:row r="246" ht="37" customHeight="1">
      <x:c r="A246" s="16" t="str">
        <x:v>MRG-0120</x:v>
      </x:c>
      <x:c r="B246" s="16" t="str">
        <x:v>Observation</x:v>
      </x:c>
      <x:c r="C246" s="16" t="str">
        <x:v>OBS-0278</x:v>
      </x:c>
      <x:c r="D246" s="16" t="str">
        <x:v>Front of property. Framing and cladding in good condition.</x:v>
      </x:c>
      <x:c r="E246" s="19" t="n">
        <x:v>1</x:v>
      </x:c>
      <x:c r="F246" s="16" t="str">
        <x:v>SRC-053</x:v>
      </x:c>
    </x:row>
    <x:row r="247" ht="37" customHeight="1">
      <x:c r="A247" s="16" t="str">
        <x:v>MRG-0121</x:v>
      </x:c>
      <x:c r="B247" s="16" t="str">
        <x:v>Observation</x:v>
      </x:c>
      <x:c r="C247" s="16" t="str">
        <x:v>OBS-0013</x:v>
      </x:c>
      <x:c r="D247" s="16" t="str">
        <x:v>Front verandah in good condition.</x:v>
      </x:c>
      <x:c r="E247" s="19" t="n">
        <x:v>4</x:v>
      </x:c>
      <x:c r="F247" s="16" t="str">
        <x:v>SRC-011, SRC-024, SRC-026, SRC-052</x:v>
      </x:c>
    </x:row>
    <x:row r="248" ht="37" customHeight="1">
      <x:c r="A248" s="16" t="str">
        <x:v>MRG-0121</x:v>
      </x:c>
      <x:c r="B248" s="16" t="str">
        <x:v>Observation</x:v>
      </x:c>
      <x:c r="C248" s="16" t="str">
        <x:v>OBS-0078</x:v>
      </x:c>
      <x:c r="D248" s="16" t="str">
        <x:v>Porch verandah in good condition</x:v>
      </x:c>
      <x:c r="E248" s="19" t="n">
        <x:v>2</x:v>
      </x:c>
      <x:c r="F248" s="16" t="str">
        <x:v>SRC-001, SRC-062</x:v>
      </x:c>
    </x:row>
    <x:row r="249" ht="37" customHeight="1">
      <x:c r="A249" s="16" t="str">
        <x:v>MRG-0122</x:v>
      </x:c>
      <x:c r="B249" s="16" t="str">
        <x:v>Observation</x:v>
      </x:c>
      <x:c r="C249" s="16" t="str">
        <x:v>OBS-0338</x:v>
      </x:c>
      <x:c r="D249" s="16" t="str">
        <x:v>Left hand side corner facing front of the house. Severe corrosion of Tek screws.</x:v>
      </x:c>
      <x:c r="E249" s="19" t="n">
        <x:v>1</x:v>
      </x:c>
      <x:c r="F249" s="16" t="str">
        <x:v>SRC-014</x:v>
      </x:c>
    </x:row>
    <x:row r="250" ht="37" customHeight="1">
      <x:c r="A250" s="16" t="str">
        <x:v>MRG-0122</x:v>
      </x:c>
      <x:c r="B250" s="16" t="str">
        <x:v>Observation</x:v>
      </x:c>
      <x:c r="C250" s="16" t="str">
        <x:v>OBS-0339</x:v>
      </x:c>
      <x:c r="D250" s="16" t="str">
        <x:v>Left hand side corner facing front of the house. Severe corrosion on Tek screws and top hat purlins.</x:v>
      </x:c>
      <x:c r="E250" s="19" t="n">
        <x:v>1</x:v>
      </x:c>
      <x:c r="F250" s="16" t="str">
        <x:v>SRC-014</x:v>
      </x:c>
    </x:row>
    <x:row r="251" ht="37" customHeight="1">
      <x:c r="A251" s="16" t="str">
        <x:v>MRG-0123</x:v>
      </x:c>
      <x:c r="B251" s="16" t="str">
        <x:v>Observation</x:v>
      </x:c>
      <x:c r="C251" s="16" t="str">
        <x:v>OBS-0017</x:v>
      </x:c>
      <x:c r="D251" s="16" t="str">
        <x:v>Overview of structure.</x:v>
      </x:c>
      <x:c r="E251" s="19" t="n">
        <x:v>4</x:v>
      </x:c>
      <x:c r="F251" s="16" t="str">
        <x:v>SRC-065, SRC-068, SRC-069, SRC-070</x:v>
      </x:c>
    </x:row>
    <x:row r="252" ht="37" customHeight="1">
      <x:c r="A252" s="16" t="str">
        <x:v>MRG-0123</x:v>
      </x:c>
      <x:c r="B252" s="16" t="str">
        <x:v>Observation</x:v>
      </x:c>
      <x:c r="C252" s="16" t="str">
        <x:v>OBS-0437</x:v>
      </x:c>
      <x:c r="D252" s="16" t="str">
        <x:v>Overview of shade structure.</x:v>
      </x:c>
      <x:c r="E252" s="19" t="n">
        <x:v>1</x:v>
      </x:c>
      <x:c r="F252" s="16" t="str">
        <x:v>SRC-063</x:v>
      </x:c>
    </x:row>
    <x:row r="253" ht="41" customHeight="1">
      <x:c r="A253" s="16" t="str">
        <x:v>MRG-0124</x:v>
      </x:c>
      <x:c r="B253" s="16" t="str">
        <x:v>Observation</x:v>
      </x:c>
      <x:c r="C253" s="16" t="str">
        <x:v>OBS-0457</x:v>
      </x:c>
      <x:c r="D253" s="16" t="str">
        <x:v>Pier 7. Severe corrosion at support location. Expansion of steel due to corrosion causing brickwork to crack.</x:v>
      </x:c>
      <x:c r="E253" s="19" t="n">
        <x:v>1</x:v>
      </x:c>
      <x:c r="F253" s="16" t="str">
        <x:v>SRC-006</x:v>
      </x:c>
    </x:row>
    <x:row r="254" ht="41" customHeight="1">
      <x:c r="A254" s="16" t="str">
        <x:v>MRG-0124</x:v>
      </x:c>
      <x:c r="B254" s="16" t="str">
        <x:v>Observation</x:v>
      </x:c>
      <x:c r="C254" s="16" t="str">
        <x:v>OBS-0474</x:v>
      </x:c>
      <x:c r="D254" s="16" t="str">
        <x:v>Rafter at the top of Pier 6. Severe corrosion at support location. Expansion of steel rafter due to corrosion causing brickwork to crack</x:v>
      </x:c>
      <x:c r="E254" s="19" t="n">
        <x:v>1</x:v>
      </x:c>
      <x:c r="F254" s="16" t="str">
        <x:v>SRC-006</x:v>
      </x:c>
    </x:row>
    <x:row r="255" ht="41" customHeight="1">
      <x:c r="A255" s="16" t="str">
        <x:v>MRG-0125</x:v>
      </x:c>
      <x:c r="B255" s="16" t="str">
        <x:v>Observation</x:v>
      </x:c>
      <x:c r="C255" s="16" t="str">
        <x:v>OBS-0459</x:v>
      </x:c>
      <x:c r="D255" s="16" t="str">
        <x:v>Pier 8. Severe corrosion at support location. Expansion of steel due to corrosion causing brickwork to crack.</x:v>
      </x:c>
      <x:c r="E255" s="19" t="n">
        <x:v>1</x:v>
      </x:c>
      <x:c r="F255" s="16" t="str">
        <x:v>SRC-006</x:v>
      </x:c>
    </x:row>
    <x:row r="256" ht="41" customHeight="1">
      <x:c r="A256" s="16" t="str">
        <x:v>MRG-0125</x:v>
      </x:c>
      <x:c r="B256" s="16" t="str">
        <x:v>Observation</x:v>
      </x:c>
      <x:c r="C256" s="16" t="str">
        <x:v>OBS-0474</x:v>
      </x:c>
      <x:c r="D256" s="16" t="str">
        <x:v>Rafter at the top of Pier 6. Severe corrosion at support location. Expansion of steel rafter due to corrosion causing brickwork to crack</x:v>
      </x:c>
      <x:c r="E256" s="19" t="n">
        <x:v>1</x:v>
      </x:c>
      <x:c r="F256" s="16" t="str">
        <x:v>SRC-006</x:v>
      </x:c>
    </x:row>
    <x:row r="257" ht="37" customHeight="1">
      <x:c r="A257" s="16" t="str">
        <x:v>MRG-0126</x:v>
      </x:c>
      <x:c r="B257" s="16" t="str">
        <x:v>Observation</x:v>
      </x:c>
      <x:c r="C257" s="16" t="str">
        <x:v>OBS-0516</x:v>
      </x:c>
      <x:c r="D257" s="16" t="str">
        <x:v>Row 1 Column 1 corrosion to the lower portion of column.</x:v>
      </x:c>
      <x:c r="E257" s="19" t="n">
        <x:v>1</x:v>
      </x:c>
      <x:c r="F257" s="16" t="str">
        <x:v>SRC-010</x:v>
      </x:c>
    </x:row>
    <x:row r="258" ht="37" customHeight="1">
      <x:c r="A258" s="16" t="str">
        <x:v>MRG-0126</x:v>
      </x:c>
      <x:c r="B258" s="16" t="str">
        <x:v>Observation</x:v>
      </x:c>
      <x:c r="C258" s="16" t="str">
        <x:v>OBS-0524</x:v>
      </x:c>
      <x:c r="D258" s="16" t="str">
        <x:v>Row 1 Column 2. Minor corrosion at lower portion of column.</x:v>
      </x:c>
      <x:c r="E258" s="19" t="n">
        <x:v>1</x:v>
      </x:c>
      <x:c r="F258" s="16" t="str">
        <x:v>SRC-055</x:v>
      </x:c>
    </x:row>
    <x:row r="259" ht="41" customHeight="1">
      <x:c r="A259" s="16" t="str">
        <x:v>MRG-0127</x:v>
      </x:c>
      <x:c r="B259" s="16" t="str">
        <x:v>Observation</x:v>
      </x:c>
      <x:c r="C259" s="16" t="str">
        <x:v>OBS-0024</x:v>
      </x:c>
      <x:c r="D259" s="16" t="str">
        <x:v>Fencing posts on left hand side of property facing the front entrance. Corrosion and bitumen paint deterioration.</x:v>
      </x:c>
      <x:c r="E259" s="19" t="n">
        <x:v>3</x:v>
      </x:c>
      <x:c r="F259" s="16" t="str">
        <x:v>SRC-023</x:v>
      </x:c>
    </x:row>
    <x:row r="260" ht="41" customHeight="1">
      <x:c r="A260" s="16" t="str">
        <x:v>MRG-0127</x:v>
      </x:c>
      <x:c r="B260" s="16" t="str">
        <x:v>Observation</x:v>
      </x:c>
      <x:c r="C260" s="16" t="str">
        <x:v>OBS-0048</x:v>
      </x:c>
      <x:c r="D260" s="16" t="str">
        <x:v>Fencing posts on left hand side of property facing the front entrance. Bitumen paint deterioration and corrosion.</x:v>
      </x:c>
      <x:c r="E260" s="19" t="n">
        <x:v>2</x:v>
      </x:c>
      <x:c r="F260" s="16" t="str">
        <x:v>SRC-059</x:v>
      </x:c>
    </x:row>
    <x:row r="261" ht="37" customHeight="1">
      <x:c r="A261" s="16" t="str">
        <x:v>MRG-0128</x:v>
      </x:c>
      <x:c r="B261" s="16" t="str">
        <x:v>Observation</x:v>
      </x:c>
      <x:c r="C261" s="16" t="str">
        <x:v>OBS-0121</x:v>
      </x:c>
      <x:c r="D261" s="16" t="str">
        <x:v>Back wall cladding facing front entrance in good condition.</x:v>
      </x:c>
      <x:c r="E261" s="19" t="n">
        <x:v>1</x:v>
      </x:c>
      <x:c r="F261" s="16" t="str">
        <x:v>SRC-058</x:v>
      </x:c>
    </x:row>
    <x:row r="262" ht="37" customHeight="1">
      <x:c r="A262" s="16" t="str">
        <x:v>MRG-0128</x:v>
      </x:c>
      <x:c r="B262" s="16" t="str">
        <x:v>Observation</x:v>
      </x:c>
      <x:c r="C262" s="16" t="str">
        <x:v>OBS-0362</x:v>
      </x:c>
      <x:c r="D262" s="16" t="str">
        <x:v>Left hand side wall cladding facing front entrance in good condition.</x:v>
      </x:c>
      <x:c r="E262" s="19" t="n">
        <x:v>1</x:v>
      </x:c>
      <x:c r="F262" s="16" t="str">
        <x:v>SRC-058</x:v>
      </x:c>
    </x:row>
    <x:row r="263" ht="37" customHeight="1">
      <x:c r="A263" s="16" t="str">
        <x:v>MRG-0129</x:v>
      </x:c>
      <x:c r="B263" s="16" t="str">
        <x:v>Observation</x:v>
      </x:c>
      <x:c r="C263" s="16" t="str">
        <x:v>OBS-0265</x:v>
      </x:c>
      <x:c r="D263" s="16" t="str">
        <x:v>Fencing posts on left hand side of property facing the front entrance. Corrosion.</x:v>
      </x:c>
      <x:c r="E263" s="19" t="n">
        <x:v>1</x:v>
      </x:c>
      <x:c r="F263" s="16" t="str">
        <x:v>SRC-025</x:v>
      </x:c>
    </x:row>
    <x:row r="264" ht="37" customHeight="1">
      <x:c r="A264" s="16" t="str">
        <x:v>MRG-0129</x:v>
      </x:c>
      <x:c r="B264" s="16" t="str">
        <x:v>Observation</x:v>
      </x:c>
      <x:c r="C264" s="16" t="str">
        <x:v>OBS-0266</x:v>
      </x:c>
      <x:c r="D264" s="16" t="str">
        <x:v>Fencing posts on left hand side of property facing the front entrance. Minor corrosion around cap plate.</x:v>
      </x:c>
      <x:c r="E264" s="19" t="n">
        <x:v>1</x:v>
      </x:c>
      <x:c r="F264" s="16" t="str">
        <x:v>SRC-055</x:v>
      </x:c>
    </x:row>
    <x:row r="265" ht="37" customHeight="1">
      <x:c r="A265" s="16" t="str">
        <x:v>MRG-0130</x:v>
      </x:c>
      <x:c r="B265" s="16" t="str">
        <x:v>Observation</x:v>
      </x:c>
      <x:c r="C265" s="16" t="str">
        <x:v>OBS-0350</x:v>
      </x:c>
      <x:c r="D265" s="16" t="str">
        <x:v>Left hand side of house facing the entrance. Minor corrosion of purlins and rafters.</x:v>
      </x:c>
      <x:c r="E265" s="19" t="n">
        <x:v>1</x:v>
      </x:c>
      <x:c r="F265" s="16" t="str">
        <x:v>SRC-025</x:v>
      </x:c>
    </x:row>
    <x:row r="266" ht="37" customHeight="1">
      <x:c r="A266" s="16" t="str">
        <x:v>MRG-0130</x:v>
      </x:c>
      <x:c r="B266" s="16" t="str">
        <x:v>Observation</x:v>
      </x:c>
      <x:c r="C266" s="16" t="str">
        <x:v>OBS-0351</x:v>
      </x:c>
      <x:c r="D266" s="16" t="str">
        <x:v>Left hand side of house facing the entrance. Minor corrosion of verandah beam.</x:v>
      </x:c>
      <x:c r="E266" s="19" t="n">
        <x:v>1</x:v>
      </x:c>
      <x:c r="F266" s="16" t="str">
        <x:v>SRC-025</x:v>
      </x:c>
    </x:row>
    <x:row r="267" ht="37" customHeight="1">
      <x:c r="A267" s="16" t="str">
        <x:v>MRG-0131</x:v>
      </x:c>
      <x:c r="B267" s="16" t="str">
        <x:v>Observation</x:v>
      </x:c>
      <x:c r="C267" s="16" t="str">
        <x:v>OBS-0519</x:v>
      </x:c>
      <x:c r="D267" s="16" t="str">
        <x:v>Row 1 Column 1. Column in good condition.</x:v>
      </x:c>
      <x:c r="E267" s="19" t="n">
        <x:v>1</x:v>
      </x:c>
      <x:c r="F267" s="16" t="str">
        <x:v>SRC-055</x:v>
      </x:c>
    </x:row>
    <x:row r="268" ht="37" customHeight="1">
      <x:c r="A268" s="16" t="str">
        <x:v>MRG-0131</x:v>
      </x:c>
      <x:c r="B268" s="16" t="str">
        <x:v>Observation</x:v>
      </x:c>
      <x:c r="C268" s="16" t="str">
        <x:v>OBS-0522</x:v>
      </x:c>
      <x:c r="D268" s="16" t="str">
        <x:v>Row 1 Column 2 in good condition.</x:v>
      </x:c>
      <x:c r="E268" s="19" t="n">
        <x:v>1</x:v>
      </x:c>
      <x:c r="F268" s="16" t="str">
        <x:v>SRC-010</x:v>
      </x:c>
    </x:row>
    <x:row r="269" ht="37" customHeight="1">
      <x:c r="A269" s="16" t="str">
        <x:v>MRG-0132</x:v>
      </x:c>
      <x:c r="B269" s="16" t="str">
        <x:v>Observation</x:v>
      </x:c>
      <x:c r="C269" s="16" t="str">
        <x:v>OBS-0561</x:v>
      </x:c>
      <x:c r="D269" s="16" t="str">
        <x:v>Shade structure column overview.</x:v>
      </x:c>
      <x:c r="E269" s="19" t="n">
        <x:v>1</x:v>
      </x:c>
      <x:c r="F269" s="16" t="str">
        <x:v>SRC-092</x:v>
      </x:c>
    </x:row>
    <x:row r="270" ht="37" customHeight="1">
      <x:c r="A270" s="16" t="str">
        <x:v>MRG-0132</x:v>
      </x:c>
      <x:c r="B270" s="16" t="str">
        <x:v>Observation</x:v>
      </x:c>
      <x:c r="C270" s="16" t="str">
        <x:v>OBS-0566</x:v>
      </x:c>
      <x:c r="D270" s="16" t="str">
        <x:v>Shade structure overview.</x:v>
      </x:c>
      <x:c r="E270" s="19" t="n">
        <x:v>1</x:v>
      </x:c>
      <x:c r="F270" s="16" t="str">
        <x:v>SRC-071</x:v>
      </x:c>
    </x:row>
    <x:row r="271" ht="37" customHeight="1">
      <x:c r="A271" s="16" t="str">
        <x:v>MRG-0133</x:v>
      </x:c>
      <x:c r="B271" s="16" t="str">
        <x:v>Observation</x:v>
      </x:c>
      <x:c r="C271" s="16" t="str">
        <x:v>OBS-0090</x:v>
      </x:c>
      <x:c r="D271" s="16" t="str">
        <x:v>verandah overview.</x:v>
      </x:c>
      <x:c r="E271" s="19" t="n">
        <x:v>2</x:v>
      </x:c>
      <x:c r="F271" s="16" t="str">
        <x:v>SRC-063</x:v>
      </x:c>
    </x:row>
    <x:row r="272" ht="37" customHeight="1">
      <x:c r="A272" s="16" t="str">
        <x:v>MRG-0133</x:v>
      </x:c>
      <x:c r="B272" s="16" t="str">
        <x:v>Observation</x:v>
      </x:c>
      <x:c r="C272" s="16" t="str">
        <x:v>OBS-0117</x:v>
      </x:c>
      <x:c r="D272" s="16" t="str">
        <x:v>Back verandah overview.</x:v>
      </x:c>
      <x:c r="E272" s="19" t="n">
        <x:v>1</x:v>
      </x:c>
      <x:c r="F272" s="16" t="str">
        <x:v>SRC-012</x:v>
      </x:c>
    </x:row>
    <x:row r="273" ht="37" customHeight="1">
      <x:c r="A273" s="16" t="str">
        <x:v>MRG-0134</x:v>
      </x:c>
      <x:c r="B273" s="16" t="str">
        <x:v>Observation</x:v>
      </x:c>
      <x:c r="C273" s="16" t="str">
        <x:v>OBS-0093</x:v>
      </x:c>
      <x:c r="D273" s="16" t="str">
        <x:v>All cladding in good condition.</x:v>
      </x:c>
      <x:c r="E273" s="19" t="n">
        <x:v>1</x:v>
      </x:c>
      <x:c r="F273" s="16" t="str">
        <x:v>SRC-061</x:v>
      </x:c>
    </x:row>
    <x:row r="274" ht="37" customHeight="1">
      <x:c r="A274" s="16" t="str">
        <x:v>MRG-0134</x:v>
      </x:c>
      <x:c r="B274" s="16" t="str">
        <x:v>Observation</x:v>
      </x:c>
      <x:c r="C274" s="16" t="str">
        <x:v>OBS-0269</x:v>
      </x:c>
      <x:c r="D274" s="16" t="str">
        <x:v>Front cladding in good condition.</x:v>
      </x:c>
      <x:c r="E274" s="19" t="n">
        <x:v>1</x:v>
      </x:c>
      <x:c r="F274" s="16" t="str">
        <x:v>SRC-002</x:v>
      </x:c>
    </x:row>
    <x:row r="275" ht="37" customHeight="1">
      <x:c r="A275" s="16" t="str">
        <x:v>MRG-0135</x:v>
      </x:c>
      <x:c r="B275" s="16" t="str">
        <x:v>Observation</x:v>
      </x:c>
      <x:c r="C275" s="16" t="str">
        <x:v>OBS-0284</x:v>
      </x:c>
      <x:c r="D275" s="16" t="str">
        <x:v>Front roof overhang has salt minor corrosion on purlins and rafters.</x:v>
      </x:c>
      <x:c r="E275" s="19" t="n">
        <x:v>1</x:v>
      </x:c>
      <x:c r="F275" s="16" t="str">
        <x:v>SRC-061</x:v>
      </x:c>
    </x:row>
    <x:row r="276" ht="37" customHeight="1">
      <x:c r="A276" s="16" t="str">
        <x:v>MRG-0135</x:v>
      </x:c>
      <x:c r="B276" s="16" t="str">
        <x:v>Observation</x:v>
      </x:c>
      <x:c r="C276" s="16" t="str">
        <x:v>OBS-0295</x:v>
      </x:c>
      <x:c r="D276" s="16" t="str">
        <x:v>Front verandah has minor corrosion on purlins and rafters.</x:v>
      </x:c>
      <x:c r="E276" s="19" t="n">
        <x:v>1</x:v>
      </x:c>
      <x:c r="F276" s="16" t="str">
        <x:v>SRC-061</x:v>
      </x:c>
    </x:row>
    <x:row r="277" ht="41" customHeight="1">
      <x:c r="A277" s="16" t="str">
        <x:v>MRG-0136</x:v>
      </x:c>
      <x:c r="B277" s="16" t="str">
        <x:v>Observation</x:v>
      </x:c>
      <x:c r="C277" s="16" t="str">
        <x:v>OBS-0003</x:v>
      </x:c>
      <x:c r="D277" s="16" t="str">
        <x:v>Carport verandah in good condition.</x:v>
      </x:c>
      <x:c r="E277" s="19" t="n">
        <x:v>8</x:v>
      </x:c>
      <x:c r="F277" s="16" t="str">
        <x:v>SRC-002, SRC-011, SRC-024, SRC-026, SRC-052, SRC-060, SRC-062</x:v>
      </x:c>
    </x:row>
    <x:row r="278" ht="37" customHeight="1">
      <x:c r="A278" s="16" t="str">
        <x:v>MRG-0136</x:v>
      </x:c>
      <x:c r="B278" s="16" t="str">
        <x:v>Observation</x:v>
      </x:c>
      <x:c r="C278" s="16" t="str">
        <x:v>OBS-0138</x:v>
      </x:c>
      <x:c r="D278" s="16" t="str">
        <x:v>Backyard verandah. In good condition.</x:v>
      </x:c>
      <x:c r="E278" s="19" t="n">
        <x:v>1</x:v>
      </x:c>
      <x:c r="F278" s="16" t="str">
        <x:v>SRC-012</x:v>
      </x:c>
    </x:row>
    <x:row r="279" ht="37" customHeight="1">
      <x:c r="A279" s="16" t="str">
        <x:v>MRG-0137</x:v>
      </x:c>
      <x:c r="B279" s="16" t="str">
        <x:v>Observation</x:v>
      </x:c>
      <x:c r="C279" s="16" t="str">
        <x:v>OBS-0038</x:v>
      </x:c>
      <x:c r="D279" s="16" t="str">
        <x:v>Carport wall cladding in good condition.</x:v>
      </x:c>
      <x:c r="E279" s="19" t="n">
        <x:v>2</x:v>
      </x:c>
      <x:c r="F279" s="16" t="str">
        <x:v>SRC-026, SRC-052</x:v>
      </x:c>
    </x:row>
    <x:row r="280" ht="37" customHeight="1">
      <x:c r="A280" s="16" t="str">
        <x:v>MRG-0137</x:v>
      </x:c>
      <x:c r="B280" s="16" t="str">
        <x:v>Observation</x:v>
      </x:c>
      <x:c r="C280" s="16" t="str">
        <x:v>OBS-0093</x:v>
      </x:c>
      <x:c r="D280" s="16" t="str">
        <x:v>All cladding in good condition.</x:v>
      </x:c>
      <x:c r="E280" s="19" t="n">
        <x:v>1</x:v>
      </x:c>
      <x:c r="F280" s="16" t="str">
        <x:v>SRC-061</x:v>
      </x:c>
    </x:row>
    <x:row r="281" ht="37" customHeight="1">
      <x:c r="A281" s="16" t="str">
        <x:v>MRG-0138</x:v>
      </x:c>
      <x:c r="B281" s="16" t="str">
        <x:v>Observation</x:v>
      </x:c>
      <x:c r="C281" s="16" t="str">
        <x:v>OBS-0256</x:v>
      </x:c>
      <x:c r="D281" s="16" t="str">
        <x:v>Edge column C5.6 has minor corrosion at baseplate and anchors.</x:v>
      </x:c>
      <x:c r="E281" s="19" t="n">
        <x:v>1</x:v>
      </x:c>
      <x:c r="F281" s="16" t="str">
        <x:v>SRC-029</x:v>
      </x:c>
    </x:row>
    <x:row r="282" ht="37" customHeight="1">
      <x:c r="A282" s="16" t="str">
        <x:v>MRG-0138</x:v>
      </x:c>
      <x:c r="B282" s="16" t="str">
        <x:v>Observation</x:v>
      </x:c>
      <x:c r="C282" s="16" t="str">
        <x:v>OBS-0257</x:v>
      </x:c>
      <x:c r="D282" s="16" t="str">
        <x:v>Edge column C6.5 has minor corrosion at baseplate.</x:v>
      </x:c>
      <x:c r="E282" s="19" t="n">
        <x:v>1</x:v>
      </x:c>
      <x:c r="F282" s="16" t="str">
        <x:v>SRC-029</x:v>
      </x:c>
    </x:row>
    <x:row r="283" ht="37" customHeight="1">
      <x:c r="A283" s="16" t="str">
        <x:v>MRG-0139</x:v>
      </x:c>
      <x:c r="B283" s="16" t="str">
        <x:v>Observation</x:v>
      </x:c>
      <x:c r="C283" s="16" t="str">
        <x:v>OBS-0053</x:v>
      </x:c>
      <x:c r="D283" s="16" t="str">
        <x:v>Front verandah has salt staining on purlins and rafters.</x:v>
      </x:c>
      <x:c r="E283" s="19" t="n">
        <x:v>2</x:v>
      </x:c>
      <x:c r="F283" s="16" t="str">
        <x:v>SRC-002</x:v>
      </x:c>
    </x:row>
    <x:row r="284" ht="37" customHeight="1">
      <x:c r="A284" s="16" t="str">
        <x:v>MRG-0139</x:v>
      </x:c>
      <x:c r="B284" s="16" t="str">
        <x:v>Observation</x:v>
      </x:c>
      <x:c r="C284" s="16" t="str">
        <x:v>OBS-0170</x:v>
      </x:c>
      <x:c r="D284" s="16" t="str">
        <x:v>Carport verandah corner. Salt staining on purlins and rafters.</x:v>
      </x:c>
      <x:c r="E284" s="19" t="n">
        <x:v>1</x:v>
      </x:c>
      <x:c r="F284" s="16" t="str">
        <x:v>SRC-053</x:v>
      </x:c>
    </x:row>
    <x:row r="285" ht="37" customHeight="1">
      <x:c r="A285" s="16" t="str">
        <x:v>MRG-0140</x:v>
      </x:c>
      <x:c r="B285" s="16" t="str">
        <x:v>Observation</x:v>
      </x:c>
      <x:c r="C285" s="16" t="str">
        <x:v>OBS-0353</x:v>
      </x:c>
      <x:c r="D285" s="16" t="str">
        <x:v>Left hand side of house facing the entrance. Salt staining and paint deterioration on purlins and rafters.</x:v>
      </x:c>
      <x:c r="E285" s="19" t="n">
        <x:v>1</x:v>
      </x:c>
      <x:c r="F285" s="16" t="str">
        <x:v>SRC-054</x:v>
      </x:c>
    </x:row>
    <x:row r="286" ht="37" customHeight="1">
      <x:c r="A286" s="16" t="str">
        <x:v>MRG-0140</x:v>
      </x:c>
      <x:c r="B286" s="16" t="str">
        <x:v>Observation</x:v>
      </x:c>
      <x:c r="C286" s="16" t="str">
        <x:v>OBS-0354</x:v>
      </x:c>
      <x:c r="D286" s="16" t="str">
        <x:v>Left hand side of house facing the entrance. Salt staining on purlins and rafters.</x:v>
      </x:c>
      <x:c r="E286" s="19" t="n">
        <x:v>1</x:v>
      </x:c>
      <x:c r="F286" s="16" t="str">
        <x:v>SRC-053</x:v>
      </x:c>
    </x:row>
    <x:row r="287" ht="37" customHeight="1">
      <x:c r="A287" s="16" t="str">
        <x:v>MRG-0141</x:v>
      </x:c>
      <x:c r="B287" s="16" t="str">
        <x:v>Observation</x:v>
      </x:c>
      <x:c r="C287" s="16" t="str">
        <x:v>OBS-0415</x:v>
      </x:c>
      <x:c r="D287" s="16" t="str">
        <x:v>Moderate corrosion on light support. Typical to all columns.</x:v>
      </x:c>
      <x:c r="E287" s="19" t="n">
        <x:v>1</x:v>
      </x:c>
      <x:c r="F287" s="16" t="str">
        <x:v>SRC-092</x:v>
      </x:c>
    </x:row>
    <x:row r="288" ht="37" customHeight="1">
      <x:c r="A288" s="16" t="str">
        <x:v>MRG-0141</x:v>
      </x:c>
      <x:c r="B288" s="16" t="str">
        <x:v>Observation</x:v>
      </x:c>
      <x:c r="C288" s="16" t="str">
        <x:v>OBS-0417</x:v>
      </x:c>
      <x:c r="D288" s="16" t="str">
        <x:v>Moderate corrosion on winch. Typical to all columns.</x:v>
      </x:c>
      <x:c r="E288" s="19" t="n">
        <x:v>1</x:v>
      </x:c>
      <x:c r="F288" s="16" t="str">
        <x:v>SRC-092</x:v>
      </x:c>
    </x:row>
    <x:row r="289" ht="41" customHeight="1">
      <x:c r="A289" s="16" t="str">
        <x:v>MRG-0142</x:v>
      </x:c>
      <x:c r="B289" s="16" t="str">
        <x:v>Observation</x:v>
      </x:c>
      <x:c r="C289" s="16" t="str">
        <x:v>OBS-0004</x:v>
      </x:c>
      <x:c r="D289" s="16" t="str">
        <x:v>Front of property. Cladding and framing in good condition.</x:v>
      </x:c>
      <x:c r="E289" s="19" t="n">
        <x:v>8</x:v>
      </x:c>
      <x:c r="F289" s="16" t="str">
        <x:v>SRC-001, SRC-003, SRC-004, SRC-011, SRC-024, SRC-026, SRC-052, SRC-056</x:v>
      </x:c>
    </x:row>
    <x:row r="290" ht="37" customHeight="1">
      <x:c r="A290" s="16" t="str">
        <x:v>MRG-0142</x:v>
      </x:c>
      <x:c r="B290" s="16" t="str">
        <x:v>Observation</x:v>
      </x:c>
      <x:c r="C290" s="16" t="str">
        <x:v>OBS-0505</x:v>
      </x:c>
      <x:c r="D290" s="16" t="str">
        <x:v>Right hand side of property. Cladding and framing in good condition.</x:v>
      </x:c>
      <x:c r="E290" s="19" t="n">
        <x:v>1</x:v>
      </x:c>
      <x:c r="F290" s="16" t="str">
        <x:v>SRC-002</x:v>
      </x:c>
    </x:row>
    <x:row r="291" ht="41" customHeight="1">
      <x:c r="A291" s="16" t="str">
        <x:v>MRG-0143</x:v>
      </x:c>
      <x:c r="B291" s="16" t="str">
        <x:v>Observation</x:v>
      </x:c>
      <x:c r="C291" s="16" t="str">
        <x:v>OBS-0006</x:v>
      </x:c>
      <x:c r="D291" s="16" t="str">
        <x:v>Salt staining on rafters and purlins supporting roof overhang.</x:v>
      </x:c>
      <x:c r="E291" s="19" t="n">
        <x:v>7</x:v>
      </x:c>
      <x:c r="F291" s="16" t="str">
        <x:v>SRC-011, SRC-024, SRC-026, SRC-052, SRC-056, SRC-060</x:v>
      </x:c>
    </x:row>
    <x:row r="292" ht="37" customHeight="1">
      <x:c r="A292" s="16" t="str">
        <x:v>MRG-0143</x:v>
      </x:c>
      <x:c r="B292" s="16" t="str">
        <x:v>Observation</x:v>
      </x:c>
      <x:c r="C292" s="16" t="str">
        <x:v>OBS-0550</x:v>
      </x:c>
      <x:c r="D292" s="16" t="str">
        <x:v>Salt staining on rafters and purlins supporting window awning.</x:v>
      </x:c>
      <x:c r="E292" s="19" t="n">
        <x:v>1</x:v>
      </x:c>
      <x:c r="F292" s="16" t="str">
        <x:v>SRC-060</x:v>
      </x:c>
    </x:row>
    <x:row r="293" ht="37" customHeight="1">
      <x:c r="A293" s="16" t="str">
        <x:v>MRG-0144</x:v>
      </x:c>
      <x:c r="B293" s="16" t="str">
        <x:v>Observation</x:v>
      </x:c>
      <x:c r="C293" s="16" t="str">
        <x:v>OBS-0122</x:v>
      </x:c>
      <x:c r="D293" s="16" t="str">
        <x:v>Back wall cladding in good condition</x:v>
      </x:c>
      <x:c r="E293" s="19" t="n">
        <x:v>1</x:v>
      </x:c>
      <x:c r="F293" s="16" t="str">
        <x:v>SRC-015</x:v>
      </x:c>
    </x:row>
    <x:row r="294" ht="37" customHeight="1">
      <x:c r="A294" s="16" t="str">
        <x:v>MRG-0144</x:v>
      </x:c>
      <x:c r="B294" s="16" t="str">
        <x:v>Observation</x:v>
      </x:c>
      <x:c r="C294" s="16" t="str">
        <x:v>OBS-0512</x:v>
      </x:c>
      <x:c r="D294" s="16" t="str">
        <x:v>Roof and wall cladding in good condition.</x:v>
      </x:c>
      <x:c r="E294" s="19" t="n">
        <x:v>1</x:v>
      </x:c>
      <x:c r="F294" s="16" t="str">
        <x:v>SRC-025</x:v>
      </x:c>
    </x:row>
    <x:row r="295" ht="37" customHeight="1">
      <x:c r="A295" s="16" t="str">
        <x:v>MRG-0145</x:v>
      </x:c>
      <x:c r="B295" s="16" t="str">
        <x:v>Observation</x:v>
      </x:c>
      <x:c r="C295" s="16" t="str">
        <x:v>OBS-0065</x:v>
      </x:c>
      <x:c r="D295" s="16" t="str">
        <x:v>Minor corrosion on bolts.</x:v>
      </x:c>
      <x:c r="E295" s="19" t="n">
        <x:v>2</x:v>
      </x:c>
      <x:c r="F295" s="16" t="str">
        <x:v>SRC-063</x:v>
      </x:c>
    </x:row>
    <x:row r="296" ht="37" customHeight="1">
      <x:c r="A296" s="16" t="str">
        <x:v>MRG-0145</x:v>
      </x:c>
      <x:c r="B296" s="16" t="str">
        <x:v>Observation</x:v>
      </x:c>
      <x:c r="C296" s="16" t="str">
        <x:v>OBS-0396</x:v>
      </x:c>
      <x:c r="D296" s="16" t="str">
        <x:v>Minor corrosion on baseplates.</x:v>
      </x:c>
      <x:c r="E296" s="19" t="n">
        <x:v>1</x:v>
      </x:c>
      <x:c r="F296" s="16" t="str">
        <x:v>SRC-012</x:v>
      </x:c>
    </x:row>
    <x:row r="297" ht="37" customHeight="1">
      <x:c r="A297" s="16" t="str">
        <x:v>MRG-0146</x:v>
      </x:c>
      <x:c r="B297" s="16" t="str">
        <x:v>Observation</x:v>
      </x:c>
      <x:c r="C297" s="16" t="str">
        <x:v>OBS-0233</x:v>
      </x:c>
      <x:c r="D297" s="16" t="str">
        <x:v>Corrosion on roof sheeting.</x:v>
      </x:c>
      <x:c r="E297" s="19" t="n">
        <x:v>1</x:v>
      </x:c>
      <x:c r="F297" s="16" t="str">
        <x:v>SRC-063</x:v>
      </x:c>
    </x:row>
    <x:row r="298" ht="37" customHeight="1">
      <x:c r="A298" s="16" t="str">
        <x:v>MRG-0146</x:v>
      </x:c>
      <x:c r="B298" s="16" t="str">
        <x:v>Observation</x:v>
      </x:c>
      <x:c r="C298" s="16" t="str">
        <x:v>OBS-0586</x:v>
      </x:c>
      <x:c r="D298" s="16" t="str">
        <x:v>Surface corrosion on roof sheeting.</x:v>
      </x:c>
      <x:c r="E298" s="19" t="n">
        <x:v>1</x:v>
      </x:c>
      <x:c r="F298" s="16" t="str">
        <x:v>SRC-092</x:v>
      </x:c>
    </x:row>
    <x:row r="299" ht="37" customHeight="1">
      <x:c r="A299" s="16" t="str">
        <x:v>MRG-0147</x:v>
      </x:c>
      <x:c r="B299" s="16" t="str">
        <x:v>Observation</x:v>
      </x:c>
      <x:c r="C299" s="16" t="str">
        <x:v>OBS-0203</x:v>
      </x:c>
      <x:c r="D299" s="16" t="str">
        <x:v>Column 4. Minor corrosion at the lower section of column.</x:v>
      </x:c>
      <x:c r="E299" s="19" t="n">
        <x:v>1</x:v>
      </x:c>
      <x:c r="F299" s="16" t="str">
        <x:v>SRC-002</x:v>
      </x:c>
    </x:row>
    <x:row r="300" ht="37" customHeight="1">
      <x:c r="A300" s="16" t="str">
        <x:v>MRG-0147</x:v>
      </x:c>
      <x:c r="B300" s="16" t="str">
        <x:v>Observation</x:v>
      </x:c>
      <x:c r="C300" s="16" t="str">
        <x:v>OBS-0384</x:v>
      </x:c>
      <x:c r="D300" s="16" t="str">
        <x:v>Minor corrosion at lower section of column.</x:v>
      </x:c>
      <x:c r="E300" s="19" t="n">
        <x:v>1</x:v>
      </x:c>
      <x:c r="F300" s="16" t="str">
        <x:v>SRC-063</x:v>
      </x:c>
    </x:row>
    <x:row r="301" ht="37" customHeight="1">
      <x:c r="A301" s="16" t="str">
        <x:v>MRG-0148</x:v>
      </x:c>
      <x:c r="B301" s="16" t="str">
        <x:v>Observation</x:v>
      </x:c>
      <x:c r="C301" s="16" t="str">
        <x:v>OBS-0491</x:v>
      </x:c>
      <x:c r="D301" s="16" t="str">
        <x:v>Right hand side of house facing the entrance. Minor corrosion of purlins and rafters.</x:v>
      </x:c>
      <x:c r="E301" s="19" t="n">
        <x:v>1</x:v>
      </x:c>
      <x:c r="F301" s="16" t="str">
        <x:v>SRC-025</x:v>
      </x:c>
    </x:row>
    <x:row r="302" ht="37" customHeight="1">
      <x:c r="A302" s="16" t="str">
        <x:v>MRG-0148</x:v>
      </x:c>
      <x:c r="B302" s="16" t="str">
        <x:v>Observation</x:v>
      </x:c>
      <x:c r="C302" s="16" t="str">
        <x:v>OBS-0493</x:v>
      </x:c>
      <x:c r="D302" s="16" t="str">
        <x:v>Right hand side of house facing the entrance. Minor corrosion of verandah beams and posts.</x:v>
      </x:c>
      <x:c r="E302" s="19" t="n">
        <x:v>1</x:v>
      </x:c>
      <x:c r="F302" s="16" t="str">
        <x:v>SRC-010</x:v>
      </x:c>
    </x:row>
    <x:row r="303" ht="37" customHeight="1">
      <x:c r="A303" s="16" t="str">
        <x:v>MRG-0149</x:v>
      </x:c>
      <x:c r="B303" s="16" t="str">
        <x:v>Observation</x:v>
      </x:c>
      <x:c r="C303" s="16" t="str">
        <x:v>OBS-0035</x:v>
      </x:c>
      <x:c r="D303" s="16" t="str">
        <x:v>Backyard fencing post. Most posts have paint deterioration at the lower section.</x:v>
      </x:c>
      <x:c r="E303" s="19" t="n">
        <x:v>2</x:v>
      </x:c>
      <x:c r="F303" s="16" t="str">
        <x:v>SRC-024, SRC-026</x:v>
      </x:c>
    </x:row>
    <x:row r="304" ht="37" customHeight="1">
      <x:c r="A304" s="16" t="str">
        <x:v>MRG-0149</x:v>
      </x:c>
      <x:c r="B304" s="16" t="str">
        <x:v>Observation</x:v>
      </x:c>
      <x:c r="C304" s="16" t="str">
        <x:v>OBS-0157</x:v>
      </x:c>
      <x:c r="D304" s="16" t="str">
        <x:v>Carport fencing post. Most posts have paint deterioration and corrosion at the lower section.</x:v>
      </x:c>
      <x:c r="E304" s="19" t="n">
        <x:v>1</x:v>
      </x:c>
      <x:c r="F304" s="16" t="str">
        <x:v>SRC-052</x:v>
      </x:c>
    </x:row>
    <x:row r="305" ht="37" customHeight="1">
      <x:c r="A305" s="16" t="str">
        <x:v>MRG-0150</x:v>
      </x:c>
      <x:c r="B305" s="16" t="str">
        <x:v>Observation</x:v>
      </x:c>
      <x:c r="C305" s="16" t="str">
        <x:v>OBS-0523</x:v>
      </x:c>
      <x:c r="D305" s="16" t="str">
        <x:v>Row 1 Column 2. Minor corrosion and salt staining at lower portion of column.</x:v>
      </x:c>
      <x:c r="E305" s="19" t="n">
        <x:v>1</x:v>
      </x:c>
      <x:c r="F305" s="16" t="str">
        <x:v>SRC-059</x:v>
      </x:c>
    </x:row>
    <x:row r="306" ht="37" customHeight="1">
      <x:c r="A306" s="16" t="str">
        <x:v>MRG-0150</x:v>
      </x:c>
      <x:c r="B306" s="16" t="str">
        <x:v>Observation</x:v>
      </x:c>
      <x:c r="C306" s="16" t="str">
        <x:v>OBS-0524</x:v>
      </x:c>
      <x:c r="D306" s="16" t="str">
        <x:v>Row 1 Column 2. Minor corrosion at lower portion of column.</x:v>
      </x:c>
      <x:c r="E306" s="19" t="n">
        <x:v>1</x:v>
      </x:c>
      <x:c r="F306" s="16" t="str">
        <x:v>SRC-055</x:v>
      </x:c>
    </x:row>
    <x:row r="307" ht="37" customHeight="1">
      <x:c r="A307" s="16" t="str">
        <x:v>MRG-0151</x:v>
      </x:c>
      <x:c r="B307" s="16" t="str">
        <x:v>Observation</x:v>
      </x:c>
      <x:c r="C307" s="16" t="str">
        <x:v>OBS-0377</x:v>
      </x:c>
      <x:c r="D307" s="16" t="str">
        <x:v>Minor corrosion and paint deterioration on hoop.</x:v>
      </x:c>
      <x:c r="E307" s="19" t="n">
        <x:v>1</x:v>
      </x:c>
      <x:c r="F307" s="16" t="str">
        <x:v>SRC-092</x:v>
      </x:c>
    </x:row>
    <x:row r="308" ht="37" customHeight="1">
      <x:c r="A308" s="16" t="str">
        <x:v>MRG-0151</x:v>
      </x:c>
      <x:c r="B308" s="16" t="str">
        <x:v>Observation</x:v>
      </x:c>
      <x:c r="C308" s="16" t="str">
        <x:v>OBS-0378</x:v>
      </x:c>
      <x:c r="D308" s="16" t="str">
        <x:v>Minor corrosion and paint deterioration on purple shell.</x:v>
      </x:c>
      <x:c r="E308" s="19" t="n">
        <x:v>1</x:v>
      </x:c>
      <x:c r="F308" s="16" t="str">
        <x:v>SRC-099</x:v>
      </x:c>
    </x:row>
    <x:row r="309" ht="41" customHeight="1">
      <x:c r="A309" s="16" t="str">
        <x:v>MRG-0152</x:v>
      </x:c>
      <x:c r="B309" s="16" t="str">
        <x:v>Observation</x:v>
      </x:c>
      <x:c r="C309" s="16" t="str">
        <x:v>OBS-0003</x:v>
      </x:c>
      <x:c r="D309" s="16" t="str">
        <x:v>Carport verandah in good condition.</x:v>
      </x:c>
      <x:c r="E309" s="19" t="n">
        <x:v>8</x:v>
      </x:c>
      <x:c r="F309" s="16" t="str">
        <x:v>SRC-002, SRC-011, SRC-024, SRC-026, SRC-052, SRC-060, SRC-062</x:v>
      </x:c>
    </x:row>
    <x:row r="310" ht="37" customHeight="1">
      <x:c r="A310" s="16" t="str">
        <x:v>MRG-0152</x:v>
      </x:c>
      <x:c r="B310" s="16" t="str">
        <x:v>Observation</x:v>
      </x:c>
      <x:c r="C310" s="16" t="str">
        <x:v>OBS-0007</x:v>
      </x:c>
      <x:c r="D310" s="16" t="str">
        <x:v>Back verandah in good condition.</x:v>
      </x:c>
      <x:c r="E310" s="19" t="n">
        <x:v>5</x:v>
      </x:c>
      <x:c r="F310" s="16" t="str">
        <x:v>SRC-011, SRC-024, SRC-026, SRC-052, SRC-060</x:v>
      </x:c>
    </x:row>
    <x:row r="311" ht="37" customHeight="1">
      <x:c r="A311" s="16" t="str">
        <x:v>MRG-0153</x:v>
      </x:c>
      <x:c r="B311" s="16" t="str">
        <x:v>Observation</x:v>
      </x:c>
      <x:c r="C311" s="16" t="str">
        <x:v>OBS-0138</x:v>
      </x:c>
      <x:c r="D311" s="16" t="str">
        <x:v>Backyard verandah. In good condition.</x:v>
      </x:c>
      <x:c r="E311" s="19" t="n">
        <x:v>1</x:v>
      </x:c>
      <x:c r="F311" s="16" t="str">
        <x:v>SRC-012</x:v>
      </x:c>
    </x:row>
    <x:row r="312" ht="37" customHeight="1">
      <x:c r="A312" s="16" t="str">
        <x:v>MRG-0153</x:v>
      </x:c>
      <x:c r="B312" s="16" t="str">
        <x:v>Observation</x:v>
      </x:c>
      <x:c r="C312" s="16" t="str">
        <x:v>OBS-0313</x:v>
      </x:c>
      <x:c r="D312" s="16" t="str">
        <x:v>Front yard verandah in good condition.</x:v>
      </x:c>
      <x:c r="E312" s="19" t="n">
        <x:v>1</x:v>
      </x:c>
      <x:c r="F312" s="16" t="str">
        <x:v>SRC-002</x:v>
      </x:c>
    </x:row>
    <x:row r="313" ht="37" customHeight="1">
      <x:c r="A313" s="16" t="str">
        <x:v>MRG-0154</x:v>
      </x:c>
      <x:c r="B313" s="16" t="str">
        <x:v>Observation</x:v>
      </x:c>
      <x:c r="C313" s="16" t="str">
        <x:v>OBS-0157</x:v>
      </x:c>
      <x:c r="D313" s="16" t="str">
        <x:v>Carport fencing post. Most posts have paint deterioration and corrosion at the lower section.</x:v>
      </x:c>
      <x:c r="E313" s="19" t="n">
        <x:v>1</x:v>
      </x:c>
      <x:c r="F313" s="16" t="str">
        <x:v>SRC-052</x:v>
      </x:c>
    </x:row>
    <x:row r="314" ht="37" customHeight="1">
      <x:c r="A314" s="16" t="str">
        <x:v>MRG-0154</x:v>
      </x:c>
      <x:c r="B314" s="16" t="str">
        <x:v>Observation</x:v>
      </x:c>
      <x:c r="C314" s="16" t="str">
        <x:v>OBS-0164</x:v>
      </x:c>
      <x:c r="D314" s="16" t="str">
        <x:v>Carport gate post. Most posts have paint deterioration at the lower section.</x:v>
      </x:c>
      <x:c r="E314" s="19" t="n">
        <x:v>1</x:v>
      </x:c>
      <x:c r="F314" s="16" t="str">
        <x:v>SRC-050</x:v>
      </x:c>
    </x:row>
    <x:row r="315" ht="37" customHeight="1">
      <x:c r="A315" s="16" t="str">
        <x:v>MRG-0155</x:v>
      </x:c>
      <x:c r="B315" s="16" t="str">
        <x:v>Observation</x:v>
      </x:c>
      <x:c r="C315" s="16" t="str">
        <x:v>OBS-0343</x:v>
      </x:c>
      <x:c r="D315" s="16" t="str">
        <x:v>Left hand side gate facing the front entrance. Minor corrosion of column.</x:v>
      </x:c>
      <x:c r="E315" s="19" t="n">
        <x:v>1</x:v>
      </x:c>
      <x:c r="F315" s="16" t="str">
        <x:v>SRC-059</x:v>
      </x:c>
    </x:row>
    <x:row r="316" ht="37" customHeight="1">
      <x:c r="A316" s="16" t="str">
        <x:v>MRG-0155</x:v>
      </x:c>
      <x:c r="B316" s="16" t="str">
        <x:v>Observation</x:v>
      </x:c>
      <x:c r="C316" s="16" t="str">
        <x:v>OBS-0486</x:v>
      </x:c>
      <x:c r="D316" s="16" t="str">
        <x:v>Right hand side gate facing the front entrance. Minor corrosion to full length of column.</x:v>
      </x:c>
      <x:c r="E316" s="19" t="n">
        <x:v>1</x:v>
      </x:c>
      <x:c r="F316" s="16" t="str">
        <x:v>SRC-059</x:v>
      </x:c>
    </x:row>
    <x:row r="317" ht="37" customHeight="1">
      <x:c r="A317" s="16" t="str">
        <x:v>MRG-0156</x:v>
      </x:c>
      <x:c r="B317" s="16" t="str">
        <x:v>Observation</x:v>
      </x:c>
      <x:c r="C317" s="16" t="str">
        <x:v>OBS-0362</x:v>
      </x:c>
      <x:c r="D317" s="16" t="str">
        <x:v>Left hand side wall cladding facing front entrance in good condition.</x:v>
      </x:c>
      <x:c r="E317" s="19" t="n">
        <x:v>1</x:v>
      </x:c>
      <x:c r="F317" s="16" t="str">
        <x:v>SRC-058</x:v>
      </x:c>
    </x:row>
    <x:row r="318" ht="37" customHeight="1">
      <x:c r="A318" s="16" t="str">
        <x:v>MRG-0156</x:v>
      </x:c>
      <x:c r="B318" s="16" t="str">
        <x:v>Observation</x:v>
      </x:c>
      <x:c r="C318" s="16" t="str">
        <x:v>OBS-0510</x:v>
      </x:c>
      <x:c r="D318" s="16" t="str">
        <x:v>Right hand side wall cladding facing front entrance in good condition. Salt staining</x:v>
      </x:c>
      <x:c r="E318" s="19" t="n">
        <x:v>1</x:v>
      </x:c>
      <x:c r="F318" s="16" t="str">
        <x:v>SRC-058</x:v>
      </x:c>
    </x:row>
    <x:row r="319" ht="37" customHeight="1">
      <x:c r="A319" s="16" t="str">
        <x:v>MRG-0157</x:v>
      </x:c>
      <x:c r="B319" s="16" t="str">
        <x:v>Observation</x:v>
      </x:c>
      <x:c r="C319" s="16" t="str">
        <x:v>OBS-0011</x:v>
      </x:c>
      <x:c r="D319" s="16" t="str">
        <x:v>Back of property. Cladding and framing in good condition.</x:v>
      </x:c>
      <x:c r="E319" s="19" t="n">
        <x:v>4</x:v>
      </x:c>
      <x:c r="F319" s="16" t="str">
        <x:v>SRC-011, SRC-024, SRC-026, SRC-052</x:v>
      </x:c>
    </x:row>
    <x:row r="320" ht="37" customHeight="1">
      <x:c r="A320" s="16" t="str">
        <x:v>MRG-0157</x:v>
      </x:c>
      <x:c r="B320" s="16" t="str">
        <x:v>Observation</x:v>
      </x:c>
      <x:c r="C320" s="16" t="str">
        <x:v>OBS-0505</x:v>
      </x:c>
      <x:c r="D320" s="16" t="str">
        <x:v>Right hand side of property. Cladding and framing in good condition.</x:v>
      </x:c>
      <x:c r="E320" s="19" t="n">
        <x:v>1</x:v>
      </x:c>
      <x:c r="F320" s="16" t="str">
        <x:v>SRC-002</x:v>
      </x:c>
    </x:row>
    <x:row r="321" ht="37" customHeight="1">
      <x:c r="A321" s="16" t="str">
        <x:v>MRG-0158</x:v>
      </x:c>
      <x:c r="B321" s="16" t="str">
        <x:v>Observation</x:v>
      </x:c>
      <x:c r="C321" s="16" t="str">
        <x:v>OBS-0030</x:v>
      </x:c>
      <x:c r="D321" s="16" t="str">
        <x:v>Side overhang. Salt staining on rafters and purlins.</x:v>
      </x:c>
      <x:c r="E321" s="19" t="n">
        <x:v>3</x:v>
      </x:c>
      <x:c r="F321" s="16" t="str">
        <x:v>SRC-050</x:v>
      </x:c>
    </x:row>
    <x:row r="322" ht="37" customHeight="1">
      <x:c r="A322" s="16" t="str">
        <x:v>MRG-0158</x:v>
      </x:c>
      <x:c r="B322" s="16" t="str">
        <x:v>Observation</x:v>
      </x:c>
      <x:c r="C322" s="16" t="str">
        <x:v>OBS-0609</x:v>
      </x:c>
      <x:c r="D322" s="16" t="str">
        <x:v>Window awning. Salt staining on rafters and purlins.</x:v>
      </x:c>
      <x:c r="E322" s="19" t="n">
        <x:v>1</x:v>
      </x:c>
      <x:c r="F322" s="16" t="str">
        <x:v>SRC-050</x:v>
      </x:c>
    </x:row>
    <x:row r="323" ht="37" customHeight="1">
      <x:c r="A323" s="16" t="str">
        <x:v>MRG-0159</x:v>
      </x:c>
      <x:c r="B323" s="16" t="str">
        <x:v>Observation</x:v>
      </x:c>
      <x:c r="C323" s="16" t="str">
        <x:v>OBS-0005</x:v>
      </x:c>
      <x:c r="D323" s="16" t="str">
        <x:v>Fencing posts on left hand side of property facing the front entrance. Bitumen paint deterioration.</x:v>
      </x:c>
      <x:c r="E323" s="19" t="n">
        <x:v>7</x:v>
      </x:c>
      <x:c r="F323" s="16" t="str">
        <x:v>SRC-027, SRC-049, SRC-051, SRC-055</x:v>
      </x:c>
    </x:row>
    <x:row r="324" ht="41" customHeight="1">
      <x:c r="A324" s="16" t="str">
        <x:v>MRG-0159</x:v>
      </x:c>
      <x:c r="B324" s="16" t="str">
        <x:v>Observation</x:v>
      </x:c>
      <x:c r="C324" s="16" t="str">
        <x:v>OBS-0264</x:v>
      </x:c>
      <x:c r="D324" s="16" t="str">
        <x:v>Fencing posts on left hand side of property facing the front entrance. Bitumen paint deterioration and minor corrosion on post cap.</x:v>
      </x:c>
      <x:c r="E324" s="19" t="n">
        <x:v>1</x:v>
      </x:c>
      <x:c r="F324" s="16" t="str">
        <x:v>SRC-025</x:v>
      </x:c>
    </x:row>
    <x:row r="325" ht="37" customHeight="1">
      <x:c r="A325" s="16" t="str">
        <x:v>MRG-0160</x:v>
      </x:c>
      <x:c r="B325" s="16" t="str">
        <x:v>Observation</x:v>
      </x:c>
      <x:c r="C325" s="16" t="str">
        <x:v>OBS-0099</x:v>
      </x:c>
      <x:c r="D325" s="16" t="str">
        <x:v>Back cladding in good condition.</x:v>
      </x:c>
      <x:c r="E325" s="19" t="n">
        <x:v>1</x:v>
      </x:c>
      <x:c r="F325" s="16" t="str">
        <x:v>SRC-002</x:v>
      </x:c>
    </x:row>
    <x:row r="326" ht="37" customHeight="1">
      <x:c r="A326" s="16" t="str">
        <x:v>MRG-0160</x:v>
      </x:c>
      <x:c r="B326" s="16" t="str">
        <x:v>Observation</x:v>
      </x:c>
      <x:c r="C326" s="16" t="str">
        <x:v>OBS-0269</x:v>
      </x:c>
      <x:c r="D326" s="16" t="str">
        <x:v>Front cladding in good condition.</x:v>
      </x:c>
      <x:c r="E326" s="19" t="n">
        <x:v>1</x:v>
      </x:c>
      <x:c r="F326" s="16" t="str">
        <x:v>SRC-002</x:v>
      </x:c>
    </x:row>
    <x:row r="327" ht="37" customHeight="1">
      <x:c r="A327" s="16" t="str">
        <x:v>MRG-0161</x:v>
      </x:c>
      <x:c r="B327" s="16" t="str">
        <x:v>Observation</x:v>
      </x:c>
      <x:c r="C327" s="16" t="str">
        <x:v>OBS-0007</x:v>
      </x:c>
      <x:c r="D327" s="16" t="str">
        <x:v>Back verandah in good condition.</x:v>
      </x:c>
      <x:c r="E327" s="19" t="n">
        <x:v>5</x:v>
      </x:c>
      <x:c r="F327" s="16" t="str">
        <x:v>SRC-011, SRC-024, SRC-026, SRC-052, SRC-060</x:v>
      </x:c>
    </x:row>
    <x:row r="328" ht="37" customHeight="1">
      <x:c r="A328" s="16" t="str">
        <x:v>MRG-0161</x:v>
      </x:c>
      <x:c r="B328" s="16" t="str">
        <x:v>Observation</x:v>
      </x:c>
      <x:c r="C328" s="16" t="str">
        <x:v>OBS-0013</x:v>
      </x:c>
      <x:c r="D328" s="16" t="str">
        <x:v>Front verandah in good condition.</x:v>
      </x:c>
      <x:c r="E328" s="19" t="n">
        <x:v>4</x:v>
      </x:c>
      <x:c r="F328" s="16" t="str">
        <x:v>SRC-011, SRC-024, SRC-026, SRC-052</x:v>
      </x:c>
    </x:row>
    <x:row r="329" ht="37" customHeight="1">
      <x:c r="A329" s="16" t="str">
        <x:v>MRG-0162</x:v>
      </x:c>
      <x:c r="B329" s="16" t="str">
        <x:v>Observation</x:v>
      </x:c>
      <x:c r="C329" s="16" t="str">
        <x:v>OBS-0033</x:v>
      </x:c>
      <x:c r="D329" s="16" t="str">
        <x:v>Back wall. Cladding in good and framing condition.</x:v>
      </x:c>
      <x:c r="E329" s="19" t="n">
        <x:v>2</x:v>
      </x:c>
      <x:c r="F329" s="16" t="str">
        <x:v>SRC-003</x:v>
      </x:c>
    </x:row>
    <x:row r="330" ht="37" customHeight="1">
      <x:c r="A330" s="16" t="str">
        <x:v>MRG-0162</x:v>
      </x:c>
      <x:c r="B330" s="16" t="str">
        <x:v>Observation</x:v>
      </x:c>
      <x:c r="C330" s="16" t="str">
        <x:v>OBS-0122</x:v>
      </x:c>
      <x:c r="D330" s="16" t="str">
        <x:v>Back wall cladding in good condition</x:v>
      </x:c>
      <x:c r="E330" s="19" t="n">
        <x:v>1</x:v>
      </x:c>
      <x:c r="F330" s="16" t="str">
        <x:v>SRC-015</x:v>
      </x:c>
    </x:row>
    <x:row r="331" ht="41" customHeight="1">
      <x:c r="A331" s="16" t="str">
        <x:v>MRG-0163</x:v>
      </x:c>
      <x:c r="B331" s="16" t="str">
        <x:v>Observation</x:v>
      </x:c>
      <x:c r="C331" s="16" t="str">
        <x:v>OBS-0004</x:v>
      </x:c>
      <x:c r="D331" s="16" t="str">
        <x:v>Front of property. Cladding and framing in good condition.</x:v>
      </x:c>
      <x:c r="E331" s="19" t="n">
        <x:v>8</x:v>
      </x:c>
      <x:c r="F331" s="16" t="str">
        <x:v>SRC-001, SRC-003, SRC-004, SRC-011, SRC-024, SRC-026, SRC-052, SRC-056</x:v>
      </x:c>
    </x:row>
    <x:row r="332" ht="37" customHeight="1">
      <x:c r="A332" s="16" t="str">
        <x:v>MRG-0163</x:v>
      </x:c>
      <x:c r="B332" s="16" t="str">
        <x:v>Observation</x:v>
      </x:c>
      <x:c r="C332" s="16" t="str">
        <x:v>OBS-0049</x:v>
      </x:c>
      <x:c r="D332" s="16" t="str">
        <x:v>Front of property. Cladding in good and framing condition.</x:v>
      </x:c>
      <x:c r="E332" s="19" t="n">
        <x:v>2</x:v>
      </x:c>
      <x:c r="F332" s="16" t="str">
        <x:v>SRC-004, SRC-005</x:v>
      </x:c>
    </x:row>
    <x:row r="333" ht="37" customHeight="1">
      <x:c r="A333" s="16" t="str">
        <x:v>MRG-0164</x:v>
      </x:c>
      <x:c r="B333" s="16" t="str">
        <x:v>Observation</x:v>
      </x:c>
      <x:c r="C333" s="16" t="str">
        <x:v>OBS-0080</x:v>
      </x:c>
      <x:c r="D333" s="16" t="str">
        <x:v>Salt staining at corner of window frame, typical to most windows.</x:v>
      </x:c>
      <x:c r="E333" s="19" t="n">
        <x:v>2</x:v>
      </x:c>
      <x:c r="F333" s="16" t="str">
        <x:v>SRC-051, SRC-059</x:v>
      </x:c>
    </x:row>
    <x:row r="334" ht="37" customHeight="1">
      <x:c r="A334" s="16" t="str">
        <x:v>MRG-0164</x:v>
      </x:c>
      <x:c r="B334" s="16" t="str">
        <x:v>Observation</x:v>
      </x:c>
      <x:c r="C334" s="16" t="str">
        <x:v>OBS-0081</x:v>
      </x:c>
      <x:c r="D334" s="16" t="str">
        <x:v>Salt staining on wall cladding on window frame, typical to most windows.</x:v>
      </x:c>
      <x:c r="E334" s="19" t="n">
        <x:v>2</x:v>
      </x:c>
      <x:c r="F334" s="16" t="str">
        <x:v>SRC-027, SRC-049</x:v>
      </x:c>
    </x:row>
    <x:row r="335" ht="37" customHeight="1">
      <x:c r="A335" s="16" t="str">
        <x:v>MRG-0165</x:v>
      </x:c>
      <x:c r="B335" s="16" t="str">
        <x:v>Observation</x:v>
      </x:c>
      <x:c r="C335" s="16" t="str">
        <x:v>OBS-0067</x:v>
      </x:c>
      <x:c r="D335" s="16" t="str">
        <x:v>Minor corrosion towards lower section of column.</x:v>
      </x:c>
      <x:c r="E335" s="19" t="n">
        <x:v>2</x:v>
      </x:c>
      <x:c r="F335" s="16" t="str">
        <x:v>SRC-100</x:v>
      </x:c>
    </x:row>
    <x:row r="336" ht="37" customHeight="1">
      <x:c r="A336" s="16" t="str">
        <x:v>MRG-0165</x:v>
      </x:c>
      <x:c r="B336" s="16" t="str">
        <x:v>Observation</x:v>
      </x:c>
      <x:c r="C336" s="16" t="str">
        <x:v>OBS-0144</x:v>
      </x:c>
      <x:c r="D336" s="16" t="str">
        <x:v>Blistering corrosion towards lower section of the column.</x:v>
      </x:c>
      <x:c r="E336" s="19" t="n">
        <x:v>1</x:v>
      </x:c>
      <x:c r="F336" s="16" t="str">
        <x:v>SRC-092</x:v>
      </x:c>
    </x:row>
    <x:row r="337" ht="37" customHeight="1">
      <x:c r="A337" s="16" t="str">
        <x:v>MRG-0166</x:v>
      </x:c>
      <x:c r="B337" s="16" t="str">
        <x:v>Observation</x:v>
      </x:c>
      <x:c r="C337" s="16" t="str">
        <x:v>OBS-0491</x:v>
      </x:c>
      <x:c r="D337" s="16" t="str">
        <x:v>Right hand side of house facing the entrance. Minor corrosion of purlins and rafters.</x:v>
      </x:c>
      <x:c r="E337" s="19" t="n">
        <x:v>1</x:v>
      </x:c>
      <x:c r="F337" s="16" t="str">
        <x:v>SRC-025</x:v>
      </x:c>
    </x:row>
    <x:row r="338" ht="37" customHeight="1">
      <x:c r="A338" s="16" t="str">
        <x:v>MRG-0166</x:v>
      </x:c>
      <x:c r="B338" s="16" t="str">
        <x:v>Observation</x:v>
      </x:c>
      <x:c r="C338" s="16" t="str">
        <x:v>OBS-0496</x:v>
      </x:c>
      <x:c r="D338" s="16" t="str">
        <x:v>Right hand side of house facing the entrance. Salt staining on purlins and rafters.</x:v>
      </x:c>
      <x:c r="E338" s="19" t="n">
        <x:v>1</x:v>
      </x:c>
      <x:c r="F338" s="16" t="str">
        <x:v>SRC-053</x:v>
      </x:c>
    </x:row>
    <x:row r="339" ht="37" customHeight="1">
      <x:c r="A339" s="16" t="str">
        <x:v>MRG-0167</x:v>
      </x:c>
      <x:c r="B339" s="16" t="str">
        <x:v>Observation</x:v>
      </x:c>
      <x:c r="C339" s="16" t="str">
        <x:v>OBS-0151</x:v>
      </x:c>
      <x:c r="D339" s="16" t="str">
        <x:v>Carport column 1. Minor corrosion at the top column connection.</x:v>
      </x:c>
      <x:c r="E339" s="19" t="n">
        <x:v>1</x:v>
      </x:c>
      <x:c r="F339" s="16" t="str">
        <x:v>SRC-009</x:v>
      </x:c>
    </x:row>
    <x:row r="340" ht="37" customHeight="1">
      <x:c r="A340" s="16" t="str">
        <x:v>MRG-0167</x:v>
      </x:c>
      <x:c r="B340" s="16" t="str">
        <x:v>Observation</x:v>
      </x:c>
      <x:c r="C340" s="16" t="str">
        <x:v>OBS-0287</x:v>
      </x:c>
      <x:c r="D340" s="16" t="str">
        <x:v>Front verandah Column 1. Minor corrosion at the top column connection.</x:v>
      </x:c>
      <x:c r="E340" s="19" t="n">
        <x:v>1</x:v>
      </x:c>
      <x:c r="F340" s="16" t="str">
        <x:v>SRC-009</x:v>
      </x:c>
    </x:row>
    <x:row r="341" ht="37" customHeight="1">
      <x:c r="A341" s="16" t="str">
        <x:v>MRG-0168</x:v>
      </x:c>
      <x:c r="B341" s="16" t="str">
        <x:v>Observation</x:v>
      </x:c>
      <x:c r="C341" s="16" t="str">
        <x:v>OBS-0152</x:v>
      </x:c>
      <x:c r="D341" s="16" t="str">
        <x:v>Carport column 2. Minor corrosion at the top column connection.</x:v>
      </x:c>
      <x:c r="E341" s="19" t="n">
        <x:v>1</x:v>
      </x:c>
      <x:c r="F341" s="16" t="str">
        <x:v>SRC-009</x:v>
      </x:c>
    </x:row>
    <x:row r="342" ht="37" customHeight="1">
      <x:c r="A342" s="16" t="str">
        <x:v>MRG-0168</x:v>
      </x:c>
      <x:c r="B342" s="16" t="str">
        <x:v>Observation</x:v>
      </x:c>
      <x:c r="C342" s="16" t="str">
        <x:v>OBS-0288</x:v>
      </x:c>
      <x:c r="D342" s="16" t="str">
        <x:v>Front verandah Column 2. Minor corrosion at the top column connection.</x:v>
      </x:c>
      <x:c r="E342" s="19" t="n">
        <x:v>1</x:v>
      </x:c>
      <x:c r="F342" s="16" t="str">
        <x:v>SRC-009</x:v>
      </x:c>
    </x:row>
    <x:row r="343" ht="37" customHeight="1">
      <x:c r="A343" s="16" t="str">
        <x:v>MRG-0169</x:v>
      </x:c>
      <x:c r="B343" s="16" t="str">
        <x:v>Observation</x:v>
      </x:c>
      <x:c r="C343" s="16" t="str">
        <x:v>OBS-0153</x:v>
      </x:c>
      <x:c r="D343" s="16" t="str">
        <x:v>Carport column 3. Minor corrosion at the top column connection.</x:v>
      </x:c>
      <x:c r="E343" s="19" t="n">
        <x:v>1</x:v>
      </x:c>
      <x:c r="F343" s="16" t="str">
        <x:v>SRC-009</x:v>
      </x:c>
    </x:row>
    <x:row r="344" ht="37" customHeight="1">
      <x:c r="A344" s="16" t="str">
        <x:v>MRG-0169</x:v>
      </x:c>
      <x:c r="B344" s="16" t="str">
        <x:v>Observation</x:v>
      </x:c>
      <x:c r="C344" s="16" t="str">
        <x:v>OBS-0289</x:v>
      </x:c>
      <x:c r="D344" s="16" t="str">
        <x:v>Front verandah Column 3. Minor corrosion at the top column connection.</x:v>
      </x:c>
      <x:c r="E344" s="19" t="n">
        <x:v>1</x:v>
      </x:c>
      <x:c r="F344" s="16" t="str">
        <x:v>SRC-009</x:v>
      </x:c>
    </x:row>
    <x:row r="345" ht="37" customHeight="1">
      <x:c r="A345" s="16" t="str">
        <x:v>MRG-0170</x:v>
      </x:c>
      <x:c r="B345" s="16" t="str">
        <x:v>Observation</x:v>
      </x:c>
      <x:c r="C345" s="16" t="str">
        <x:v>OBS-0574</x:v>
      </x:c>
      <x:c r="D345" s="16" t="str">
        <x:v>Significant corrosion of purlins.</x:v>
      </x:c>
      <x:c r="E345" s="19" t="n">
        <x:v>1</x:v>
      </x:c>
      <x:c r="F345" s="16" t="str">
        <x:v>SRC-080</x:v>
      </x:c>
    </x:row>
    <x:row r="346" ht="37" customHeight="1">
      <x:c r="A346" s="16" t="str">
        <x:v>MRG-0170</x:v>
      </x:c>
      <x:c r="B346" s="16" t="str">
        <x:v>Observation</x:v>
      </x:c>
      <x:c r="C346" s="16" t="str">
        <x:v>OBS-0576</x:v>
      </x:c>
      <x:c r="D346" s="16" t="str">
        <x:v>Significant corrosion to the top of purlins.</x:v>
      </x:c>
      <x:c r="E346" s="19" t="n">
        <x:v>1</x:v>
      </x:c>
      <x:c r="F346" s="16" t="str">
        <x:v>SRC-080</x:v>
      </x:c>
    </x:row>
    <x:row r="347" ht="37" customHeight="1">
      <x:c r="A347" s="16" t="str">
        <x:v>MRG-0171</x:v>
      </x:c>
      <x:c r="B347" s="16" t="str">
        <x:v>Observation</x:v>
      </x:c>
      <x:c r="C347" s="16" t="str">
        <x:v>OBS-0005</x:v>
      </x:c>
      <x:c r="D347" s="16" t="str">
        <x:v>Fencing posts on left hand side of property facing the front entrance. Bitumen paint deterioration.</x:v>
      </x:c>
      <x:c r="E347" s="19" t="n">
        <x:v>7</x:v>
      </x:c>
      <x:c r="F347" s="16" t="str">
        <x:v>SRC-027, SRC-049, SRC-051, SRC-055</x:v>
      </x:c>
    </x:row>
    <x:row r="348" ht="37" customHeight="1">
      <x:c r="A348" s="16" t="str">
        <x:v>MRG-0171</x:v>
      </x:c>
      <x:c r="B348" s="16" t="str">
        <x:v>Observation</x:v>
      </x:c>
      <x:c r="C348" s="16" t="str">
        <x:v>OBS-0265</x:v>
      </x:c>
      <x:c r="D348" s="16" t="str">
        <x:v>Fencing posts on left hand side of property facing the front entrance. Corrosion.</x:v>
      </x:c>
      <x:c r="E348" s="19" t="n">
        <x:v>1</x:v>
      </x:c>
      <x:c r="F348" s="16" t="str">
        <x:v>SRC-025</x:v>
      </x:c>
    </x:row>
    <x:row r="349" ht="37" customHeight="1">
      <x:c r="A349" s="16" t="str">
        <x:v>MRG-0172</x:v>
      </x:c>
      <x:c r="B349" s="16" t="str">
        <x:v>Observation</x:v>
      </x:c>
      <x:c r="C349" s="16" t="str">
        <x:v>OBS-0350</x:v>
      </x:c>
      <x:c r="D349" s="16" t="str">
        <x:v>Left hand side of house facing the entrance. Minor corrosion of purlins and rafters.</x:v>
      </x:c>
      <x:c r="E349" s="19" t="n">
        <x:v>1</x:v>
      </x:c>
      <x:c r="F349" s="16" t="str">
        <x:v>SRC-025</x:v>
      </x:c>
    </x:row>
    <x:row r="350" ht="37" customHeight="1">
      <x:c r="A350" s="16" t="str">
        <x:v>MRG-0172</x:v>
      </x:c>
      <x:c r="B350" s="16" t="str">
        <x:v>Observation</x:v>
      </x:c>
      <x:c r="C350" s="16" t="str">
        <x:v>OBS-0354</x:v>
      </x:c>
      <x:c r="D350" s="16" t="str">
        <x:v>Left hand side of house facing the entrance. Salt staining on purlins and rafters.</x:v>
      </x:c>
      <x:c r="E350" s="19" t="n">
        <x:v>1</x:v>
      </x:c>
      <x:c r="F350" s="16" t="str">
        <x:v>SRC-053</x:v>
      </x:c>
    </x:row>
    <x:row r="351" ht="37" customHeight="1">
      <x:c r="A351" s="16" t="str">
        <x:v>MRG-0173</x:v>
      </x:c>
      <x:c r="B351" s="16" t="str">
        <x:v>Observation</x:v>
      </x:c>
      <x:c r="C351" s="16" t="str">
        <x:v>OBS-0359</x:v>
      </x:c>
      <x:c r="D351" s="16" t="str">
        <x:v>Left hand side staircase facing front entrance. Spalling and exposed reinforcement.</x:v>
      </x:c>
      <x:c r="E351" s="19" t="n">
        <x:v>1</x:v>
      </x:c>
      <x:c r="F351" s="16" t="str">
        <x:v>SRC-096</x:v>
      </x:c>
    </x:row>
    <x:row r="352" ht="37" customHeight="1">
      <x:c r="A352" s="16" t="str">
        <x:v>MRG-0173</x:v>
      </x:c>
      <x:c r="B352" s="16" t="str">
        <x:v>Observation</x:v>
      </x:c>
      <x:c r="C352" s="16" t="str">
        <x:v>OBS-0487</x:v>
      </x:c>
      <x:c r="D352" s="16" t="str">
        <x:v>Right hand side of back balcony facing front entrance. Spalling and exposed reinforcement.</x:v>
      </x:c>
      <x:c r="E352" s="19" t="n">
        <x:v>1</x:v>
      </x:c>
      <x:c r="F352" s="16" t="str">
        <x:v>SRC-096</x:v>
      </x:c>
    </x:row>
    <x:row r="353" ht="41" customHeight="1">
      <x:c r="A353" s="16" t="str">
        <x:v>MRG-0174</x:v>
      </x:c>
      <x:c r="B353" s="16" t="str">
        <x:v>Observation</x:v>
      </x:c>
      <x:c r="C353" s="16" t="str">
        <x:v>OBS-0107</x:v>
      </x:c>
      <x:c r="D353" s="16" t="str">
        <x:v>Back right hand side corner facing front of the house. Hole in rafter due to severe corrosion. Hole in roof above rafter has increased rate of corrosion.</x:v>
      </x:c>
      <x:c r="E353" s="19" t="n">
        <x:v>1</x:v>
      </x:c>
      <x:c r="F353" s="16" t="str">
        <x:v>SRC-048</x:v>
      </x:c>
    </x:row>
    <x:row r="354" ht="41" customHeight="1">
      <x:c r="A354" s="16" t="str">
        <x:v>MRG-0174</x:v>
      </x:c>
      <x:c r="B354" s="16" t="str">
        <x:v>Observation</x:v>
      </x:c>
      <x:c r="C354" s="16" t="str">
        <x:v>OBS-0108</x:v>
      </x:c>
      <x:c r="D354" s="16" t="str">
        <x:v>Back right hand side corner facing front of the house. Hole in roof above rafter has increased rate of corrosion.</x:v>
      </x:c>
      <x:c r="E354" s="19" t="n">
        <x:v>1</x:v>
      </x:c>
      <x:c r="F354" s="16" t="str">
        <x:v>SRC-048</x:v>
      </x:c>
    </x:row>
    <x:row r="355" ht="37" customHeight="1">
      <x:c r="A355" s="16" t="str">
        <x:v>MRG-0175</x:v>
      </x:c>
      <x:c r="B355" s="16" t="str">
        <x:v>Observation</x:v>
      </x:c>
      <x:c r="C355" s="16" t="str">
        <x:v>OBS-0386</x:v>
      </x:c>
      <x:c r="D355" s="16" t="str">
        <x:v>Minor corrosion at the lower section of the post.</x:v>
      </x:c>
      <x:c r="E355" s="19" t="n">
        <x:v>1</x:v>
      </x:c>
      <x:c r="F355" s="16" t="str">
        <x:v>SRC-063</x:v>
      </x:c>
    </x:row>
    <x:row r="356" ht="37" customHeight="1">
      <x:c r="A356" s="16" t="str">
        <x:v>MRG-0175</x:v>
      </x:c>
      <x:c r="B356" s="16" t="str">
        <x:v>Observation</x:v>
      </x:c>
      <x:c r="C356" s="16" t="str">
        <x:v>OBS-0399</x:v>
      </x:c>
      <x:c r="D356" s="16" t="str">
        <x:v>Minor corrosion on lower section of the struts.</x:v>
      </x:c>
      <x:c r="E356" s="19" t="n">
        <x:v>1</x:v>
      </x:c>
      <x:c r="F356" s="16" t="str">
        <x:v>SRC-063</x:v>
      </x:c>
    </x:row>
    <x:row r="357" ht="37" customHeight="1">
      <x:c r="A357" s="16" t="str">
        <x:v>MRG-0176</x:v>
      </x:c>
      <x:c r="B357" s="16" t="str">
        <x:v>Observation</x:v>
      </x:c>
      <x:c r="C357" s="16" t="str">
        <x:v>OBS-0135</x:v>
      </x:c>
      <x:c r="D357" s="16" t="str">
        <x:v>Backyard fencing. Severe corrosion and bitumen paint deterioration.</x:v>
      </x:c>
      <x:c r="E357" s="19" t="n">
        <x:v>1</x:v>
      </x:c>
      <x:c r="F357" s="16" t="str">
        <x:v>SRC-011</x:v>
      </x:c>
    </x:row>
    <x:row r="358" ht="37" customHeight="1">
      <x:c r="A358" s="16" t="str">
        <x:v>MRG-0176</x:v>
      </x:c>
      <x:c r="B358" s="16" t="str">
        <x:v>Observation</x:v>
      </x:c>
      <x:c r="C358" s="16" t="str">
        <x:v>OBS-0557</x:v>
      </x:c>
      <x:c r="D358" s="16" t="str">
        <x:v>Severe corrosion and bitumen paint deterioration.</x:v>
      </x:c>
      <x:c r="E358" s="19" t="n">
        <x:v>1</x:v>
      </x:c>
      <x:c r="F358" s="16" t="str">
        <x:v>SRC-056</x:v>
      </x:c>
    </x:row>
    <x:row r="359" ht="37" customHeight="1">
      <x:c r="A359" s="16" t="str">
        <x:v>MRG-0177</x:v>
      </x:c>
      <x:c r="B359" s="16" t="str">
        <x:v>Observation</x:v>
      </x:c>
      <x:c r="C359" s="16" t="str">
        <x:v>OBS-0016</x:v>
      </x:c>
      <x:c r="D359" s="16" t="str">
        <x:v>Minor surface corrosion.</x:v>
      </x:c>
      <x:c r="E359" s="19" t="n">
        <x:v>4</x:v>
      </x:c>
      <x:c r="F359" s="16" t="str">
        <x:v>SRC-061, SRC-065, SRC-068</x:v>
      </x:c>
    </x:row>
    <x:row r="360" ht="37" customHeight="1">
      <x:c r="A360" s="16" t="str">
        <x:v>MRG-0177</x:v>
      </x:c>
      <x:c r="B360" s="16" t="str">
        <x:v>Observation</x:v>
      </x:c>
      <x:c r="C360" s="16" t="str">
        <x:v>OBS-0587</x:v>
      </x:c>
      <x:c r="D360" s="16" t="str">
        <x:v>Surface corrosion.</x:v>
      </x:c>
      <x:c r="E360" s="19" t="n">
        <x:v>1</x:v>
      </x:c>
      <x:c r="F360" s="16" t="str">
        <x:v>SRC-104</x:v>
      </x:c>
    </x:row>
    <x:row r="361" ht="37" customHeight="1">
      <x:c r="A361" s="16" t="str">
        <x:v>MRG-0178</x:v>
      </x:c>
      <x:c r="B361" s="16" t="str">
        <x:v>Observation</x:v>
      </x:c>
      <x:c r="C361" s="16" t="str">
        <x:v>OBS-0109</x:v>
      </x:c>
      <x:c r="D361" s="16" t="str">
        <x:v>Back verandah column in good condition.</x:v>
      </x:c>
      <x:c r="E361" s="19" t="n">
        <x:v>1</x:v>
      </x:c>
      <x:c r="F361" s="16" t="str">
        <x:v>SRC-052</x:v>
      </x:c>
    </x:row>
    <x:row r="362" ht="37" customHeight="1">
      <x:c r="A362" s="16" t="str">
        <x:v>MRG-0178</x:v>
      </x:c>
      <x:c r="B362" s="16" t="str">
        <x:v>Observation</x:v>
      </x:c>
      <x:c r="C362" s="16" t="str">
        <x:v>OBS-0138</x:v>
      </x:c>
      <x:c r="D362" s="16" t="str">
        <x:v>Backyard verandah. In good condition.</x:v>
      </x:c>
      <x:c r="E362" s="19" t="n">
        <x:v>1</x:v>
      </x:c>
      <x:c r="F362" s="16" t="str">
        <x:v>SRC-012</x:v>
      </x:c>
    </x:row>
    <x:row r="363" ht="37" customHeight="1">
      <x:c r="A363" s="16" t="str">
        <x:v>MRG-0179</x:v>
      </x:c>
      <x:c r="B363" s="16" t="str">
        <x:v>Observation</x:v>
      </x:c>
      <x:c r="C363" s="16" t="str">
        <x:v>OBS-0014</x:v>
      </x:c>
      <x:c r="D363" s="16" t="str">
        <x:v>Front verandah.</x:v>
      </x:c>
      <x:c r="E363" s="19" t="n">
        <x:v>4</x:v>
      </x:c>
      <x:c r="F363" s="16" t="str">
        <x:v>SRC-009, SRC-014, SRC-048, SRC-092</x:v>
      </x:c>
    </x:row>
    <x:row r="364" ht="37" customHeight="1">
      <x:c r="A364" s="16" t="str">
        <x:v>MRG-0179</x:v>
      </x:c>
      <x:c r="B364" s="16" t="str">
        <x:v>Observation</x:v>
      </x:c>
      <x:c r="C364" s="16" t="str">
        <x:v>OBS-0316</x:v>
      </x:c>
      <x:c r="D364" s="16" t="str">
        <x:v>Front yard verandah.</x:v>
      </x:c>
      <x:c r="E364" s="19" t="n">
        <x:v>1</x:v>
      </x:c>
      <x:c r="F364" s="16" t="str">
        <x:v>SRC-061</x:v>
      </x:c>
    </x:row>
    <x:row r="365" ht="37" customHeight="1">
      <x:c r="A365" s="16" t="str">
        <x:v>MRG-0180</x:v>
      </x:c>
      <x:c r="B365" s="16" t="str">
        <x:v>Observation</x:v>
      </x:c>
      <x:c r="C365" s="16" t="str">
        <x:v>OBS-0066</x:v>
      </x:c>
      <x:c r="D365" s="16" t="str">
        <x:v>Minor corrosion on roof sheeting</x:v>
      </x:c>
      <x:c r="E365" s="19" t="n">
        <x:v>2</x:v>
      </x:c>
      <x:c r="F365" s="16" t="str">
        <x:v>SRC-059, SRC-063</x:v>
      </x:c>
    </x:row>
    <x:row r="366" ht="37" customHeight="1">
      <x:c r="A366" s="16" t="str">
        <x:v>MRG-0180</x:v>
      </x:c>
      <x:c r="B366" s="16" t="str">
        <x:v>Observation</x:v>
      </x:c>
      <x:c r="C366" s="16" t="str">
        <x:v>OBS-0586</x:v>
      </x:c>
      <x:c r="D366" s="16" t="str">
        <x:v>Surface corrosion on roof sheeting.</x:v>
      </x:c>
      <x:c r="E366" s="19" t="n">
        <x:v>1</x:v>
      </x:c>
      <x:c r="F366" s="16" t="str">
        <x:v>SRC-092</x:v>
      </x:c>
    </x:row>
    <x:row r="367" ht="37" customHeight="1">
      <x:c r="A367" s="16" t="str">
        <x:v>MRG-0181</x:v>
      </x:c>
      <x:c r="B367" s="16" t="str">
        <x:v>Observation</x:v>
      </x:c>
      <x:c r="C367" s="16" t="str">
        <x:v>OBS-0429</x:v>
      </x:c>
      <x:c r="D367" s="16" t="str">
        <x:v>Overview of front entrance verandah.</x:v>
      </x:c>
      <x:c r="E367" s="19" t="n">
        <x:v>1</x:v>
      </x:c>
      <x:c r="F367" s="16" t="str">
        <x:v>SRC-063</x:v>
      </x:c>
    </x:row>
    <x:row r="368" ht="37" customHeight="1">
      <x:c r="A368" s="16" t="str">
        <x:v>MRG-0181</x:v>
      </x:c>
      <x:c r="B368" s="16" t="str">
        <x:v>Observation</x:v>
      </x:c>
      <x:c r="C368" s="16" t="str">
        <x:v>OBS-0431</x:v>
      </x:c>
      <x:c r="D368" s="16" t="str">
        <x:v>Overview of front yard verandah</x:v>
      </x:c>
      <x:c r="E368" s="19" t="n">
        <x:v>1</x:v>
      </x:c>
      <x:c r="F368" s="16" t="str">
        <x:v>SRC-002</x:v>
      </x:c>
    </x:row>
    <x:row r="369" ht="37" customHeight="1">
      <x:c r="A369" s="16" t="str">
        <x:v>MRG-0182</x:v>
      </x:c>
      <x:c r="B369" s="16" t="str">
        <x:v>Observation</x:v>
      </x:c>
      <x:c r="C369" s="16" t="str">
        <x:v>OBS-0453</x:v>
      </x:c>
      <x:c r="D369" s="16" t="str">
        <x:v>Pier 10. Corrosion at support location. Expansion of steel due to corrosion causing brickwork to crack.</x:v>
      </x:c>
      <x:c r="E369" s="19" t="n">
        <x:v>1</x:v>
      </x:c>
      <x:c r="F369" s="16" t="str">
        <x:v>SRC-006</x:v>
      </x:c>
    </x:row>
    <x:row r="370" ht="41" customHeight="1">
      <x:c r="A370" s="16" t="str">
        <x:v>MRG-0182</x:v>
      </x:c>
      <x:c r="B370" s="16" t="str">
        <x:v>Observation</x:v>
      </x:c>
      <x:c r="C370" s="16" t="str">
        <x:v>OBS-0475</x:v>
      </x:c>
      <x:c r="D370" s="16" t="str">
        <x:v>Rafter at the top of pier 5. Severe corrosion at support location. Expansion of steel due to corrosion causing the brickwork to crack.</x:v>
      </x:c>
      <x:c r="E370" s="19" t="n">
        <x:v>1</x:v>
      </x:c>
      <x:c r="F370" s="16" t="str">
        <x:v>SRC-006</x:v>
      </x:c>
    </x:row>
    <x:row r="371" ht="37" customHeight="1">
      <x:c r="A371" s="16" t="str">
        <x:v>MRG-0183</x:v>
      </x:c>
      <x:c r="B371" s="16" t="str">
        <x:v>Observation</x:v>
      </x:c>
      <x:c r="C371" s="16" t="str">
        <x:v>OBS-0521</x:v>
      </x:c>
      <x:c r="D371" s="16" t="str">
        <x:v>Row 1 Column 1. Minor corrosion at lower portion of column.</x:v>
      </x:c>
      <x:c r="E371" s="19" t="n">
        <x:v>1</x:v>
      </x:c>
      <x:c r="F371" s="16" t="str">
        <x:v>SRC-059</x:v>
      </x:c>
    </x:row>
    <x:row r="372" ht="37" customHeight="1">
      <x:c r="A372" s="16" t="str">
        <x:v>MRG-0183</x:v>
      </x:c>
      <x:c r="B372" s="16" t="str">
        <x:v>Observation</x:v>
      </x:c>
      <x:c r="C372" s="16" t="str">
        <x:v>OBS-0523</x:v>
      </x:c>
      <x:c r="D372" s="16" t="str">
        <x:v>Row 1 Column 2. Minor corrosion and salt staining at lower portion of column.</x:v>
      </x:c>
      <x:c r="E372" s="19" t="n">
        <x:v>1</x:v>
      </x:c>
      <x:c r="F372" s="16" t="str">
        <x:v>SRC-059</x:v>
      </x:c>
    </x:row>
    <x:row r="373" ht="37" customHeight="1">
      <x:c r="A373" s="16" t="str">
        <x:v>MRG-0184</x:v>
      </x:c>
      <x:c r="B373" s="16" t="str">
        <x:v>Observation</x:v>
      </x:c>
      <x:c r="C373" s="16" t="str">
        <x:v>OBS-0524</x:v>
      </x:c>
      <x:c r="D373" s="16" t="str">
        <x:v>Row 1 Column 2. Minor corrosion at lower portion of column.</x:v>
      </x:c>
      <x:c r="E373" s="19" t="n">
        <x:v>1</x:v>
      </x:c>
      <x:c r="F373" s="16" t="str">
        <x:v>SRC-055</x:v>
      </x:c>
    </x:row>
    <x:row r="374" ht="37" customHeight="1">
      <x:c r="A374" s="16" t="str">
        <x:v>MRG-0184</x:v>
      </x:c>
      <x:c r="B374" s="16" t="str">
        <x:v>Observation</x:v>
      </x:c>
      <x:c r="C374" s="16" t="str">
        <x:v>OBS-0529</x:v>
      </x:c>
      <x:c r="D374" s="16" t="str">
        <x:v>Row 2 Column 2. Minor corrosion and salt staining at lower portion of column.</x:v>
      </x:c>
      <x:c r="E374" s="19" t="n">
        <x:v>1</x:v>
      </x:c>
      <x:c r="F374" s="16" t="str">
        <x:v>SRC-055</x:v>
      </x:c>
    </x:row>
    <x:row r="375" ht="41" customHeight="1">
      <x:c r="A375" s="16" t="str">
        <x:v>MRG-0185</x:v>
      </x:c>
      <x:c r="B375" s="16" t="str">
        <x:v>Observation</x:v>
      </x:c>
      <x:c r="C375" s="16" t="str">
        <x:v>OBS-0003</x:v>
      </x:c>
      <x:c r="D375" s="16" t="str">
        <x:v>Carport verandah in good condition.</x:v>
      </x:c>
      <x:c r="E375" s="19" t="n">
        <x:v>8</x:v>
      </x:c>
      <x:c r="F375" s="16" t="str">
        <x:v>SRC-002, SRC-011, SRC-024, SRC-026, SRC-052, SRC-060, SRC-062</x:v>
      </x:c>
    </x:row>
    <x:row r="376" ht="37" customHeight="1">
      <x:c r="A376" s="16" t="str">
        <x:v>MRG-0185</x:v>
      </x:c>
      <x:c r="B376" s="16" t="str">
        <x:v>Observation</x:v>
      </x:c>
      <x:c r="C376" s="16" t="str">
        <x:v>OBS-0165</x:v>
      </x:c>
      <x:c r="D376" s="16" t="str">
        <x:v>Carport in good condition.</x:v>
      </x:c>
      <x:c r="E376" s="19" t="n">
        <x:v>1</x:v>
      </x:c>
      <x:c r="F376" s="16" t="str">
        <x:v>SRC-008</x:v>
      </x:c>
    </x:row>
    <x:row r="377" ht="37" customHeight="1">
      <x:c r="A377" s="16" t="str">
        <x:v>MRG-0186</x:v>
      </x:c>
      <x:c r="B377" s="16" t="str">
        <x:v>Observation</x:v>
      </x:c>
      <x:c r="C377" s="16" t="str">
        <x:v>OBS-0390</x:v>
      </x:c>
      <x:c r="D377" s="16" t="str">
        <x:v>Minor corrosion of lintel</x:v>
      </x:c>
      <x:c r="E377" s="19" t="n">
        <x:v>1</x:v>
      </x:c>
      <x:c r="F377" s="16" t="str">
        <x:v>SRC-057</x:v>
      </x:c>
    </x:row>
    <x:row r="378" ht="37" customHeight="1">
      <x:c r="A378" s="16" t="str">
        <x:v>MRG-0186</x:v>
      </x:c>
      <x:c r="B378" s="16" t="str">
        <x:v>Observation</x:v>
      </x:c>
      <x:c r="C378" s="16" t="str">
        <x:v>OBS-0607</x:v>
      </x:c>
      <x:c r="D378" s="16" t="str">
        <x:v>Window 1. Minor corrosion of lintel.</x:v>
      </x:c>
      <x:c r="E378" s="19" t="n">
        <x:v>1</x:v>
      </x:c>
      <x:c r="F378" s="16" t="str">
        <x:v>SRC-057</x:v>
      </x:c>
    </x:row>
    <x:row r="379" ht="37" customHeight="1">
      <x:c r="A379" s="16" t="str">
        <x:v>MRG-0187</x:v>
      </x:c>
      <x:c r="B379" s="16" t="str">
        <x:v>Observation</x:v>
      </x:c>
      <x:c r="C379" s="16" t="str">
        <x:v>OBS-0390</x:v>
      </x:c>
      <x:c r="D379" s="16" t="str">
        <x:v>Minor corrosion of lintel</x:v>
      </x:c>
      <x:c r="E379" s="19" t="n">
        <x:v>1</x:v>
      </x:c>
      <x:c r="F379" s="16" t="str">
        <x:v>SRC-057</x:v>
      </x:c>
    </x:row>
    <x:row r="380" ht="37" customHeight="1">
      <x:c r="A380" s="16" t="str">
        <x:v>MRG-0187</x:v>
      </x:c>
      <x:c r="B380" s="16" t="str">
        <x:v>Observation</x:v>
      </x:c>
      <x:c r="C380" s="16" t="str">
        <x:v>OBS-0608</x:v>
      </x:c>
      <x:c r="D380" s="16" t="str">
        <x:v>Window 2. Minor corrosion of lintel.</x:v>
      </x:c>
      <x:c r="E380" s="19" t="n">
        <x:v>1</x:v>
      </x:c>
      <x:c r="F380" s="16" t="str">
        <x:v>SRC-057</x:v>
      </x:c>
    </x:row>
    <x:row r="381" ht="41" customHeight="1">
      <x:c r="A381" s="16" t="str">
        <x:v>MRG-0188</x:v>
      </x:c>
      <x:c r="B381" s="16" t="str">
        <x:v>Observation</x:v>
      </x:c>
      <x:c r="C381" s="16" t="str">
        <x:v>OBS-0131</x:v>
      </x:c>
      <x:c r="D381" s="16" t="str">
        <x:v>Backyard fencing posts on left hand side of property facing the front entrance. Minor surface corrosion along the length of the post.</x:v>
      </x:c>
      <x:c r="E381" s="19" t="n">
        <x:v>1</x:v>
      </x:c>
      <x:c r="F381" s="16" t="str">
        <x:v>SRC-003</x:v>
      </x:c>
    </x:row>
    <x:row r="382" ht="41" customHeight="1">
      <x:c r="A382" s="16" t="str">
        <x:v>MRG-0188</x:v>
      </x:c>
      <x:c r="B382" s="16" t="str">
        <x:v>Observation</x:v>
      </x:c>
      <x:c r="C382" s="16" t="str">
        <x:v>OBS-0132</x:v>
      </x:c>
      <x:c r="D382" s="16" t="str">
        <x:v>Backyard fencing posts on left hand side of property facing the front entrance. Minor surface corrosion along the length of the post. Delamination of steel towards the lower section.</x:v>
      </x:c>
      <x:c r="E382" s="19" t="n">
        <x:v>1</x:v>
      </x:c>
      <x:c r="F382" s="16" t="str">
        <x:v>SRC-001</x:v>
      </x:c>
    </x:row>
    <x:row r="383" ht="37" customHeight="1">
      <x:c r="A383" s="16" t="str">
        <x:v>MRG-0189</x:v>
      </x:c>
      <x:c r="B383" s="16" t="str">
        <x:v>Observation</x:v>
      </x:c>
      <x:c r="C383" s="16" t="str">
        <x:v>OBS-0038</x:v>
      </x:c>
      <x:c r="D383" s="16" t="str">
        <x:v>Carport wall cladding in good condition.</x:v>
      </x:c>
      <x:c r="E383" s="19" t="n">
        <x:v>2</x:v>
      </x:c>
      <x:c r="F383" s="16" t="str">
        <x:v>SRC-026, SRC-052</x:v>
      </x:c>
    </x:row>
    <x:row r="384" ht="37" customHeight="1">
      <x:c r="A384" s="16" t="str">
        <x:v>MRG-0189</x:v>
      </x:c>
      <x:c r="B384" s="16" t="str">
        <x:v>Observation</x:v>
      </x:c>
      <x:c r="C384" s="16" t="str">
        <x:v>OBS-0269</x:v>
      </x:c>
      <x:c r="D384" s="16" t="str">
        <x:v>Front cladding in good condition.</x:v>
      </x:c>
      <x:c r="E384" s="19" t="n">
        <x:v>1</x:v>
      </x:c>
      <x:c r="F384" s="16" t="str">
        <x:v>SRC-002</x:v>
      </x:c>
    </x:row>
    <x:row r="385" ht="37" customHeight="1">
      <x:c r="A385" s="16" t="str">
        <x:v>MRG-0190</x:v>
      </x:c>
      <x:c r="B385" s="16" t="str">
        <x:v>Observation</x:v>
      </x:c>
      <x:c r="C385" s="16" t="str">
        <x:v>OBS-0367</x:v>
      </x:c>
      <x:c r="D385" s="16" t="str">
        <x:v>Left-hand side facing front of house. Tek screws and flange of top-hat corroded away.</x:v>
      </x:c>
      <x:c r="E385" s="19" t="n">
        <x:v>1</x:v>
      </x:c>
      <x:c r="F385" s="16" t="str">
        <x:v>SRC-015</x:v>
      </x:c>
    </x:row>
    <x:row r="386" ht="37" customHeight="1">
      <x:c r="A386" s="16" t="str">
        <x:v>MRG-0190</x:v>
      </x:c>
      <x:c r="B386" s="16" t="str">
        <x:v>Observation</x:v>
      </x:c>
      <x:c r="C386" s="16" t="str">
        <x:v>OBS-0511</x:v>
      </x:c>
      <x:c r="D386" s="16" t="str">
        <x:v>Right-hand side corner facing back wall of house. Tek screws and flange of top-hat corroded away.</x:v>
      </x:c>
      <x:c r="E386" s="19" t="n">
        <x:v>1</x:v>
      </x:c>
      <x:c r="F386" s="16" t="str">
        <x:v>SRC-015</x:v>
      </x:c>
    </x:row>
    <x:row r="387" ht="37" customHeight="1">
      <x:c r="A387" s="16" t="str">
        <x:v>MRG-0191</x:v>
      </x:c>
      <x:c r="B387" s="16" t="str">
        <x:v>Observation</x:v>
      </x:c>
      <x:c r="C387" s="16" t="str">
        <x:v>OBS-0051</x:v>
      </x:c>
      <x:c r="D387" s="16" t="str">
        <x:v>Front verandah column in good condition.</x:v>
      </x:c>
      <x:c r="E387" s="19" t="n">
        <x:v>2</x:v>
      </x:c>
      <x:c r="F387" s="16" t="str">
        <x:v>SRC-050, SRC-052</x:v>
      </x:c>
    </x:row>
    <x:row r="388" ht="37" customHeight="1">
      <x:c r="A388" s="16" t="str">
        <x:v>MRG-0191</x:v>
      </x:c>
      <x:c r="B388" s="16" t="str">
        <x:v>Observation</x:v>
      </x:c>
      <x:c r="C388" s="16" t="str">
        <x:v>OBS-0313</x:v>
      </x:c>
      <x:c r="D388" s="16" t="str">
        <x:v>Front yard verandah in good condition.</x:v>
      </x:c>
      <x:c r="E388" s="19" t="n">
        <x:v>1</x:v>
      </x:c>
      <x:c r="F388" s="16" t="str">
        <x:v>SRC-002</x:v>
      </x:c>
    </x:row>
    <x:row r="389" ht="37" customHeight="1">
      <x:c r="A389" s="16" t="str">
        <x:v>MRG-0192</x:v>
      </x:c>
      <x:c r="B389" s="16" t="str">
        <x:v>Observation</x:v>
      </x:c>
      <x:c r="C389" s="16" t="str">
        <x:v>OBS-0009</x:v>
      </x:c>
      <x:c r="D389" s="16" t="str">
        <x:v>Overview of carport verandah.</x:v>
      </x:c>
      <x:c r="E389" s="19" t="n">
        <x:v>5</x:v>
      </x:c>
      <x:c r="F389" s="16" t="str">
        <x:v>SRC-010, SRC-023, SRC-025, SRC-027</x:v>
      </x:c>
    </x:row>
    <x:row r="390" ht="37" customHeight="1">
      <x:c r="A390" s="16" t="str">
        <x:v>MRG-0192</x:v>
      </x:c>
      <x:c r="B390" s="16" t="str">
        <x:v>Observation</x:v>
      </x:c>
      <x:c r="C390" s="16" t="str">
        <x:v>OBS-0071</x:v>
      </x:c>
      <x:c r="D390" s="16" t="str">
        <x:v>Overview of backyard verandah.</x:v>
      </x:c>
      <x:c r="E390" s="19" t="n">
        <x:v>2</x:v>
      </x:c>
      <x:c r="F390" s="16" t="str">
        <x:v>SRC-057</x:v>
      </x:c>
    </x:row>
    <x:row r="391" ht="37" customHeight="1">
      <x:c r="A391" s="16" t="str">
        <x:v>MRG-0193</x:v>
      </x:c>
      <x:c r="B391" s="16" t="str">
        <x:v>Observation</x:v>
      </x:c>
      <x:c r="C391" s="16" t="str">
        <x:v>OBS-0491</x:v>
      </x:c>
      <x:c r="D391" s="16" t="str">
        <x:v>Right hand side of house facing the entrance. Minor corrosion of purlins and rafters.</x:v>
      </x:c>
      <x:c r="E391" s="19" t="n">
        <x:v>1</x:v>
      </x:c>
      <x:c r="F391" s="16" t="str">
        <x:v>SRC-025</x:v>
      </x:c>
    </x:row>
    <x:row r="392" ht="37" customHeight="1">
      <x:c r="A392" s="16" t="str">
        <x:v>MRG-0193</x:v>
      </x:c>
      <x:c r="B392" s="16" t="str">
        <x:v>Observation</x:v>
      </x:c>
      <x:c r="C392" s="16" t="str">
        <x:v>OBS-0494</x:v>
      </x:c>
      <x:c r="D392" s="16" t="str">
        <x:v>Right hand side of house facing the entrance. Minor corrosion of verandah column and beam.</x:v>
      </x:c>
      <x:c r="E392" s="19" t="n">
        <x:v>1</x:v>
      </x:c>
      <x:c r="F392" s="16" t="str">
        <x:v>SRC-010</x:v>
      </x:c>
    </x:row>
    <x:row r="393" ht="37" customHeight="1">
      <x:c r="A393" s="16" t="str">
        <x:v>MRG-0194</x:v>
      </x:c>
      <x:c r="B393" s="16" t="str">
        <x:v>Observation</x:v>
      </x:c>
      <x:c r="C393" s="16" t="str">
        <x:v>OBS-0210</x:v>
      </x:c>
      <x:c r="D393" s="16" t="str">
        <x:v>Column C6.1 has been rusted with holes through at the base and is close to failure</x:v>
      </x:c>
      <x:c r="E393" s="19" t="n">
        <x:v>1</x:v>
      </x:c>
      <x:c r="F393" s="16" t="str">
        <x:v>SRC-029</x:v>
      </x:c>
    </x:row>
    <x:row r="394" ht="37" customHeight="1">
      <x:c r="A394" s="16" t="str">
        <x:v>MRG-0194</x:v>
      </x:c>
      <x:c r="B394" s="16" t="str">
        <x:v>Observation</x:v>
      </x:c>
      <x:c r="C394" s="16" t="str">
        <x:v>OBS-0215</x:v>
      </x:c>
      <x:c r="D394" s="16" t="str">
        <x:v>Columns C2.1, C2.2 and C2.3 had been rusted through at the base and is close to failure.</x:v>
      </x:c>
      <x:c r="E394" s="19" t="n">
        <x:v>1</x:v>
      </x:c>
      <x:c r="F394" s="16" t="str">
        <x:v>SRC-029</x:v>
      </x:c>
    </x:row>
    <x:row r="395" ht="37" customHeight="1">
      <x:c r="A395" s="16" t="str">
        <x:v>MRG-0195</x:v>
      </x:c>
      <x:c r="B395" s="16" t="str">
        <x:v>Observation</x:v>
      </x:c>
      <x:c r="C395" s="16" t="str">
        <x:v>OBS-0078</x:v>
      </x:c>
      <x:c r="D395" s="16" t="str">
        <x:v>Porch verandah in good condition</x:v>
      </x:c>
      <x:c r="E395" s="19" t="n">
        <x:v>2</x:v>
      </x:c>
      <x:c r="F395" s="16" t="str">
        <x:v>SRC-001, SRC-062</x:v>
      </x:c>
    </x:row>
    <x:row r="396" ht="37" customHeight="1">
      <x:c r="A396" s="16" t="str">
        <x:v>MRG-0195</x:v>
      </x:c>
      <x:c r="B396" s="16" t="str">
        <x:v>Observation</x:v>
      </x:c>
      <x:c r="C396" s="16" t="str">
        <x:v>OBS-0313</x:v>
      </x:c>
      <x:c r="D396" s="16" t="str">
        <x:v>Front yard verandah in good condition.</x:v>
      </x:c>
      <x:c r="E396" s="19" t="n">
        <x:v>1</x:v>
      </x:c>
      <x:c r="F396" s="16" t="str">
        <x:v>SRC-002</x:v>
      </x:c>
    </x:row>
    <x:row r="397" ht="37" customHeight="1">
      <x:c r="A397" s="16" t="str">
        <x:v>MRG-0196</x:v>
      </x:c>
      <x:c r="B397" s="16" t="str">
        <x:v>Recommendation</x:v>
      </x:c>
      <x:c r="C397" s="16" t="str">
        <x:v>REC-0017</x:v>
      </x:c>
      <x:c r="D397" s="16" t="str">
        <x:v>Replace the column to match existing.</x:v>
      </x:c>
      <x:c r="E397" s="19" t="n">
        <x:v>4</x:v>
      </x:c>
      <x:c r="F397" s="16" t="str">
        <x:v>SRC-029</x:v>
      </x:c>
    </x:row>
    <x:row r="398" ht="37" customHeight="1">
      <x:c r="A398" s="16" t="str">
        <x:v>MRG-0196</x:v>
      </x:c>
      <x:c r="B398" s="16" t="str">
        <x:v>Recommendation</x:v>
      </x:c>
      <x:c r="C398" s="16" t="str">
        <x:v>REC-0043</x:v>
      </x:c>
      <x:c r="D398" s="16" t="str">
        <x:v>Replace the columns to match existing.</x:v>
      </x:c>
      <x:c r="E398" s="19" t="n">
        <x:v>2</x:v>
      </x:c>
      <x:c r="F398" s="16" t="str">
        <x:v>SRC-029</x:v>
      </x:c>
    </x:row>
    <x:row r="399" ht="41" customHeight="1">
      <x:c r="A399" s="16" t="str">
        <x:v>MRG-0197</x:v>
      </x:c>
      <x:c r="B399" s="16" t="str">
        <x:v>Recommendation</x:v>
      </x:c>
      <x:c r="C399" s="16" t="str">
        <x:v>REC-0026</x:v>
      </x:c>
      <x:c r="D399" s="16" t="str">
        <x:v>Clean, wire brush and repaint. Expose the posts base and investigate the condition. Undertake appropriate repair stated within Section 3.</x:v>
      </x:c>
      <x:c r="E399" s="19" t="n">
        <x:v>2</x:v>
      </x:c>
      <x:c r="F399" s="16" t="str">
        <x:v>SRC-010, SRC-059</x:v>
      </x:c>
    </x:row>
    <x:row r="400" ht="41" customHeight="1">
      <x:c r="A400" s="16" t="str">
        <x:v>MRG-0197</x:v>
      </x:c>
      <x:c r="B400" s="16" t="str">
        <x:v>Recommendation</x:v>
      </x:c>
      <x:c r="C400" s="16" t="str">
        <x:v>REC-0081</x:v>
      </x:c>
      <x:c r="D400" s="16" t="str">
        <x:v>Clean, wire brush and repaint. Expose the base and investigate the condition. Undertake appropriate repair stated within Section 3.</x:v>
      </x:c>
      <x:c r="E400" s="19" t="n">
        <x:v>1</x:v>
      </x:c>
      <x:c r="F400" s="16" t="str">
        <x:v>SRC-026</x:v>
      </x:c>
    </x:row>
    <x:row r="401" ht="41" customHeight="1">
      <x:c r="A401" s="16" t="str">
        <x:v>MRG-0198</x:v>
      </x:c>
      <x:c r="B401" s="16" t="str">
        <x:v>Recommendation</x:v>
      </x:c>
      <x:c r="C401" s="16" t="str">
        <x:v>REC-0055</x:v>
      </x:c>
      <x:c r="D401" s="16" t="str">
        <x:v>Clean and repaint. Expose posts’ base and investigate the condition. Undertake appropriate repair stated within Section 3.</x:v>
      </x:c>
      <x:c r="E401" s="19" t="n">
        <x:v>1</x:v>
      </x:c>
      <x:c r="F401" s="16" t="str">
        <x:v>SRC-055</x:v>
      </x:c>
    </x:row>
    <x:row r="402" ht="41" customHeight="1">
      <x:c r="A402" s="16" t="str">
        <x:v>MRG-0198</x:v>
      </x:c>
      <x:c r="B402" s="16" t="str">
        <x:v>Recommendation</x:v>
      </x:c>
      <x:c r="C402" s="16" t="str">
        <x:v>REC-0057</x:v>
      </x:c>
      <x:c r="D402" s="16" t="str">
        <x:v>Clean and repaint. Expose the posts’ base and investigate the condition. Undertake appropriate repair stated within Section 3.1.</x:v>
      </x:c>
      <x:c r="E402" s="19" t="n">
        <x:v>1</x:v>
      </x:c>
      <x:c r="F402" s="16" t="str">
        <x:v>SRC-051</x:v>
      </x:c>
    </x:row>
    <x:row r="403" ht="41" customHeight="1">
      <x:c r="A403" s="16" t="str">
        <x:v>MRG-0199</x:v>
      </x:c>
      <x:c r="B403" s="16" t="str">
        <x:v>Recommendation</x:v>
      </x:c>
      <x:c r="C403" s="16" t="str">
        <x:v>REC-0055</x:v>
      </x:c>
      <x:c r="D403" s="16" t="str">
        <x:v>Clean and repaint. Expose posts’ base and investigate the condition. Undertake appropriate repair stated within Section 3.</x:v>
      </x:c>
      <x:c r="E403" s="19" t="n">
        <x:v>1</x:v>
      </x:c>
      <x:c r="F403" s="16" t="str">
        <x:v>SRC-055</x:v>
      </x:c>
    </x:row>
    <x:row r="404" ht="41" customHeight="1">
      <x:c r="A404" s="16" t="str">
        <x:v>MRG-0199</x:v>
      </x:c>
      <x:c r="B404" s="16" t="str">
        <x:v>Recommendation</x:v>
      </x:c>
      <x:c r="C404" s="16" t="str">
        <x:v>REC-0056</x:v>
      </x:c>
      <x:c r="D404" s="16" t="str">
        <x:v>Clean and repaint. Expose the base and investigate the condition. Undertake appropriate repair stated within Section 3.</x:v>
      </x:c>
      <x:c r="E404" s="19" t="n">
        <x:v>1</x:v>
      </x:c>
      <x:c r="F404" s="16" t="str">
        <x:v>SRC-049</x:v>
      </x:c>
    </x:row>
    <x:row r="405" ht="41" customHeight="1">
      <x:c r="A405" s="16" t="str">
        <x:v>MRG-0200</x:v>
      </x:c>
      <x:c r="B405" s="16" t="str">
        <x:v>Recommendation</x:v>
      </x:c>
      <x:c r="C405" s="16" t="str">
        <x:v>REC-0026</x:v>
      </x:c>
      <x:c r="D405" s="16" t="str">
        <x:v>Clean, wire brush and repaint. Expose the posts base and investigate the condition. Undertake appropriate repair stated within Section 3.</x:v>
      </x:c>
      <x:c r="E405" s="19" t="n">
        <x:v>2</x:v>
      </x:c>
      <x:c r="F405" s="16" t="str">
        <x:v>SRC-010, SRC-059</x:v>
      </x:c>
    </x:row>
    <x:row r="406" ht="41" customHeight="1">
      <x:c r="A406" s="16" t="str">
        <x:v>MRG-0200</x:v>
      </x:c>
      <x:c r="B406" s="16" t="str">
        <x:v>Recommendation</x:v>
      </x:c>
      <x:c r="C406" s="16" t="str">
        <x:v>REC-0080</x:v>
      </x:c>
      <x:c r="D406" s="16" t="str">
        <x:v>Clean, wire brush and repaint. Expose fencing posts’ base and investigate the condition. Undertake appropriate repair stated within Section 3.</x:v>
      </x:c>
      <x:c r="E406" s="19" t="n">
        <x:v>1</x:v>
      </x:c>
      <x:c r="F406" s="16" t="str">
        <x:v>SRC-023</x:v>
      </x:c>
    </x:row>
    <x:row r="407" ht="41" customHeight="1">
      <x:c r="A407" s="16" t="str">
        <x:v>MRG-0201</x:v>
      </x:c>
      <x:c r="B407" s="16" t="str">
        <x:v>Recommendation</x:v>
      </x:c>
      <x:c r="C407" s="16" t="str">
        <x:v>REC-0056</x:v>
      </x:c>
      <x:c r="D407" s="16" t="str">
        <x:v>Clean and repaint. Expose the base and investigate the condition. Undertake appropriate repair stated within Section 3.</x:v>
      </x:c>
      <x:c r="E407" s="19" t="n">
        <x:v>1</x:v>
      </x:c>
      <x:c r="F407" s="16" t="str">
        <x:v>SRC-049</x:v>
      </x:c>
    </x:row>
    <x:row r="408" ht="41" customHeight="1">
      <x:c r="A408" s="16" t="str">
        <x:v>MRG-0201</x:v>
      </x:c>
      <x:c r="B408" s="16" t="str">
        <x:v>Recommendation</x:v>
      </x:c>
      <x:c r="C408" s="16" t="str">
        <x:v>REC-0057</x:v>
      </x:c>
      <x:c r="D408" s="16" t="str">
        <x:v>Clean and repaint. Expose the posts’ base and investigate the condition. Undertake appropriate repair stated within Section 3.1.</x:v>
      </x:c>
      <x:c r="E408" s="19" t="n">
        <x:v>1</x:v>
      </x:c>
      <x:c r="F408" s="16" t="str">
        <x:v>SRC-051</x:v>
      </x:c>
    </x:row>
    <x:row r="409" ht="41" customHeight="1">
      <x:c r="A409" s="16" t="str">
        <x:v>MRG-0202</x:v>
      </x:c>
      <x:c r="B409" s="16" t="str">
        <x:v>Recommendation</x:v>
      </x:c>
      <x:c r="C409" s="16" t="str">
        <x:v>REC-0011</x:v>
      </x:c>
      <x:c r="D409" s="16" t="str">
        <x:v>Clean, wire brush and repaint. Excavate all fencing posts to the base and investigate the condition. Undertake appropriate repair stated within Section 3.</x:v>
      </x:c>
      <x:c r="E409" s="19" t="n">
        <x:v>5</x:v>
      </x:c>
      <x:c r="F409" s="16" t="str">
        <x:v>SRC-001, SRC-024, SRC-025, SRC-028, SRC-060</x:v>
      </x:c>
    </x:row>
    <x:row r="410" ht="41" customHeight="1">
      <x:c r="A410" s="16" t="str">
        <x:v>MRG-0202</x:v>
      </x:c>
      <x:c r="B410" s="16" t="str">
        <x:v>Recommendation</x:v>
      </x:c>
      <x:c r="C410" s="16" t="str">
        <x:v>REC-0054</x:v>
      </x:c>
      <x:c r="D410" s="16" t="str">
        <x:v>Clean and repaint. Excavate all fencing posts to the base and investigate the condition. Undertake appropriate repair stated within Section 3.</x:v>
      </x:c>
      <x:c r="E410" s="19" t="n">
        <x:v>1</x:v>
      </x:c>
      <x:c r="F410" s="16" t="str">
        <x:v>SRC-027</x:v>
      </x:c>
    </x:row>
    <x:row r="411" ht="37" customHeight="1">
      <x:c r="A411" s="16" t="str">
        <x:v>MRG-0203</x:v>
      </x:c>
      <x:c r="B411" s="16" t="str">
        <x:v>Recommendation</x:v>
      </x:c>
      <x:c r="C411" s="16" t="str">
        <x:v>REC-0050</x:v>
      </x:c>
      <x:c r="D411" s="16" t="str">
        <x:v>Cap purlin holes to prevent water ingress. Clean all salt staining.</x:v>
      </x:c>
      <x:c r="E411" s="19" t="n">
        <x:v>1</x:v>
      </x:c>
      <x:c r="F411" s="16" t="str">
        <x:v>SRC-001</x:v>
      </x:c>
    </x:row>
    <x:row r="412" ht="37" customHeight="1">
      <x:c r="A412" s="16" t="str">
        <x:v>MRG-0203</x:v>
      </x:c>
      <x:c r="B412" s="16" t="str">
        <x:v>Recommendation</x:v>
      </x:c>
      <x:c r="C412" s="16" t="str">
        <x:v>REC-0086</x:v>
      </x:c>
      <x:c r="D412" s="16" t="str">
        <x:v>Cover purlin holes to prevent water ingress. Clean all salt staining.</x:v>
      </x:c>
      <x:c r="E412" s="19" t="n">
        <x:v>1</x:v>
      </x:c>
      <x:c r="F412" s="16" t="str">
        <x:v>SRC-001</x:v>
      </x:c>
    </x:row>
    <x:row r="413" ht="41" customHeight="1">
      <x:c r="A413" s="16" t="str">
        <x:v>MRG-0204</x:v>
      </x:c>
      <x:c r="B413" s="16" t="str">
        <x:v>Recommendation</x:v>
      </x:c>
      <x:c r="C413" s="16" t="str">
        <x:v>REC-0056</x:v>
      </x:c>
      <x:c r="D413" s="16" t="str">
        <x:v>Clean and repaint. Expose the base and investigate the condition. Undertake appropriate repair stated within Section 3.</x:v>
      </x:c>
      <x:c r="E413" s="19" t="n">
        <x:v>1</x:v>
      </x:c>
      <x:c r="F413" s="16" t="str">
        <x:v>SRC-049</x:v>
      </x:c>
    </x:row>
    <x:row r="414" ht="41" customHeight="1">
      <x:c r="A414" s="16" t="str">
        <x:v>MRG-0204</x:v>
      </x:c>
      <x:c r="B414" s="16" t="str">
        <x:v>Recommendation</x:v>
      </x:c>
      <x:c r="C414" s="16" t="str">
        <x:v>REC-0081</x:v>
      </x:c>
      <x:c r="D414" s="16" t="str">
        <x:v>Clean, wire brush and repaint. Expose the base and investigate the condition. Undertake appropriate repair stated within Section 3.</x:v>
      </x:c>
      <x:c r="E414" s="19" t="n">
        <x:v>1</x:v>
      </x:c>
      <x:c r="F414" s="16" t="str">
        <x:v>SRC-026</x:v>
      </x:c>
    </x:row>
    <x:row r="415" ht="41" customHeight="1">
      <x:c r="A415" s="16" t="str">
        <x:v>MRG-0205</x:v>
      </x:c>
      <x:c r="B415" s="16" t="str">
        <x:v>Recommendation</x:v>
      </x:c>
      <x:c r="C415" s="16" t="str">
        <x:v>REC-0026</x:v>
      </x:c>
      <x:c r="D415" s="16" t="str">
        <x:v>Clean, wire brush and repaint. Expose the posts base and investigate the condition. Undertake appropriate repair stated within Section 3.</x:v>
      </x:c>
      <x:c r="E415" s="19" t="n">
        <x:v>2</x:v>
      </x:c>
      <x:c r="F415" s="16" t="str">
        <x:v>SRC-010, SRC-059</x:v>
      </x:c>
    </x:row>
    <x:row r="416" ht="41" customHeight="1">
      <x:c r="A416" s="16" t="str">
        <x:v>MRG-0205</x:v>
      </x:c>
      <x:c r="B416" s="16" t="str">
        <x:v>Recommendation</x:v>
      </x:c>
      <x:c r="C416" s="16" t="str">
        <x:v>REC-0057</x:v>
      </x:c>
      <x:c r="D416" s="16" t="str">
        <x:v>Clean and repaint. Expose the posts’ base and investigate the condition. Undertake appropriate repair stated within Section 3.1.</x:v>
      </x:c>
      <x:c r="E416" s="19" t="n">
        <x:v>1</x:v>
      </x:c>
      <x:c r="F416" s="16" t="str">
        <x:v>SRC-051</x:v>
      </x:c>
    </x:row>
    <x:row r="417" ht="41" customHeight="1">
      <x:c r="A417" s="16" t="str">
        <x:v>MRG-0206</x:v>
      </x:c>
      <x:c r="B417" s="16" t="str">
        <x:v>Recommendation</x:v>
      </x:c>
      <x:c r="C417" s="16" t="str">
        <x:v>REC-0011</x:v>
      </x:c>
      <x:c r="D417" s="16" t="str">
        <x:v>Clean, wire brush and repaint. Excavate all fencing posts to the base and investigate the condition. Undertake appropriate repair stated within Section 3.</x:v>
      </x:c>
      <x:c r="E417" s="19" t="n">
        <x:v>5</x:v>
      </x:c>
      <x:c r="F417" s="16" t="str">
        <x:v>SRC-001, SRC-024, SRC-025, SRC-028, SRC-060</x:v>
      </x:c>
    </x:row>
    <x:row r="418" ht="41" customHeight="1">
      <x:c r="A418" s="16" t="str">
        <x:v>MRG-0206</x:v>
      </x:c>
      <x:c r="B418" s="16" t="str">
        <x:v>Recommendation</x:v>
      </x:c>
      <x:c r="C418" s="16" t="str">
        <x:v>REC-0065</x:v>
      </x:c>
      <x:c r="D418" s="16" t="str">
        <x:v>Clean, remove corrosion and repaint. Excavate all fencing posts to the base and investigate the condition. Undertake appropriate repair stated within Section 3.</x:v>
      </x:c>
      <x:c r="E418" s="19" t="n">
        <x:v>1</x:v>
      </x:c>
      <x:c r="F418" s="16" t="str">
        <x:v>SRC-011</x:v>
      </x:c>
    </x:row>
    <x:row r="419" ht="41" customHeight="1">
      <x:c r="A419" s="16" t="str">
        <x:v>MRG-0207</x:v>
      </x:c>
      <x:c r="B419" s="16" t="str">
        <x:v>Recommendation</x:v>
      </x:c>
      <x:c r="C419" s="16" t="str">
        <x:v>REC-0080</x:v>
      </x:c>
      <x:c r="D419" s="16" t="str">
        <x:v>Clean, wire brush and repaint. Expose fencing posts’ base and investigate the condition. Undertake appropriate repair stated within Section 3.</x:v>
      </x:c>
      <x:c r="E419" s="19" t="n">
        <x:v>1</x:v>
      </x:c>
      <x:c r="F419" s="16" t="str">
        <x:v>SRC-023</x:v>
      </x:c>
    </x:row>
    <x:row r="420" ht="41" customHeight="1">
      <x:c r="A420" s="16" t="str">
        <x:v>MRG-0207</x:v>
      </x:c>
      <x:c r="B420" s="16" t="str">
        <x:v>Recommendation</x:v>
      </x:c>
      <x:c r="C420" s="16" t="str">
        <x:v>REC-0081</x:v>
      </x:c>
      <x:c r="D420" s="16" t="str">
        <x:v>Clean, wire brush and repaint. Expose the base and investigate the condition. Undertake appropriate repair stated within Section 3.</x:v>
      </x:c>
      <x:c r="E420" s="19" t="n">
        <x:v>1</x:v>
      </x:c>
      <x:c r="F420" s="16" t="str">
        <x:v>SRC-026</x:v>
      </x:c>
    </x:row>
    <x:row r="421" ht="41" customHeight="1">
      <x:c r="A421" s="16" t="str">
        <x:v>MRG-0208</x:v>
      </x:c>
      <x:c r="B421" s="16" t="str">
        <x:v>Recommendation</x:v>
      </x:c>
      <x:c r="C421" s="16" t="str">
        <x:v>REC-0002</x:v>
      </x:c>
      <x:c r="D421" s="16" t="str">
        <x:v>Clean, remove corrosion and repaint.</x:v>
      </x:c>
      <x:c r="E421" s="19" t="n">
        <x:v>77</x:v>
      </x:c>
      <x:c r="F421" s="16" t="str">
        <x:v>SRC-006, SRC-009, SRC-012, SRC-015, SRC-055, SRC-063, SRC-071, SRC-092, SRC-094, SRC-100</x:v>
      </x:c>
    </x:row>
    <x:row r="422" ht="37" customHeight="1">
      <x:c r="A422" s="16" t="str">
        <x:v>MRG-0208</x:v>
      </x:c>
      <x:c r="B422" s="16" t="str">
        <x:v>Recommendation</x:v>
      </x:c>
      <x:c r="C422" s="16" t="str">
        <x:v>REC-0025</x:v>
      </x:c>
      <x:c r="D422" s="16" t="str">
        <x:v>Clean, remove the corrosion and repaint.</x:v>
      </x:c>
      <x:c r="E422" s="19" t="n">
        <x:v>2</x:v>
      </x:c>
      <x:c r="F422" s="16" t="str">
        <x:v>SRC-080</x:v>
      </x:c>
    </x:row>
    <x:row r="423" ht="37" customHeight="1">
      <x:c r="A423" s="16" t="str">
        <x:v>MRG-0209</x:v>
      </x:c>
      <x:c r="B423" s="16" t="str">
        <x:v>Recommendation</x:v>
      </x:c>
      <x:c r="C423" s="16" t="str">
        <x:v>REC-0043</x:v>
      </x:c>
      <x:c r="D423" s="16" t="str">
        <x:v>Replace the columns to match existing.</x:v>
      </x:c>
      <x:c r="E423" s="19" t="n">
        <x:v>2</x:v>
      </x:c>
      <x:c r="F423" s="16" t="str">
        <x:v>SRC-029</x:v>
      </x:c>
    </x:row>
    <x:row r="424" ht="37" customHeight="1">
      <x:c r="A424" s="16" t="str">
        <x:v>MRG-0209</x:v>
      </x:c>
      <x:c r="B424" s="16" t="str">
        <x:v>Recommendation</x:v>
      </x:c>
      <x:c r="C424" s="16" t="str">
        <x:v>REC-0145</x:v>
      </x:c>
      <x:c r="D424" s="16" t="str">
        <x:v>Replace columns to match existing.</x:v>
      </x:c>
      <x:c r="E424" s="19" t="n">
        <x:v>1</x:v>
      </x:c>
      <x:c r="F424" s="16" t="str">
        <x:v>SRC-029</x:v>
      </x:c>
    </x:row>
    <x:row r="425" ht="37" customHeight="1">
      <x:c r="A425" s="16" t="str">
        <x:v>MRG-0210</x:v>
      </x:c>
      <x:c r="B425" s="16" t="str">
        <x:v>Recommendation</x:v>
      </x:c>
      <x:c r="C425" s="16" t="str">
        <x:v>REC-0012</x:v>
      </x:c>
      <x:c r="D425" s="16" t="str">
        <x:v>Replace the rafter and cracked bricks.</x:v>
      </x:c>
      <x:c r="E425" s="19" t="n">
        <x:v>5</x:v>
      </x:c>
      <x:c r="F425" s="16" t="str">
        <x:v>SRC-006</x:v>
      </x:c>
    </x:row>
    <x:row r="426" ht="37" customHeight="1">
      <x:c r="A426" s="16" t="str">
        <x:v>MRG-0210</x:v>
      </x:c>
      <x:c r="B426" s="16" t="str">
        <x:v>Recommendation</x:v>
      </x:c>
      <x:c r="C426" s="16" t="str">
        <x:v>REC-0150</x:v>
      </x:c>
      <x:c r="D426" s="16" t="str">
        <x:v>Replace rafter and cracked bricks.</x:v>
      </x:c>
      <x:c r="E426" s="19" t="n">
        <x:v>1</x:v>
      </x:c>
      <x:c r="F426" s="16" t="str">
        <x:v>SRC-006</x:v>
      </x:c>
    </x:row>
    <x:row r="427" ht="41" customHeight="1">
      <x:c r="A427" s="16" t="str">
        <x:v>MRG-0211</x:v>
      </x:c>
      <x:c r="B427" s="16" t="str">
        <x:v>Recommendation</x:v>
      </x:c>
      <x:c r="C427" s="16" t="str">
        <x:v>REC-0054</x:v>
      </x:c>
      <x:c r="D427" s="16" t="str">
        <x:v>Clean and repaint. Excavate all fencing posts to the base and investigate the condition. Undertake appropriate repair stated within Section 3.</x:v>
      </x:c>
      <x:c r="E427" s="19" t="n">
        <x:v>1</x:v>
      </x:c>
      <x:c r="F427" s="16" t="str">
        <x:v>SRC-027</x:v>
      </x:c>
    </x:row>
    <x:row r="428" ht="41" customHeight="1">
      <x:c r="A428" s="16" t="str">
        <x:v>MRG-0211</x:v>
      </x:c>
      <x:c r="B428" s="16" t="str">
        <x:v>Recommendation</x:v>
      </x:c>
      <x:c r="C428" s="16" t="str">
        <x:v>REC-0065</x:v>
      </x:c>
      <x:c r="D428" s="16" t="str">
        <x:v>Clean, remove corrosion and repaint. Excavate all fencing posts to the base and investigate the condition. Undertake appropriate repair stated within Section 3.</x:v>
      </x:c>
      <x:c r="E428" s="19" t="n">
        <x:v>1</x:v>
      </x:c>
      <x:c r="F428" s="16" t="str">
        <x:v>SRC-011</x:v>
      </x:c>
    </x:row>
    <x:row r="429" ht="41" customHeight="1">
      <x:c r="A429" s="16" t="str">
        <x:v>MRG-0212</x:v>
      </x:c>
      <x:c r="B429" s="16" t="str">
        <x:v>Recommendation</x:v>
      </x:c>
      <x:c r="C429" s="16" t="str">
        <x:v>REC-0090</x:v>
      </x:c>
      <x:c r="D429" s="16" t="str">
        <x:v>Excavate all columns to the base and investigate the condition. Undertake appropriate repair stated within Section 3.</x:v>
      </x:c>
      <x:c r="E429" s="19" t="n">
        <x:v>1</x:v>
      </x:c>
      <x:c r="F429" s="16" t="str">
        <x:v>SRC-012</x:v>
      </x:c>
    </x:row>
    <x:row r="430" ht="41" customHeight="1">
      <x:c r="A430" s="16" t="str">
        <x:v>MRG-0212</x:v>
      </x:c>
      <x:c r="B430" s="16" t="str">
        <x:v>Recommendation</x:v>
      </x:c>
      <x:c r="C430" s="16" t="str">
        <x:v>REC-0091</x:v>
      </x:c>
      <x:c r="D430" s="16" t="str">
        <x:v>Excavate all fencing posts to the base and investigate the condition. Undertake appropriate repair stated within Section 3.</x:v>
      </x:c>
      <x:c r="E430" s="19" t="n">
        <x:v>1</x:v>
      </x:c>
      <x:c r="F430" s="16" t="str">
        <x:v>SRC-057</x:v>
      </x:c>
    </x:row>
    <x:row r="431" ht="41" customHeight="1">
      <x:c r="A431" s="16" t="str">
        <x:v>MRG-0213</x:v>
      </x:c>
      <x:c r="B431" s="16" t="str">
        <x:v>Recommendation</x:v>
      </x:c>
      <x:c r="C431" s="16" t="str">
        <x:v>REC-0026</x:v>
      </x:c>
      <x:c r="D431" s="16" t="str">
        <x:v>Clean, wire brush and repaint. Expose the posts base and investigate the condition. Undertake appropriate repair stated within Section 3.</x:v>
      </x:c>
      <x:c r="E431" s="19" t="n">
        <x:v>2</x:v>
      </x:c>
      <x:c r="F431" s="16" t="str">
        <x:v>SRC-010, SRC-059</x:v>
      </x:c>
    </x:row>
    <x:row r="432" ht="41" customHeight="1">
      <x:c r="A432" s="16" t="str">
        <x:v>MRG-0213</x:v>
      </x:c>
      <x:c r="B432" s="16" t="str">
        <x:v>Recommendation</x:v>
      </x:c>
      <x:c r="C432" s="16" t="str">
        <x:v>REC-0055</x:v>
      </x:c>
      <x:c r="D432" s="16" t="str">
        <x:v>Clean and repaint. Expose posts’ base and investigate the condition. Undertake appropriate repair stated within Section 3.</x:v>
      </x:c>
      <x:c r="E432" s="19" t="n">
        <x:v>1</x:v>
      </x:c>
      <x:c r="F432" s="16" t="str">
        <x:v>SRC-055</x:v>
      </x:c>
    </x:row>
    <x:row r="433" ht="41" customHeight="1">
      <x:c r="A433" s="16" t="str">
        <x:v>MRG-0214</x:v>
      </x:c>
      <x:c r="B433" s="16" t="str">
        <x:v>Recommendation</x:v>
      </x:c>
      <x:c r="C433" s="16" t="str">
        <x:v>REC-0079</x:v>
      </x:c>
      <x:c r="D433" s="16" t="str">
        <x:v>Clean, wire brush and repaint. Excavate and expose fencing posts and investigate the condition. Undertake appropriate repair stated within Section 3.</x:v>
      </x:c>
      <x:c r="E433" s="19" t="n">
        <x:v>1</x:v>
      </x:c>
      <x:c r="F433" s="16" t="str">
        <x:v>SRC-056</x:v>
      </x:c>
    </x:row>
    <x:row r="434" ht="41" customHeight="1">
      <x:c r="A434" s="16" t="str">
        <x:v>MRG-0214</x:v>
      </x:c>
      <x:c r="B434" s="16" t="str">
        <x:v>Recommendation</x:v>
      </x:c>
      <x:c r="C434" s="16" t="str">
        <x:v>REC-0080</x:v>
      </x:c>
      <x:c r="D434" s="16" t="str">
        <x:v>Clean, wire brush and repaint. Expose fencing posts’ base and investigate the condition. Undertake appropriate repair stated within Section 3.</x:v>
      </x:c>
      <x:c r="E434" s="19" t="n">
        <x:v>1</x:v>
      </x:c>
      <x:c r="F434" s="16" t="str">
        <x:v>SRC-023</x:v>
      </x:c>
    </x:row>
    <x:row r="435" ht="41" customHeight="1">
      <x:c r="A435" s="16" t="str">
        <x:v>MRG-0215</x:v>
      </x:c>
      <x:c r="B435" s="16" t="str">
        <x:v>Recommendation</x:v>
      </x:c>
      <x:c r="C435" s="16" t="str">
        <x:v>REC-0011</x:v>
      </x:c>
      <x:c r="D435" s="16" t="str">
        <x:v>Clean, wire brush and repaint. Excavate all fencing posts to the base and investigate the condition. Undertake appropriate repair stated within Section 3.</x:v>
      </x:c>
      <x:c r="E435" s="19" t="n">
        <x:v>5</x:v>
      </x:c>
      <x:c r="F435" s="16" t="str">
        <x:v>SRC-001, SRC-024, SRC-025, SRC-028, SRC-060</x:v>
      </x:c>
    </x:row>
    <x:row r="436" ht="41" customHeight="1">
      <x:c r="A436" s="16" t="str">
        <x:v>MRG-0215</x:v>
      </x:c>
      <x:c r="B436" s="16" t="str">
        <x:v>Recommendation</x:v>
      </x:c>
      <x:c r="C436" s="16" t="str">
        <x:v>REC-0080</x:v>
      </x:c>
      <x:c r="D436" s="16" t="str">
        <x:v>Clean, wire brush and repaint. Expose fencing posts’ base and investigate the condition. Undertake appropriate repair stated within Section 3.</x:v>
      </x:c>
      <x:c r="E436" s="19" t="n">
        <x:v>1</x:v>
      </x:c>
      <x:c r="F436" s="16" t="str">
        <x:v>SRC-023</x:v>
      </x:c>
    </x:row>
    <x:row r="437" ht="41" customHeight="1">
      <x:c r="A437" s="16" t="str">
        <x:v>MRG-0216</x:v>
      </x:c>
      <x:c r="B437" s="16" t="str">
        <x:v>Recommendation</x:v>
      </x:c>
      <x:c r="C437" s="16" t="str">
        <x:v>REC-0026</x:v>
      </x:c>
      <x:c r="D437" s="16" t="str">
        <x:v>Clean, wire brush and repaint. Expose the posts base and investigate the condition. Undertake appropriate repair stated within Section 3.</x:v>
      </x:c>
      <x:c r="E437" s="19" t="n">
        <x:v>2</x:v>
      </x:c>
      <x:c r="F437" s="16" t="str">
        <x:v>SRC-010, SRC-059</x:v>
      </x:c>
    </x:row>
    <x:row r="438" ht="41" customHeight="1">
      <x:c r="A438" s="16" t="str">
        <x:v>MRG-0216</x:v>
      </x:c>
      <x:c r="B438" s="16" t="str">
        <x:v>Recommendation</x:v>
      </x:c>
      <x:c r="C438" s="16" t="str">
        <x:v>REC-0056</x:v>
      </x:c>
      <x:c r="D438" s="16" t="str">
        <x:v>Clean and repaint. Expose the base and investigate the condition. Undertake appropriate repair stated within Section 3.</x:v>
      </x:c>
      <x:c r="E438" s="19" t="n">
        <x:v>1</x:v>
      </x:c>
      <x:c r="F438" s="16" t="str">
        <x:v>SRC-049</x:v>
      </x:c>
    </x:row>
    <x:row r="439" ht="41" customHeight="1">
      <x:c r="A439" s="16" t="str">
        <x:v>MRG-0217</x:v>
      </x:c>
      <x:c r="B439" s="16" t="str">
        <x:v>Recommendation</x:v>
      </x:c>
      <x:c r="C439" s="16" t="str">
        <x:v>REC-0054</x:v>
      </x:c>
      <x:c r="D439" s="16" t="str">
        <x:v>Clean and repaint. Excavate all fencing posts to the base and investigate the condition. Undertake appropriate repair stated within Section 3.</x:v>
      </x:c>
      <x:c r="E439" s="19" t="n">
        <x:v>1</x:v>
      </x:c>
      <x:c r="F439" s="16" t="str">
        <x:v>SRC-027</x:v>
      </x:c>
    </x:row>
    <x:row r="440" ht="41" customHeight="1">
      <x:c r="A440" s="16" t="str">
        <x:v>MRG-0217</x:v>
      </x:c>
      <x:c r="B440" s="16" t="str">
        <x:v>Recommendation</x:v>
      </x:c>
      <x:c r="C440" s="16" t="str">
        <x:v>REC-0091</x:v>
      </x:c>
      <x:c r="D440" s="16" t="str">
        <x:v>Excavate all fencing posts to the base and investigate the condition. Undertake appropriate repair stated within Section 3.</x:v>
      </x:c>
      <x:c r="E440" s="19" t="n">
        <x:v>1</x:v>
      </x:c>
      <x:c r="F440" s="16" t="str">
        <x:v>SRC-057</x:v>
      </x:c>
    </x:row>
    <x:row r="441" ht="41" customHeight="1">
      <x:c r="A441" s="16" t="str">
        <x:v>MRG-0218</x:v>
      </x:c>
      <x:c r="B441" s="16" t="str">
        <x:v>Recommendation</x:v>
      </x:c>
      <x:c r="C441" s="16" t="str">
        <x:v>REC-0055</x:v>
      </x:c>
      <x:c r="D441" s="16" t="str">
        <x:v>Clean and repaint. Expose posts’ base and investigate the condition. Undertake appropriate repair stated within Section 3.</x:v>
      </x:c>
      <x:c r="E441" s="19" t="n">
        <x:v>1</x:v>
      </x:c>
      <x:c r="F441" s="16" t="str">
        <x:v>SRC-055</x:v>
      </x:c>
    </x:row>
    <x:row r="442" ht="41" customHeight="1">
      <x:c r="A442" s="16" t="str">
        <x:v>MRG-0218</x:v>
      </x:c>
      <x:c r="B442" s="16" t="str">
        <x:v>Recommendation</x:v>
      </x:c>
      <x:c r="C442" s="16" t="str">
        <x:v>REC-0081</x:v>
      </x:c>
      <x:c r="D442" s="16" t="str">
        <x:v>Clean, wire brush and repaint. Expose the base and investigate the condition. Undertake appropriate repair stated within Section 3.</x:v>
      </x:c>
      <x:c r="E442" s="19" t="n">
        <x:v>1</x:v>
      </x:c>
      <x:c r="F442" s="16" t="str">
        <x:v>SRC-026</x:v>
      </x:c>
    </x:row>
    <x:row r="443" ht="41" customHeight="1">
      <x:c r="A443" s="16" t="str">
        <x:v>MRG-0219</x:v>
      </x:c>
      <x:c r="B443" s="16" t="str">
        <x:v>Recommendation</x:v>
      </x:c>
      <x:c r="C443" s="16" t="str">
        <x:v>REC-0024</x:v>
      </x:c>
      <x:c r="D443" s="16" t="str">
        <x:v>Clean the area, remove all corrosion, and inspect the remaining steel. It may require either replacement or repainting.</x:v>
      </x:c>
      <x:c r="E443" s="19" t="n">
        <x:v>2</x:v>
      </x:c>
      <x:c r="F443" s="16" t="str">
        <x:v>SRC-092</x:v>
      </x:c>
    </x:row>
    <x:row r="444" ht="41" customHeight="1">
      <x:c r="A444" s="16" t="str">
        <x:v>MRG-0219</x:v>
      </x:c>
      <x:c r="B444" s="16" t="str">
        <x:v>Recommendation</x:v>
      </x:c>
      <x:c r="C444" s="16" t="str">
        <x:v>REC-0060</x:v>
      </x:c>
      <x:c r="D444" s="16" t="str">
        <x:v>Clean the area, remove all corrosion, and inspect the remaining steel. It may require either replacement or repainting. Regrout the base.</x:v>
      </x:c>
      <x:c r="E444" s="19" t="n">
        <x:v>1</x:v>
      </x:c>
      <x:c r="F444" s="16" t="str">
        <x:v>SRC-092</x:v>
      </x:c>
    </x:row>
    <x:row r="445" ht="37" customHeight="1">
      <x:c r="A445" s="16" t="str">
        <x:v>MRG-0220</x:v>
      </x:c>
      <x:c r="B445" s="16" t="str">
        <x:v>Recommendation</x:v>
      </x:c>
      <x:c r="C445" s="16" t="str">
        <x:v>REC-0017</x:v>
      </x:c>
      <x:c r="D445" s="16" t="str">
        <x:v>Replace the column to match existing.</x:v>
      </x:c>
      <x:c r="E445" s="19" t="n">
        <x:v>4</x:v>
      </x:c>
      <x:c r="F445" s="16" t="str">
        <x:v>SRC-029</x:v>
      </x:c>
    </x:row>
    <x:row r="446" ht="37" customHeight="1">
      <x:c r="A446" s="16" t="str">
        <x:v>MRG-0220</x:v>
      </x:c>
      <x:c r="B446" s="16" t="str">
        <x:v>Recommendation</x:v>
      </x:c>
      <x:c r="C446" s="16" t="str">
        <x:v>REC-0145</x:v>
      </x:c>
      <x:c r="D446" s="16" t="str">
        <x:v>Replace columns to match existing.</x:v>
      </x:c>
      <x:c r="E446" s="19" t="n">
        <x:v>1</x:v>
      </x:c>
      <x:c r="F446" s="16" t="str">
        <x:v>SRC-029</x:v>
      </x:c>
    </x:row>
    <x:row r="447" ht="41" customHeight="1">
      <x:c r="A447" s="16" t="str">
        <x:v>MRG-0221</x:v>
      </x:c>
      <x:c r="B447" s="16" t="str">
        <x:v>Recommendation</x:v>
      </x:c>
      <x:c r="C447" s="16" t="str">
        <x:v>REC-0055</x:v>
      </x:c>
      <x:c r="D447" s="16" t="str">
        <x:v>Clean and repaint. Expose posts’ base and investigate the condition. Undertake appropriate repair stated within Section 3.</x:v>
      </x:c>
      <x:c r="E447" s="19" t="n">
        <x:v>1</x:v>
      </x:c>
      <x:c r="F447" s="16" t="str">
        <x:v>SRC-055</x:v>
      </x:c>
    </x:row>
    <x:row r="448" ht="41" customHeight="1">
      <x:c r="A448" s="16" t="str">
        <x:v>MRG-0221</x:v>
      </x:c>
      <x:c r="B448" s="16" t="str">
        <x:v>Recommendation</x:v>
      </x:c>
      <x:c r="C448" s="16" t="str">
        <x:v>REC-0080</x:v>
      </x:c>
      <x:c r="D448" s="16" t="str">
        <x:v>Clean, wire brush and repaint. Expose fencing posts’ base and investigate the condition. Undertake appropriate repair stated within Section 3.</x:v>
      </x:c>
      <x:c r="E448" s="19" t="n">
        <x:v>1</x:v>
      </x:c>
      <x:c r="F448" s="16" t="str">
        <x:v>SRC-023</x:v>
      </x:c>
    </x:row>
    <x:row r="449" ht="41" customHeight="1">
      <x:c r="A449" s="16" t="str">
        <x:v>MRG-0222</x:v>
      </x:c>
      <x:c r="B449" s="16" t="str">
        <x:v>Recommendation</x:v>
      </x:c>
      <x:c r="C449" s="16" t="str">
        <x:v>REC-0057</x:v>
      </x:c>
      <x:c r="D449" s="16" t="str">
        <x:v>Clean and repaint. Expose the posts’ base and investigate the condition. Undertake appropriate repair stated within Section 3.1.</x:v>
      </x:c>
      <x:c r="E449" s="19" t="n">
        <x:v>1</x:v>
      </x:c>
      <x:c r="F449" s="16" t="str">
        <x:v>SRC-051</x:v>
      </x:c>
    </x:row>
    <x:row r="450" ht="41" customHeight="1">
      <x:c r="A450" s="16" t="str">
        <x:v>MRG-0222</x:v>
      </x:c>
      <x:c r="B450" s="16" t="str">
        <x:v>Recommendation</x:v>
      </x:c>
      <x:c r="C450" s="16" t="str">
        <x:v>REC-0081</x:v>
      </x:c>
      <x:c r="D450" s="16" t="str">
        <x:v>Clean, wire brush and repaint. Expose the base and investigate the condition. Undertake appropriate repair stated within Section 3.</x:v>
      </x:c>
      <x:c r="E450" s="19" t="n">
        <x:v>1</x:v>
      </x:c>
      <x:c r="F450" s="16" t="str">
        <x:v>SRC-026</x:v>
      </x:c>
    </x:row>
    <x:row r="451" ht="41" customHeight="1">
      <x:c r="A451" s="16" t="str">
        <x:v>MRG-0223</x:v>
      </x:c>
      <x:c r="B451" s="16" t="str">
        <x:v>Recommendation</x:v>
      </x:c>
      <x:c r="C451" s="16" t="str">
        <x:v>REC-0011</x:v>
      </x:c>
      <x:c r="D451" s="16" t="str">
        <x:v>Clean, wire brush and repaint. Excavate all fencing posts to the base and investigate the condition. Undertake appropriate repair stated within Section 3.</x:v>
      </x:c>
      <x:c r="E451" s="19" t="n">
        <x:v>5</x:v>
      </x:c>
      <x:c r="F451" s="16" t="str">
        <x:v>SRC-001, SRC-024, SRC-025, SRC-028, SRC-060</x:v>
      </x:c>
    </x:row>
    <x:row r="452" ht="41" customHeight="1">
      <x:c r="A452" s="16" t="str">
        <x:v>MRG-0223</x:v>
      </x:c>
      <x:c r="B452" s="16" t="str">
        <x:v>Recommendation</x:v>
      </x:c>
      <x:c r="C452" s="16" t="str">
        <x:v>REC-0079</x:v>
      </x:c>
      <x:c r="D452" s="16" t="str">
        <x:v>Clean, wire brush and repaint. Excavate and expose fencing posts and investigate the condition. Undertake appropriate repair stated within Section 3.</x:v>
      </x:c>
      <x:c r="E452" s="19" t="n">
        <x:v>1</x:v>
      </x:c>
      <x:c r="F452" s="16" t="str">
        <x:v>SRC-056</x:v>
      </x:c>
    </x:row>
    <x:row r="453" ht="41" customHeight="1">
      <x:c r="A453" s="16" t="str">
        <x:v>MRG-0224</x:v>
      </x:c>
      <x:c r="B453" s="16" t="str">
        <x:v>Recommendation</x:v>
      </x:c>
      <x:c r="C453" s="16" t="str">
        <x:v>REC-0057</x:v>
      </x:c>
      <x:c r="D453" s="16" t="str">
        <x:v>Clean and repaint. Expose the posts’ base and investigate the condition. Undertake appropriate repair stated within Section 3.1.</x:v>
      </x:c>
      <x:c r="E453" s="19" t="n">
        <x:v>1</x:v>
      </x:c>
      <x:c r="F453" s="16" t="str">
        <x:v>SRC-051</x:v>
      </x:c>
    </x:row>
    <x:row r="454" ht="41" customHeight="1">
      <x:c r="A454" s="16" t="str">
        <x:v>MRG-0224</x:v>
      </x:c>
      <x:c r="B454" s="16" t="str">
        <x:v>Recommendation</x:v>
      </x:c>
      <x:c r="C454" s="16" t="str">
        <x:v>REC-0080</x:v>
      </x:c>
      <x:c r="D454" s="16" t="str">
        <x:v>Clean, wire brush and repaint. Expose fencing posts’ base and investigate the condition. Undertake appropriate repair stated within Section 3.</x:v>
      </x:c>
      <x:c r="E454" s="19" t="n">
        <x:v>1</x:v>
      </x:c>
      <x:c r="F454" s="16" t="str">
        <x:v>SRC-023</x:v>
      </x:c>
    </x:row>
    <x:row r="455" ht="41" customHeight="1">
      <x:c r="A455" s="16" t="str">
        <x:v>MRG-0225</x:v>
      </x:c>
      <x:c r="B455" s="16" t="str">
        <x:v>Recommendation</x:v>
      </x:c>
      <x:c r="C455" s="16" t="str">
        <x:v>REC-0011</x:v>
      </x:c>
      <x:c r="D455" s="16" t="str">
        <x:v>Clean, wire brush and repaint. Excavate all fencing posts to the base and investigate the condition. Undertake appropriate repair stated within Section 3.</x:v>
      </x:c>
      <x:c r="E455" s="19" t="n">
        <x:v>5</x:v>
      </x:c>
      <x:c r="F455" s="16" t="str">
        <x:v>SRC-001, SRC-024, SRC-025, SRC-028, SRC-060</x:v>
      </x:c>
    </x:row>
    <x:row r="456" ht="41" customHeight="1">
      <x:c r="A456" s="16" t="str">
        <x:v>MRG-0225</x:v>
      </x:c>
      <x:c r="B456" s="16" t="str">
        <x:v>Recommendation</x:v>
      </x:c>
      <x:c r="C456" s="16" t="str">
        <x:v>REC-0081</x:v>
      </x:c>
      <x:c r="D456" s="16" t="str">
        <x:v>Clean, wire brush and repaint. Expose the base and investigate the condition. Undertake appropriate repair stated within Section 3.</x:v>
      </x:c>
      <x:c r="E456" s="19" t="n">
        <x:v>1</x:v>
      </x:c>
      <x:c r="F456" s="16" t="str">
        <x:v>SRC-026</x:v>
      </x:c>
    </x:row>
    <x:row r="457" ht="41" customHeight="1">
      <x:c r="A457" s="16" t="str">
        <x:v>MRG-0226</x:v>
      </x:c>
      <x:c r="B457" s="16" t="str">
        <x:v>Recommendation</x:v>
      </x:c>
      <x:c r="C457" s="16" t="str">
        <x:v>REC-0026</x:v>
      </x:c>
      <x:c r="D457" s="16" t="str">
        <x:v>Clean, wire brush and repaint. Expose the posts base and investigate the condition. Undertake appropriate repair stated within Section 3.</x:v>
      </x:c>
      <x:c r="E457" s="19" t="n">
        <x:v>2</x:v>
      </x:c>
      <x:c r="F457" s="16" t="str">
        <x:v>SRC-010, SRC-059</x:v>
      </x:c>
    </x:row>
    <x:row r="458" ht="41" customHeight="1">
      <x:c r="A458" s="16" t="str">
        <x:v>MRG-0226</x:v>
      </x:c>
      <x:c r="B458" s="16" t="str">
        <x:v>Recommendation</x:v>
      </x:c>
      <x:c r="C458" s="16" t="str">
        <x:v>REC-0079</x:v>
      </x:c>
      <x:c r="D458" s="16" t="str">
        <x:v>Clean, wire brush and repaint. Excavate and expose fencing posts and investigate the condition. Undertake appropriate repair stated within Section 3.</x:v>
      </x:c>
      <x:c r="E458" s="19" t="n">
        <x:v>1</x:v>
      </x:c>
      <x:c r="F458" s="16" t="str">
        <x:v>SRC-056</x:v>
      </x:c>
    </x:row>
    <x:row r="459" ht="41" customHeight="1">
      <x:c r="A459" s="16" t="str">
        <x:v>MRG-0227</x:v>
      </x:c>
      <x:c r="B459" s="16" t="str">
        <x:v>Recommendation</x:v>
      </x:c>
      <x:c r="C459" s="16" t="str">
        <x:v>REC-0008</x:v>
      </x:c>
      <x:c r="D459" s="16" t="str">
        <x:v>Clean off salt staining.</x:v>
      </x:c>
      <x:c r="E459" s="19" t="n">
        <x:v>8</x:v>
      </x:c>
      <x:c r="F459" s="16" t="str">
        <x:v>SRC-011, SRC-024, SRC-026, SRC-052, SRC-056, SRC-060</x:v>
      </x:c>
    </x:row>
    <x:row r="460" ht="37" customHeight="1">
      <x:c r="A460" s="16" t="str">
        <x:v>MRG-0227</x:v>
      </x:c>
      <x:c r="B460" s="16" t="str">
        <x:v>Recommendation</x:v>
      </x:c>
      <x:c r="C460" s="16" t="str">
        <x:v>REC-0009</x:v>
      </x:c>
      <x:c r="D460" s="16" t="str">
        <x:v>Clean salt staining.</x:v>
      </x:c>
      <x:c r="E460" s="19" t="n">
        <x:v>6</x:v>
      </x:c>
      <x:c r="F460" s="16" t="str">
        <x:v>SRC-001, SRC-028, SRC-050</x:v>
      </x:c>
    </x:row>
    <x:row r="461" ht="37" customHeight="1">
      <x:c r="A461" s="16" t="str">
        <x:v>MRG-0228</x:v>
      </x:c>
      <x:c r="B461" s="16" t="str">
        <x:v>Recommendation</x:v>
      </x:c>
      <x:c r="C461" s="16" t="str">
        <x:v>REC-0009</x:v>
      </x:c>
      <x:c r="D461" s="16" t="str">
        <x:v>Clean salt staining.</x:v>
      </x:c>
      <x:c r="E461" s="19" t="n">
        <x:v>6</x:v>
      </x:c>
      <x:c r="F461" s="16" t="str">
        <x:v>SRC-001, SRC-028, SRC-050</x:v>
      </x:c>
    </x:row>
    <x:row r="462" ht="37" customHeight="1">
      <x:c r="A462" s="16" t="str">
        <x:v>MRG-0228</x:v>
      </x:c>
      <x:c r="B462" s="16" t="str">
        <x:v>Recommendation</x:v>
      </x:c>
      <x:c r="C462" s="16" t="str">
        <x:v>REC-0013</x:v>
      </x:c>
      <x:c r="D462" s="16" t="str">
        <x:v>Clean all salt staining.</x:v>
      </x:c>
      <x:c r="E462" s="19" t="n">
        <x:v>4</x:v>
      </x:c>
      <x:c r="F462" s="16" t="str">
        <x:v>SRC-025, SRC-027, SRC-049</x:v>
      </x:c>
    </x:row>
    <x:row r="463" ht="41" customHeight="1">
      <x:c r="A463" s="16" t="str">
        <x:v>MRG-0229</x:v>
      </x:c>
      <x:c r="B463" s="16" t="str">
        <x:v>Recommendation</x:v>
      </x:c>
      <x:c r="C463" s="16" t="str">
        <x:v>REC-0011</x:v>
      </x:c>
      <x:c r="D463" s="16" t="str">
        <x:v>Clean, wire brush and repaint. Excavate all fencing posts to the base and investigate the condition. Undertake appropriate repair stated within Section 3.</x:v>
      </x:c>
      <x:c r="E463" s="19" t="n">
        <x:v>5</x:v>
      </x:c>
      <x:c r="F463" s="16" t="str">
        <x:v>SRC-001, SRC-024, SRC-025, SRC-028, SRC-060</x:v>
      </x:c>
    </x:row>
    <x:row r="464" ht="41" customHeight="1">
      <x:c r="A464" s="16" t="str">
        <x:v>MRG-0229</x:v>
      </x:c>
      <x:c r="B464" s="16" t="str">
        <x:v>Recommendation</x:v>
      </x:c>
      <x:c r="C464" s="16" t="str">
        <x:v>REC-0026</x:v>
      </x:c>
      <x:c r="D464" s="16" t="str">
        <x:v>Clean, wire brush and repaint. Expose the posts base and investigate the condition. Undertake appropriate repair stated within Section 3.</x:v>
      </x:c>
      <x:c r="E464" s="19" t="n">
        <x:v>2</x:v>
      </x:c>
      <x:c r="F464" s="16" t="str">
        <x:v>SRC-010, SRC-059</x:v>
      </x:c>
    </x:row>
    <x:row r="465" ht="41" customHeight="1">
      <x:c r="A465" s="16" t="str">
        <x:v>MRG-0230</x:v>
      </x:c>
      <x:c r="B465" s="16" t="str">
        <x:v>Recommendation</x:v>
      </x:c>
      <x:c r="C465" s="16" t="str">
        <x:v>REC-0054</x:v>
      </x:c>
      <x:c r="D465" s="16" t="str">
        <x:v>Clean and repaint. Excavate all fencing posts to the base and investigate the condition. Undertake appropriate repair stated within Section 3.</x:v>
      </x:c>
      <x:c r="E465" s="19" t="n">
        <x:v>1</x:v>
      </x:c>
      <x:c r="F465" s="16" t="str">
        <x:v>SRC-027</x:v>
      </x:c>
    </x:row>
    <x:row r="466" ht="41" customHeight="1">
      <x:c r="A466" s="16" t="str">
        <x:v>MRG-0230</x:v>
      </x:c>
      <x:c r="B466" s="16" t="str">
        <x:v>Recommendation</x:v>
      </x:c>
      <x:c r="C466" s="16" t="str">
        <x:v>REC-0056</x:v>
      </x:c>
      <x:c r="D466" s="16" t="str">
        <x:v>Clean and repaint. Expose the base and investigate the condition. Undertake appropriate repair stated within Section 3.</x:v>
      </x:c>
      <x:c r="E466" s="19" t="n">
        <x:v>1</x:v>
      </x:c>
      <x:c r="F466" s="16" t="str">
        <x:v>SRC-049</x:v>
      </x:c>
    </x:row>
    <x:row r="467" ht="41" customHeight="1">
      <x:c r="A467" s="16" t="str">
        <x:v>MRG-0231</x:v>
      </x:c>
      <x:c r="B467" s="16" t="str">
        <x:v>Recommendation</x:v>
      </x:c>
      <x:c r="C467" s="16" t="str">
        <x:v>REC-0056</x:v>
      </x:c>
      <x:c r="D467" s="16" t="str">
        <x:v>Clean and repaint. Expose the base and investigate the condition. Undertake appropriate repair stated within Section 3.</x:v>
      </x:c>
      <x:c r="E467" s="19" t="n">
        <x:v>1</x:v>
      </x:c>
      <x:c r="F467" s="16" t="str">
        <x:v>SRC-049</x:v>
      </x:c>
    </x:row>
    <x:row r="468" ht="41" customHeight="1">
      <x:c r="A468" s="16" t="str">
        <x:v>MRG-0231</x:v>
      </x:c>
      <x:c r="B468" s="16" t="str">
        <x:v>Recommendation</x:v>
      </x:c>
      <x:c r="C468" s="16" t="str">
        <x:v>REC-0080</x:v>
      </x:c>
      <x:c r="D468" s="16" t="str">
        <x:v>Clean, wire brush and repaint. Expose fencing posts’ base and investigate the condition. Undertake appropriate repair stated within Section 3.</x:v>
      </x:c>
      <x:c r="E468" s="19" t="n">
        <x:v>1</x:v>
      </x:c>
      <x:c r="F468" s="16" t="str">
        <x:v>SRC-023</x:v>
      </x:c>
    </x:row>
    <x:row r="469" ht="37" customHeight="1">
      <x:c r="A469" s="16" t="str">
        <x:v>MRG-0232</x:v>
      </x:c>
      <x:c r="B469" s="16" t="str">
        <x:v>Recommendation</x:v>
      </x:c>
      <x:c r="C469" s="16" t="str">
        <x:v>REC-0021</x:v>
      </x:c>
      <x:c r="D469" s="16" t="str">
        <x:v>Replace the post to match existing.</x:v>
      </x:c>
      <x:c r="E469" s="19" t="n">
        <x:v>3</x:v>
      </x:c>
      <x:c r="F469" s="16" t="str">
        <x:v>SRC-029</x:v>
      </x:c>
    </x:row>
    <x:row r="470" ht="37" customHeight="1">
      <x:c r="A470" s="16" t="str">
        <x:v>MRG-0232</x:v>
      </x:c>
      <x:c r="B470" s="16" t="str">
        <x:v>Recommendation</x:v>
      </x:c>
      <x:c r="C470" s="16" t="str">
        <x:v>REC-0043</x:v>
      </x:c>
      <x:c r="D470" s="16" t="str">
        <x:v>Replace the columns to match existing.</x:v>
      </x:c>
      <x:c r="E470" s="19" t="n">
        <x:v>2</x:v>
      </x:c>
      <x:c r="F470" s="16" t="str">
        <x:v>SRC-029</x:v>
      </x:c>
    </x:row>
    <x:row r="471" ht="41" customHeight="1">
      <x:c r="A471" s="16" t="str">
        <x:v>MRG-0233</x:v>
      </x:c>
      <x:c r="B471" s="16" t="str">
        <x:v>Recommendation</x:v>
      </x:c>
      <x:c r="C471" s="16" t="str">
        <x:v>REC-0079</x:v>
      </x:c>
      <x:c r="D471" s="16" t="str">
        <x:v>Clean, wire brush and repaint. Excavate and expose fencing posts and investigate the condition. Undertake appropriate repair stated within Section 3.</x:v>
      </x:c>
      <x:c r="E471" s="19" t="n">
        <x:v>1</x:v>
      </x:c>
      <x:c r="F471" s="16" t="str">
        <x:v>SRC-056</x:v>
      </x:c>
    </x:row>
    <x:row r="472" ht="41" customHeight="1">
      <x:c r="A472" s="16" t="str">
        <x:v>MRG-0233</x:v>
      </x:c>
      <x:c r="B472" s="16" t="str">
        <x:v>Recommendation</x:v>
      </x:c>
      <x:c r="C472" s="16" t="str">
        <x:v>REC-0081</x:v>
      </x:c>
      <x:c r="D472" s="16" t="str">
        <x:v>Clean, wire brush and repaint. Expose the base and investigate the condition. Undertake appropriate repair stated within Section 3.</x:v>
      </x:c>
      <x:c r="E472" s="19" t="n">
        <x:v>1</x:v>
      </x:c>
      <x:c r="F472" s="16" t="str">
        <x:v>SRC-026</x:v>
      </x:c>
    </x:row>
    <x:row r="473" ht="41" customHeight="1">
      <x:c r="A473" s="16" t="str">
        <x:v>MRG-0234</x:v>
      </x:c>
      <x:c r="B473" s="16" t="str">
        <x:v>Recommendation</x:v>
      </x:c>
      <x:c r="C473" s="16" t="str">
        <x:v>REC-0054</x:v>
      </x:c>
      <x:c r="D473" s="16" t="str">
        <x:v>Clean and repaint. Excavate all fencing posts to the base and investigate the condition. Undertake appropriate repair stated within Section 3.</x:v>
      </x:c>
      <x:c r="E473" s="19" t="n">
        <x:v>1</x:v>
      </x:c>
      <x:c r="F473" s="16" t="str">
        <x:v>SRC-027</x:v>
      </x:c>
    </x:row>
    <x:row r="474" ht="41" customHeight="1">
      <x:c r="A474" s="16" t="str">
        <x:v>MRG-0234</x:v>
      </x:c>
      <x:c r="B474" s="16" t="str">
        <x:v>Recommendation</x:v>
      </x:c>
      <x:c r="C474" s="16" t="str">
        <x:v>REC-0055</x:v>
      </x:c>
      <x:c r="D474" s="16" t="str">
        <x:v>Clean and repaint. Expose posts’ base and investigate the condition. Undertake appropriate repair stated within Section 3.</x:v>
      </x:c>
      <x:c r="E474" s="19" t="n">
        <x:v>1</x:v>
      </x:c>
      <x:c r="F474" s="16" t="str">
        <x:v>SRC-055</x:v>
      </x:c>
    </x:row>
    <x:row r="475" ht="41" customHeight="1">
      <x:c r="A475" s="16" t="str">
        <x:v>MRG-0235</x:v>
      </x:c>
      <x:c r="B475" s="16" t="str">
        <x:v>Recommendation</x:v>
      </x:c>
      <x:c r="C475" s="16" t="str">
        <x:v>REC-0002</x:v>
      </x:c>
      <x:c r="D475" s="16" t="str">
        <x:v>Clean, remove corrosion and repaint.</x:v>
      </x:c>
      <x:c r="E475" s="19" t="n">
        <x:v>77</x:v>
      </x:c>
      <x:c r="F475" s="16" t="str">
        <x:v>SRC-006, SRC-009, SRC-012, SRC-015, SRC-055, SRC-063, SRC-071, SRC-092, SRC-094, SRC-100</x:v>
      </x:c>
    </x:row>
    <x:row r="476" ht="37" customHeight="1">
      <x:c r="A476" s="16" t="str">
        <x:v>MRG-0235</x:v>
      </x:c>
      <x:c r="B476" s="16" t="str">
        <x:v>Recommendation</x:v>
      </x:c>
      <x:c r="C476" s="16" t="str">
        <x:v>REC-0064</x:v>
      </x:c>
      <x:c r="D476" s="16" t="str">
        <x:v>Clean, remove corrosion and repaint rafters.</x:v>
      </x:c>
      <x:c r="E476" s="19" t="n">
        <x:v>1</x:v>
      </x:c>
      <x:c r="F476" s="16" t="str">
        <x:v>SRC-015</x:v>
      </x:c>
    </x:row>
    <x:row r="477" ht="37" customHeight="1">
      <x:c r="A477" s="16" t="str">
        <x:v>MRG-0236</x:v>
      </x:c>
      <x:c r="B477" s="16" t="str">
        <x:v>Recommendation</x:v>
      </x:c>
      <x:c r="C477" s="16" t="str">
        <x:v>REC-0018</x:v>
      </x:c>
      <x:c r="D477" s="16" t="str">
        <x:v>Clean, remove corrosion and repaint all sections.</x:v>
      </x:c>
      <x:c r="E477" s="19" t="n">
        <x:v>3</x:v>
      </x:c>
      <x:c r="F477" s="16" t="str">
        <x:v>SRC-071</x:v>
      </x:c>
    </x:row>
    <x:row r="478" ht="37" customHeight="1">
      <x:c r="A478" s="16" t="str">
        <x:v>MRG-0236</x:v>
      </x:c>
      <x:c r="B478" s="16" t="str">
        <x:v>Recommendation</x:v>
      </x:c>
      <x:c r="C478" s="16" t="str">
        <x:v>REC-0062</x:v>
      </x:c>
      <x:c r="D478" s="16" t="str">
        <x:v>Clean, remove corrosion and repaint all surfaces.</x:v>
      </x:c>
      <x:c r="E478" s="19" t="n">
        <x:v>1</x:v>
      </x:c>
      <x:c r="F478" s="16" t="str">
        <x:v>SRC-104</x:v>
      </x:c>
    </x:row>
    <x:row r="479" ht="41" customHeight="1">
      <x:c r="A479" s="16" t="str">
        <x:v>MRG-0237</x:v>
      </x:c>
      <x:c r="B479" s="16" t="str">
        <x:v>Recommendation</x:v>
      </x:c>
      <x:c r="C479" s="16" t="str">
        <x:v>REC-0011</x:v>
      </x:c>
      <x:c r="D479" s="16" t="str">
        <x:v>Clean, wire brush and repaint. Excavate all fencing posts to the base and investigate the condition. Undertake appropriate repair stated within Section 3.</x:v>
      </x:c>
      <x:c r="E479" s="19" t="n">
        <x:v>5</x:v>
      </x:c>
      <x:c r="F479" s="16" t="str">
        <x:v>SRC-001, SRC-024, SRC-025, SRC-028, SRC-060</x:v>
      </x:c>
    </x:row>
    <x:row r="480" ht="41" customHeight="1">
      <x:c r="A480" s="16" t="str">
        <x:v>MRG-0237</x:v>
      </x:c>
      <x:c r="B480" s="16" t="str">
        <x:v>Recommendation</x:v>
      </x:c>
      <x:c r="C480" s="16" t="str">
        <x:v>REC-0091</x:v>
      </x:c>
      <x:c r="D480" s="16" t="str">
        <x:v>Excavate all fencing posts to the base and investigate the condition. Undertake appropriate repair stated within Section 3.</x:v>
      </x:c>
      <x:c r="E480" s="19" t="n">
        <x:v>1</x:v>
      </x:c>
      <x:c r="F480" s="16" t="str">
        <x:v>SRC-057</x:v>
      </x:c>
    </x:row>
    <x:row r="481" ht="41" customHeight="1">
      <x:c r="A481" s="16" t="str">
        <x:v>MRG-0238</x:v>
      </x:c>
      <x:c r="B481" s="16" t="str">
        <x:v>Recommendation</x:v>
      </x:c>
      <x:c r="C481" s="16" t="str">
        <x:v>REC-0054</x:v>
      </x:c>
      <x:c r="D481" s="16" t="str">
        <x:v>Clean and repaint. Excavate all fencing posts to the base and investigate the condition. Undertake appropriate repair stated within Section 3.</x:v>
      </x:c>
      <x:c r="E481" s="19" t="n">
        <x:v>1</x:v>
      </x:c>
      <x:c r="F481" s="16" t="str">
        <x:v>SRC-027</x:v>
      </x:c>
    </x:row>
    <x:row r="482" ht="41" customHeight="1">
      <x:c r="A482" s="16" t="str">
        <x:v>MRG-0238</x:v>
      </x:c>
      <x:c r="B482" s="16" t="str">
        <x:v>Recommendation</x:v>
      </x:c>
      <x:c r="C482" s="16" t="str">
        <x:v>REC-0080</x:v>
      </x:c>
      <x:c r="D482" s="16" t="str">
        <x:v>Clean, wire brush and repaint. Expose fencing posts’ base and investigate the condition. Undertake appropriate repair stated within Section 3.</x:v>
      </x:c>
      <x:c r="E482" s="19" t="n">
        <x:v>1</x:v>
      </x:c>
      <x:c r="F482" s="16" t="str">
        <x:v>SRC-023</x:v>
      </x:c>
    </x:row>
    <x:row r="483" ht="41" customHeight="1">
      <x:c r="A483" s="16" t="str">
        <x:v>MRG-0239</x:v>
      </x:c>
      <x:c r="B483" s="16" t="str">
        <x:v>Recommendation</x:v>
      </x:c>
      <x:c r="C483" s="16" t="str">
        <x:v>REC-0054</x:v>
      </x:c>
      <x:c r="D483" s="16" t="str">
        <x:v>Clean and repaint. Excavate all fencing posts to the base and investigate the condition. Undertake appropriate repair stated within Section 3.</x:v>
      </x:c>
      <x:c r="E483" s="19" t="n">
        <x:v>1</x:v>
      </x:c>
      <x:c r="F483" s="16" t="str">
        <x:v>SRC-027</x:v>
      </x:c>
    </x:row>
    <x:row r="484" ht="41" customHeight="1">
      <x:c r="A484" s="16" t="str">
        <x:v>MRG-0239</x:v>
      </x:c>
      <x:c r="B484" s="16" t="str">
        <x:v>Recommendation</x:v>
      </x:c>
      <x:c r="C484" s="16" t="str">
        <x:v>REC-0057</x:v>
      </x:c>
      <x:c r="D484" s="16" t="str">
        <x:v>Clean and repaint. Expose the posts’ base and investigate the condition. Undertake appropriate repair stated within Section 3.1.</x:v>
      </x:c>
      <x:c r="E484" s="19" t="n">
        <x:v>1</x:v>
      </x:c>
      <x:c r="F484" s="16" t="str">
        <x:v>SRC-051</x:v>
      </x:c>
    </x:row>
    <x:row r="485" ht="37" customHeight="1">
      <x:c r="A485" s="16" t="str">
        <x:v>MRG-0240</x:v>
      </x:c>
      <x:c r="B485" s="16" t="str">
        <x:v>Recommendation</x:v>
      </x:c>
      <x:c r="C485" s="16" t="str">
        <x:v>REC-0017</x:v>
      </x:c>
      <x:c r="D485" s="16" t="str">
        <x:v>Replace the column to match existing.</x:v>
      </x:c>
      <x:c r="E485" s="19" t="n">
        <x:v>4</x:v>
      </x:c>
      <x:c r="F485" s="16" t="str">
        <x:v>SRC-029</x:v>
      </x:c>
    </x:row>
    <x:row r="486" ht="37" customHeight="1">
      <x:c r="A486" s="16" t="str">
        <x:v>MRG-0240</x:v>
      </x:c>
      <x:c r="B486" s="16" t="str">
        <x:v>Recommendation</x:v>
      </x:c>
      <x:c r="C486" s="16" t="str">
        <x:v>REC-0021</x:v>
      </x:c>
      <x:c r="D486" s="16" t="str">
        <x:v>Replace the post to match existing.</x:v>
      </x:c>
      <x:c r="E486" s="19" t="n">
        <x:v>3</x:v>
      </x:c>
      <x:c r="F486" s="16" t="str">
        <x:v>SRC-029</x:v>
      </x:c>
    </x:row>
    <x:row r="487" ht="41" customHeight="1">
      <x:c r="A487" s="16" t="str">
        <x:v>MRG-0241</x:v>
      </x:c>
      <x:c r="B487" s="16" t="str">
        <x:v>Recommendation</x:v>
      </x:c>
      <x:c r="C487" s="16" t="str">
        <x:v>REC-0065</x:v>
      </x:c>
      <x:c r="D487" s="16" t="str">
        <x:v>Clean, remove corrosion and repaint. Excavate all fencing posts to the base and investigate the condition. Undertake appropriate repair stated within Section 3.</x:v>
      </x:c>
      <x:c r="E487" s="19" t="n">
        <x:v>1</x:v>
      </x:c>
      <x:c r="F487" s="16" t="str">
        <x:v>SRC-011</x:v>
      </x:c>
    </x:row>
    <x:row r="488" ht="41" customHeight="1">
      <x:c r="A488" s="16" t="str">
        <x:v>MRG-0241</x:v>
      </x:c>
      <x:c r="B488" s="16" t="str">
        <x:v>Recommendation</x:v>
      </x:c>
      <x:c r="C488" s="16" t="str">
        <x:v>REC-0080</x:v>
      </x:c>
      <x:c r="D488" s="16" t="str">
        <x:v>Clean, wire brush and repaint. Expose fencing posts’ base and investigate the condition. Undertake appropriate repair stated within Section 3.</x:v>
      </x:c>
      <x:c r="E488" s="19" t="n">
        <x:v>1</x:v>
      </x:c>
      <x:c r="F488" s="16" t="str">
        <x:v>SRC-023</x:v>
      </x:c>
    </x:row>
    <x:row r="489" ht="41" customHeight="1">
      <x:c r="A489" s="16" t="str">
        <x:v>MRG-0242</x:v>
      </x:c>
      <x:c r="B489" s="16" t="str">
        <x:v>Recommendation</x:v>
      </x:c>
      <x:c r="C489" s="16" t="str">
        <x:v>REC-0054</x:v>
      </x:c>
      <x:c r="D489" s="16" t="str">
        <x:v>Clean and repaint. Excavate all fencing posts to the base and investigate the condition. Undertake appropriate repair stated within Section 3.</x:v>
      </x:c>
      <x:c r="E489" s="19" t="n">
        <x:v>1</x:v>
      </x:c>
      <x:c r="F489" s="16" t="str">
        <x:v>SRC-027</x:v>
      </x:c>
    </x:row>
    <x:row r="490" ht="41" customHeight="1">
      <x:c r="A490" s="16" t="str">
        <x:v>MRG-0242</x:v>
      </x:c>
      <x:c r="B490" s="16" t="str">
        <x:v>Recommendation</x:v>
      </x:c>
      <x:c r="C490" s="16" t="str">
        <x:v>REC-0079</x:v>
      </x:c>
      <x:c r="D490" s="16" t="str">
        <x:v>Clean, wire brush and repaint. Excavate and expose fencing posts and investigate the condition. Undertake appropriate repair stated within Section 3.</x:v>
      </x:c>
      <x:c r="E490" s="19" t="n">
        <x:v>1</x:v>
      </x:c>
      <x:c r="F490" s="16" t="str">
        <x:v>SRC-056</x:v>
      </x:c>
    </x:row>
    <x:row r="491" ht="41" customHeight="1">
      <x:c r="A491" s="16" t="str">
        <x:v>MRG-0243</x:v>
      </x:c>
      <x:c r="B491" s="16" t="str">
        <x:v>Recommendation</x:v>
      </x:c>
      <x:c r="C491" s="16" t="str">
        <x:v>REC-0065</x:v>
      </x:c>
      <x:c r="D491" s="16" t="str">
        <x:v>Clean, remove corrosion and repaint. Excavate all fencing posts to the base and investigate the condition. Undertake appropriate repair stated within Section 3.</x:v>
      </x:c>
      <x:c r="E491" s="19" t="n">
        <x:v>1</x:v>
      </x:c>
      <x:c r="F491" s="16" t="str">
        <x:v>SRC-011</x:v>
      </x:c>
    </x:row>
    <x:row r="492" ht="41" customHeight="1">
      <x:c r="A492" s="16" t="str">
        <x:v>MRG-0243</x:v>
      </x:c>
      <x:c r="B492" s="16" t="str">
        <x:v>Recommendation</x:v>
      </x:c>
      <x:c r="C492" s="16" t="str">
        <x:v>REC-0091</x:v>
      </x:c>
      <x:c r="D492" s="16" t="str">
        <x:v>Excavate all fencing posts to the base and investigate the condition. Undertake appropriate repair stated within Section 3.</x:v>
      </x:c>
      <x:c r="E492" s="19" t="n">
        <x:v>1</x:v>
      </x:c>
      <x:c r="F492" s="16" t="str">
        <x:v>SRC-057</x:v>
      </x:c>
    </x:row>
    <x:row r="493" ht="41" customHeight="1">
      <x:c r="A493" s="16" t="str">
        <x:v>MRG-0244</x:v>
      </x:c>
      <x:c r="B493" s="16" t="str">
        <x:v>Recommendation</x:v>
      </x:c>
      <x:c r="C493" s="16" t="str">
        <x:v>REC-0008</x:v>
      </x:c>
      <x:c r="D493" s="16" t="str">
        <x:v>Clean off salt staining.</x:v>
      </x:c>
      <x:c r="E493" s="19" t="n">
        <x:v>8</x:v>
      </x:c>
      <x:c r="F493" s="16" t="str">
        <x:v>SRC-011, SRC-024, SRC-026, SRC-052, SRC-056, SRC-060</x:v>
      </x:c>
    </x:row>
    <x:row r="494" ht="37" customHeight="1">
      <x:c r="A494" s="16" t="str">
        <x:v>MRG-0244</x:v>
      </x:c>
      <x:c r="B494" s="16" t="str">
        <x:v>Recommendation</x:v>
      </x:c>
      <x:c r="C494" s="16" t="str">
        <x:v>REC-0013</x:v>
      </x:c>
      <x:c r="D494" s="16" t="str">
        <x:v>Clean all salt staining.</x:v>
      </x:c>
      <x:c r="E494" s="19" t="n">
        <x:v>4</x:v>
      </x:c>
      <x:c r="F494" s="16" t="str">
        <x:v>SRC-025, SRC-027, SRC-049</x:v>
      </x:c>
    </x:row>
    <x:row r="495" ht="41" customHeight="1">
      <x:c r="A495" s="16" t="str">
        <x:v>MRG-0245</x:v>
      </x:c>
      <x:c r="B495" s="16" t="str">
        <x:v>Recommendation</x:v>
      </x:c>
      <x:c r="C495" s="16" t="str">
        <x:v>REC-0065</x:v>
      </x:c>
      <x:c r="D495" s="16" t="str">
        <x:v>Clean, remove corrosion and repaint. Excavate all fencing posts to the base and investigate the condition. Undertake appropriate repair stated within Section 3.</x:v>
      </x:c>
      <x:c r="E495" s="19" t="n">
        <x:v>1</x:v>
      </x:c>
      <x:c r="F495" s="16" t="str">
        <x:v>SRC-011</x:v>
      </x:c>
    </x:row>
    <x:row r="496" ht="41" customHeight="1">
      <x:c r="A496" s="16" t="str">
        <x:v>MRG-0245</x:v>
      </x:c>
      <x:c r="B496" s="16" t="str">
        <x:v>Recommendation</x:v>
      </x:c>
      <x:c r="C496" s="16" t="str">
        <x:v>REC-0079</x:v>
      </x:c>
      <x:c r="D496" s="16" t="str">
        <x:v>Clean, wire brush and repaint. Excavate and expose fencing posts and investigate the condition. Undertake appropriate repair stated within Section 3.</x:v>
      </x:c>
      <x:c r="E496" s="19" t="n">
        <x:v>1</x:v>
      </x:c>
      <x:c r="F496" s="16" t="str">
        <x:v>SRC-056</x:v>
      </x:c>
    </x:row>
    <x:row r="497" ht="41" customHeight="1">
      <x:c r="A497" s="16" t="str">
        <x:v>MRG-0246</x:v>
      </x:c>
      <x:c r="B497" s="16" t="str">
        <x:v>Recommendation</x:v>
      </x:c>
      <x:c r="C497" s="16" t="str">
        <x:v>REC-0056</x:v>
      </x:c>
      <x:c r="D497" s="16" t="str">
        <x:v>Clean and repaint. Expose the base and investigate the condition. Undertake appropriate repair stated within Section 3.</x:v>
      </x:c>
      <x:c r="E497" s="19" t="n">
        <x:v>1</x:v>
      </x:c>
      <x:c r="F497" s="16" t="str">
        <x:v>SRC-049</x:v>
      </x:c>
    </x:row>
    <x:row r="498" ht="41" customHeight="1">
      <x:c r="A498" s="16" t="str">
        <x:v>MRG-0246</x:v>
      </x:c>
      <x:c r="B498" s="16" t="str">
        <x:v>Recommendation</x:v>
      </x:c>
      <x:c r="C498" s="16" t="str">
        <x:v>REC-0091</x:v>
      </x:c>
      <x:c r="D498" s="16" t="str">
        <x:v>Excavate all fencing posts to the base and investigate the condition. Undertake appropriate repair stated within Section 3.</x:v>
      </x:c>
      <x:c r="E498" s="19" t="n">
        <x:v>1</x:v>
      </x:c>
      <x:c r="F498" s="16" t="str">
        <x:v>SRC-057</x:v>
      </x:c>
    </x:row>
    <x:row r="499" ht="37" customHeight="1">
      <x:c r="A499" s="16" t="str">
        <x:v>MRG-0247</x:v>
      </x:c>
      <x:c r="B499" s="16" t="str">
        <x:v>Recommendation</x:v>
      </x:c>
      <x:c r="C499" s="16" t="str">
        <x:v>REC-0092</x:v>
      </x:c>
      <x:c r="D499" s="16" t="str">
        <x:v>Excavate to base and investigate corrosion. Clean, wire brush and repaint.</x:v>
      </x:c>
      <x:c r="E499" s="19" t="n">
        <x:v>1</x:v>
      </x:c>
      <x:c r="F499" s="16" t="str">
        <x:v>SRC-048</x:v>
      </x:c>
    </x:row>
    <x:row r="500" ht="37" customHeight="1">
      <x:c r="A500" s="16" t="str">
        <x:v>MRG-0247</x:v>
      </x:c>
      <x:c r="B500" s="16" t="str">
        <x:v>Recommendation</x:v>
      </x:c>
      <x:c r="C500" s="16" t="str">
        <x:v>REC-0093</x:v>
      </x:c>
      <x:c r="D500" s="16" t="str">
        <x:v>Excavate to the base and investigate corrosion. Clean, remove corrosion and repaint.</x:v>
      </x:c>
      <x:c r="E500" s="19" t="n">
        <x:v>1</x:v>
      </x:c>
      <x:c r="F500" s="16" t="str">
        <x:v>SRC-009</x:v>
      </x:c>
    </x:row>
    <x:row r="501" ht="41" customHeight="1">
      <x:c r="A501" s="16" t="str">
        <x:v>MRG-0248</x:v>
      </x:c>
      <x:c r="B501" s="16" t="str">
        <x:v>Recommendation</x:v>
      </x:c>
      <x:c r="C501" s="16" t="str">
        <x:v>REC-0054</x:v>
      </x:c>
      <x:c r="D501" s="16" t="str">
        <x:v>Clean and repaint. Excavate all fencing posts to the base and investigate the condition. Undertake appropriate repair stated within Section 3.</x:v>
      </x:c>
      <x:c r="E501" s="19" t="n">
        <x:v>1</x:v>
      </x:c>
      <x:c r="F501" s="16" t="str">
        <x:v>SRC-027</x:v>
      </x:c>
    </x:row>
    <x:row r="502" ht="41" customHeight="1">
      <x:c r="A502" s="16" t="str">
        <x:v>MRG-0248</x:v>
      </x:c>
      <x:c r="B502" s="16" t="str">
        <x:v>Recommendation</x:v>
      </x:c>
      <x:c r="C502" s="16" t="str">
        <x:v>REC-0090</x:v>
      </x:c>
      <x:c r="D502" s="16" t="str">
        <x:v>Excavate all columns to the base and investigate the condition. Undertake appropriate repair stated within Section 3.</x:v>
      </x:c>
      <x:c r="E502" s="19" t="n">
        <x:v>1</x:v>
      </x:c>
      <x:c r="F502" s="16" t="str">
        <x:v>SRC-012</x:v>
      </x:c>
    </x:row>
    <x:row r="503" ht="41" customHeight="1">
      <x:c r="A503" s="16" t="str">
        <x:v>MRG-0249</x:v>
      </x:c>
      <x:c r="B503" s="16" t="str">
        <x:v>Recommendation</x:v>
      </x:c>
      <x:c r="C503" s="16" t="str">
        <x:v>REC-0056</x:v>
      </x:c>
      <x:c r="D503" s="16" t="str">
        <x:v>Clean and repaint. Expose the base and investigate the condition. Undertake appropriate repair stated within Section 3.</x:v>
      </x:c>
      <x:c r="E503" s="19" t="n">
        <x:v>1</x:v>
      </x:c>
      <x:c r="F503" s="16" t="str">
        <x:v>SRC-049</x:v>
      </x:c>
    </x:row>
    <x:row r="504" ht="41" customHeight="1">
      <x:c r="A504" s="16" t="str">
        <x:v>MRG-0249</x:v>
      </x:c>
      <x:c r="B504" s="16" t="str">
        <x:v>Recommendation</x:v>
      </x:c>
      <x:c r="C504" s="16" t="str">
        <x:v>REC-0090</x:v>
      </x:c>
      <x:c r="D504" s="16" t="str">
        <x:v>Excavate all columns to the base and investigate the condition. Undertake appropriate repair stated within Section 3.</x:v>
      </x:c>
      <x:c r="E504" s="19" t="n">
        <x:v>1</x:v>
      </x:c>
      <x:c r="F504" s="16" t="str">
        <x:v>SRC-012</x:v>
      </x:c>
    </x:row>
    <x:row r="505" ht="41" customHeight="1">
      <x:c r="A505" s="16" t="str">
        <x:v>MRG-0250</x:v>
      </x:c>
      <x:c r="B505" s="16" t="str">
        <x:v>Recommendation</x:v>
      </x:c>
      <x:c r="C505" s="16" t="str">
        <x:v>REC-0054</x:v>
      </x:c>
      <x:c r="D505" s="16" t="str">
        <x:v>Clean and repaint. Excavate all fencing posts to the base and investigate the condition. Undertake appropriate repair stated within Section 3.</x:v>
      </x:c>
      <x:c r="E505" s="19" t="n">
        <x:v>1</x:v>
      </x:c>
      <x:c r="F505" s="16" t="str">
        <x:v>SRC-027</x:v>
      </x:c>
    </x:row>
    <x:row r="506" ht="41" customHeight="1">
      <x:c r="A506" s="16" t="str">
        <x:v>MRG-0250</x:v>
      </x:c>
      <x:c r="B506" s="16" t="str">
        <x:v>Recommendation</x:v>
      </x:c>
      <x:c r="C506" s="16" t="str">
        <x:v>REC-0081</x:v>
      </x:c>
      <x:c r="D506" s="16" t="str">
        <x:v>Clean, wire brush and repaint. Expose the base and investigate the condition. Undertake appropriate repair stated within Section 3.</x:v>
      </x:c>
      <x:c r="E506" s="19" t="n">
        <x:v>1</x:v>
      </x:c>
      <x:c r="F506" s="16" t="str">
        <x:v>SRC-026</x:v>
      </x:c>
    </x:row>
    <x:row r="507" ht="41" customHeight="1">
      <x:c r="A507" s="16" t="str">
        <x:v>MRG-0251</x:v>
      </x:c>
      <x:c r="B507" s="16" t="str">
        <x:v>Recommendation</x:v>
      </x:c>
      <x:c r="C507" s="16" t="str">
        <x:v>REC-0011</x:v>
      </x:c>
      <x:c r="D507" s="16" t="str">
        <x:v>Clean, wire brush and repaint. Excavate all fencing posts to the base and investigate the condition. Undertake appropriate repair stated within Section 3.</x:v>
      </x:c>
      <x:c r="E507" s="19" t="n">
        <x:v>5</x:v>
      </x:c>
      <x:c r="F507" s="16" t="str">
        <x:v>SRC-001, SRC-024, SRC-025, SRC-028, SRC-060</x:v>
      </x:c>
    </x:row>
    <x:row r="508" ht="41" customHeight="1">
      <x:c r="A508" s="16" t="str">
        <x:v>MRG-0251</x:v>
      </x:c>
      <x:c r="B508" s="16" t="str">
        <x:v>Recommendation</x:v>
      </x:c>
      <x:c r="C508" s="16" t="str">
        <x:v>REC-0056</x:v>
      </x:c>
      <x:c r="D508" s="16" t="str">
        <x:v>Clean and repaint. Expose the base and investigate the condition. Undertake appropriate repair stated within Section 3.</x:v>
      </x:c>
      <x:c r="E508" s="19" t="n">
        <x:v>1</x:v>
      </x:c>
      <x:c r="F508" s="16" t="str">
        <x:v>SRC-049</x:v>
      </x:c>
    </x:row>
    <x:row r="509" ht="41" customHeight="1">
      <x:c r="A509" s="16" t="str">
        <x:v>MRG-0252</x:v>
      </x:c>
      <x:c r="B509" s="16" t="str">
        <x:v>Recommendation</x:v>
      </x:c>
      <x:c r="C509" s="16" t="str">
        <x:v>REC-0026</x:v>
      </x:c>
      <x:c r="D509" s="16" t="str">
        <x:v>Clean, wire brush and repaint. Expose the posts base and investigate the condition. Undertake appropriate repair stated within Section 3.</x:v>
      </x:c>
      <x:c r="E509" s="19" t="n">
        <x:v>2</x:v>
      </x:c>
      <x:c r="F509" s="16" t="str">
        <x:v>SRC-010, SRC-059</x:v>
      </x:c>
    </x:row>
    <x:row r="510" ht="41" customHeight="1">
      <x:c r="A510" s="16" t="str">
        <x:v>MRG-0252</x:v>
      </x:c>
      <x:c r="B510" s="16" t="str">
        <x:v>Recommendation</x:v>
      </x:c>
      <x:c r="C510" s="16" t="str">
        <x:v>REC-0054</x:v>
      </x:c>
      <x:c r="D510" s="16" t="str">
        <x:v>Clean and repaint. Excavate all fencing posts to the base and investigate the condition. Undertake appropriate repair stated within Section 3.</x:v>
      </x:c>
      <x:c r="E510" s="19" t="n">
        <x:v>1</x:v>
      </x:c>
      <x:c r="F510" s="16" t="str">
        <x:v>SRC-027</x:v>
      </x:c>
    </x:row>
    <x:row r="511" ht="41" customHeight="1">
      <x:c r="A511" s="16" t="str">
        <x:v>MRG-0253</x:v>
      </x:c>
      <x:c r="B511" s="16" t="str">
        <x:v>Recommendation</x:v>
      </x:c>
      <x:c r="C511" s="16" t="str">
        <x:v>REC-0055</x:v>
      </x:c>
      <x:c r="D511" s="16" t="str">
        <x:v>Clean and repaint. Expose posts’ base and investigate the condition. Undertake appropriate repair stated within Section 3.</x:v>
      </x:c>
      <x:c r="E511" s="19" t="n">
        <x:v>1</x:v>
      </x:c>
      <x:c r="F511" s="16" t="str">
        <x:v>SRC-055</x:v>
      </x:c>
    </x:row>
    <x:row r="512" ht="41" customHeight="1">
      <x:c r="A512" s="16" t="str">
        <x:v>MRG-0253</x:v>
      </x:c>
      <x:c r="B512" s="16" t="str">
        <x:v>Recommendation</x:v>
      </x:c>
      <x:c r="C512" s="16" t="str">
        <x:v>REC-0079</x:v>
      </x:c>
      <x:c r="D512" s="16" t="str">
        <x:v>Clean, wire brush and repaint. Excavate and expose fencing posts and investigate the condition. Undertake appropriate repair stated within Section 3.</x:v>
      </x:c>
      <x:c r="E512" s="19" t="n">
        <x:v>1</x:v>
      </x:c>
      <x:c r="F512" s="16" t="str">
        <x:v>SRC-056</x:v>
      </x:c>
    </x:row>
    <x:row r="513" ht="41" customHeight="1">
      <x:c r="A513" s="16" t="str">
        <x:v>MRG-0254</x:v>
      </x:c>
      <x:c r="B513" s="16" t="str">
        <x:v>Recommendation</x:v>
      </x:c>
      <x:c r="C513" s="16" t="str">
        <x:v>REC-0011</x:v>
      </x:c>
      <x:c r="D513" s="16" t="str">
        <x:v>Clean, wire brush and repaint. Excavate all fencing posts to the base and investigate the condition. Undertake appropriate repair stated within Section 3.</x:v>
      </x:c>
      <x:c r="E513" s="19" t="n">
        <x:v>5</x:v>
      </x:c>
      <x:c r="F513" s="16" t="str">
        <x:v>SRC-001, SRC-024, SRC-025, SRC-028, SRC-060</x:v>
      </x:c>
    </x:row>
    <x:row r="514" ht="41" customHeight="1">
      <x:c r="A514" s="16" t="str">
        <x:v>MRG-0254</x:v>
      </x:c>
      <x:c r="B514" s="16" t="str">
        <x:v>Recommendation</x:v>
      </x:c>
      <x:c r="C514" s="16" t="str">
        <x:v>REC-0055</x:v>
      </x:c>
      <x:c r="D514" s="16" t="str">
        <x:v>Clean and repaint. Expose posts’ base and investigate the condition. Undertake appropriate repair stated within Section 3.</x:v>
      </x:c>
      <x:c r="E514" s="19" t="n">
        <x:v>1</x:v>
      </x:c>
      <x:c r="F514" s="16" t="str">
        <x:v>SRC-055</x:v>
      </x:c>
    </x:row>
    <x:row r="515" ht="41" customHeight="1">
      <x:c r="A515" s="16" t="str">
        <x:v>MRG-0255</x:v>
      </x:c>
      <x:c r="B515" s="16" t="str">
        <x:v>Recommendation</x:v>
      </x:c>
      <x:c r="C515" s="16" t="str">
        <x:v>REC-0004</x:v>
      </x:c>
      <x:c r="D515" s="16" t="str">
        <x:v>Remove salt staining.</x:v>
      </x:c>
      <x:c r="E515" s="19" t="n">
        <x:v>20</x:v>
      </x:c>
      <x:c r="F515" s="16" t="str">
        <x:v>SRC-002, SRC-005, SRC-008, SRC-011, SRC-058, SRC-059, SRC-060</x:v>
      </x:c>
    </x:row>
    <x:row r="516" ht="37" customHeight="1">
      <x:c r="A516" s="16" t="str">
        <x:v>MRG-0255</x:v>
      </x:c>
      <x:c r="B516" s="16" t="str">
        <x:v>Recommendation</x:v>
      </x:c>
      <x:c r="C516" s="16" t="str">
        <x:v>REC-0133</x:v>
      </x:c>
      <x:c r="D516" s="16" t="str">
        <x:v>Remove staining.</x:v>
      </x:c>
      <x:c r="E516" s="19" t="n">
        <x:v>1</x:v>
      </x:c>
      <x:c r="F516" s="16" t="str">
        <x:v>SRC-024</x:v>
      </x:c>
    </x:row>
    <x:row r="517" ht="41" customHeight="1">
      <x:c r="A517" s="16" t="str">
        <x:v>MRG-0256</x:v>
      </x:c>
      <x:c r="B517" s="16" t="str">
        <x:v>Recommendation</x:v>
      </x:c>
      <x:c r="C517" s="16" t="str">
        <x:v>REC-0057</x:v>
      </x:c>
      <x:c r="D517" s="16" t="str">
        <x:v>Clean and repaint. Expose the posts’ base and investigate the condition. Undertake appropriate repair stated within Section 3.1.</x:v>
      </x:c>
      <x:c r="E517" s="19" t="n">
        <x:v>1</x:v>
      </x:c>
      <x:c r="F517" s="16" t="str">
        <x:v>SRC-051</x:v>
      </x:c>
    </x:row>
    <x:row r="518" ht="41" customHeight="1">
      <x:c r="A518" s="16" t="str">
        <x:v>MRG-0256</x:v>
      </x:c>
      <x:c r="B518" s="16" t="str">
        <x:v>Recommendation</x:v>
      </x:c>
      <x:c r="C518" s="16" t="str">
        <x:v>REC-0079</x:v>
      </x:c>
      <x:c r="D518" s="16" t="str">
        <x:v>Clean, wire brush and repaint. Excavate and expose fencing posts and investigate the condition. Undertake appropriate repair stated within Section 3.</x:v>
      </x:c>
      <x:c r="E518" s="19" t="n">
        <x:v>1</x:v>
      </x:c>
      <x:c r="F518" s="16" t="str">
        <x:v>SRC-056</x:v>
      </x:c>
    </x:row>
    <x:row r="519" ht="41" customHeight="1">
      <x:c r="A519" s="16" t="str">
        <x:v>MRG-0257</x:v>
      </x:c>
      <x:c r="B519" s="16" t="str">
        <x:v>Recommendation</x:v>
      </x:c>
      <x:c r="C519" s="16" t="str">
        <x:v>REC-0065</x:v>
      </x:c>
      <x:c r="D519" s="16" t="str">
        <x:v>Clean, remove corrosion and repaint. Excavate all fencing posts to the base and investigate the condition. Undertake appropriate repair stated within Section 3.</x:v>
      </x:c>
      <x:c r="E519" s="19" t="n">
        <x:v>1</x:v>
      </x:c>
      <x:c r="F519" s="16" t="str">
        <x:v>SRC-011</x:v>
      </x:c>
    </x:row>
    <x:row r="520" ht="41" customHeight="1">
      <x:c r="A520" s="16" t="str">
        <x:v>MRG-0257</x:v>
      </x:c>
      <x:c r="B520" s="16" t="str">
        <x:v>Recommendation</x:v>
      </x:c>
      <x:c r="C520" s="16" t="str">
        <x:v>REC-0081</x:v>
      </x:c>
      <x:c r="D520" s="16" t="str">
        <x:v>Clean, wire brush and repaint. Expose the base and investigate the condition. Undertake appropriate repair stated within Section 3.</x:v>
      </x:c>
      <x:c r="E520" s="19" t="n">
        <x:v>1</x:v>
      </x:c>
      <x:c r="F520" s="16" t="str">
        <x:v>SRC-026</x:v>
      </x:c>
    </x:row>
    <x:row r="521" ht="41" customHeight="1">
      <x:c r="A521" s="16" t="str">
        <x:v>MRG-0258</x:v>
      </x:c>
      <x:c r="B521" s="16" t="str">
        <x:v>Recommendation</x:v>
      </x:c>
      <x:c r="C521" s="16" t="str">
        <x:v>REC-0011</x:v>
      </x:c>
      <x:c r="D521" s="16" t="str">
        <x:v>Clean, wire brush and repaint. Excavate all fencing posts to the base and investigate the condition. Undertake appropriate repair stated within Section 3.</x:v>
      </x:c>
      <x:c r="E521" s="19" t="n">
        <x:v>5</x:v>
      </x:c>
      <x:c r="F521" s="16" t="str">
        <x:v>SRC-001, SRC-024, SRC-025, SRC-028, SRC-060</x:v>
      </x:c>
    </x:row>
    <x:row r="522" ht="41" customHeight="1">
      <x:c r="A522" s="16" t="str">
        <x:v>MRG-0258</x:v>
      </x:c>
      <x:c r="B522" s="16" t="str">
        <x:v>Recommendation</x:v>
      </x:c>
      <x:c r="C522" s="16" t="str">
        <x:v>REC-0057</x:v>
      </x:c>
      <x:c r="D522" s="16" t="str">
        <x:v>Clean and repaint. Expose the posts’ base and investigate the condition. Undertake appropriate repair stated within Section 3.1.</x:v>
      </x:c>
      <x:c r="E522" s="19" t="n">
        <x:v>1</x:v>
      </x:c>
      <x:c r="F522" s="16" t="str">
        <x:v>SRC-051</x:v>
      </x:c>
    </x:row>
    <x:row r="523" ht="37" customHeight="1">
      <x:c r="A523" s="16" t="str">
        <x:v>MRG-0259</x:v>
      </x:c>
      <x:c r="B523" s="16" t="str">
        <x:v>Recommendation</x:v>
      </x:c>
      <x:c r="C523" s="16" t="str">
        <x:v>REC-0064</x:v>
      </x:c>
      <x:c r="D523" s="16" t="str">
        <x:v>Clean, remove corrosion and repaint rafters.</x:v>
      </x:c>
      <x:c r="E523" s="19" t="n">
        <x:v>1</x:v>
      </x:c>
      <x:c r="F523" s="16" t="str">
        <x:v>SRC-015</x:v>
      </x:c>
    </x:row>
    <x:row r="524" ht="37" customHeight="1">
      <x:c r="A524" s="16" t="str">
        <x:v>MRG-0259</x:v>
      </x:c>
      <x:c r="B524" s="16" t="str">
        <x:v>Recommendation</x:v>
      </x:c>
      <x:c r="C524" s="16" t="str">
        <x:v>REC-0068</x:v>
      </x:c>
      <x:c r="D524" s="16" t="str">
        <x:v>Clean, remove corrosion and repaint. Replace the bolts.</x:v>
      </x:c>
      <x:c r="E524" s="19" t="n">
        <x:v>1</x:v>
      </x:c>
      <x:c r="F524" s="16" t="str">
        <x:v>SRC-009</x:v>
      </x:c>
    </x:row>
    <x:row r="525" ht="41" customHeight="1">
      <x:c r="A525" s="16" t="str">
        <x:v>MRG-0260</x:v>
      </x:c>
      <x:c r="B525" s="16" t="str">
        <x:v>Recommendation</x:v>
      </x:c>
      <x:c r="C525" s="16" t="str">
        <x:v>REC-0005</x:v>
      </x:c>
      <x:c r="D525" s="16" t="str">
        <x:v>Clean, wire brush and repaint corroded areas.</x:v>
      </x:c>
      <x:c r="E525" s="19" t="n">
        <x:v>15</x:v>
      </x:c>
      <x:c r="F525" s="16" t="str">
        <x:v>SRC-011, SRC-024, SRC-026, SRC-028, SRC-050, SRC-056, SRC-060</x:v>
      </x:c>
    </x:row>
    <x:row r="526" ht="37" customHeight="1">
      <x:c r="A526" s="16" t="str">
        <x:v>MRG-0260</x:v>
      </x:c>
      <x:c r="B526" s="16" t="str">
        <x:v>Recommendation</x:v>
      </x:c>
      <x:c r="C526" s="16" t="str">
        <x:v>REC-0083</x:v>
      </x:c>
      <x:c r="D526" s="16" t="str">
        <x:v>Clean, wire brush and repaint. Replace corroded screw.</x:v>
      </x:c>
      <x:c r="E526" s="19" t="n">
        <x:v>1</x:v>
      </x:c>
      <x:c r="F526" s="16" t="str">
        <x:v>SRC-010</x:v>
      </x:c>
    </x:row>
    <x:row r="527" ht="41" customHeight="1">
      <x:c r="A527" s="16" t="str">
        <x:v>MRG-0261</x:v>
      </x:c>
      <x:c r="B527" s="16" t="str">
        <x:v>Recommendation</x:v>
      </x:c>
      <x:c r="C527" s="16" t="str">
        <x:v>REC-0026</x:v>
      </x:c>
      <x:c r="D527" s="16" t="str">
        <x:v>Clean, wire brush and repaint. Expose the posts base and investigate the condition. Undertake appropriate repair stated within Section 3.</x:v>
      </x:c>
      <x:c r="E527" s="19" t="n">
        <x:v>2</x:v>
      </x:c>
      <x:c r="F527" s="16" t="str">
        <x:v>SRC-010, SRC-059</x:v>
      </x:c>
    </x:row>
    <x:row r="528" ht="41" customHeight="1">
      <x:c r="A528" s="16" t="str">
        <x:v>MRG-0261</x:v>
      </x:c>
      <x:c r="B528" s="16" t="str">
        <x:v>Recommendation</x:v>
      </x:c>
      <x:c r="C528" s="16" t="str">
        <x:v>REC-0065</x:v>
      </x:c>
      <x:c r="D528" s="16" t="str">
        <x:v>Clean, remove corrosion and repaint. Excavate all fencing posts to the base and investigate the condition. Undertake appropriate repair stated within Section 3.</x:v>
      </x:c>
      <x:c r="E528" s="19" t="n">
        <x:v>1</x:v>
      </x:c>
      <x:c r="F528" s="16" t="str">
        <x:v>SRC-011</x:v>
      </x:c>
    </x:row>
    <x:row r="529" ht="37" customHeight="1">
      <x:c r="A529" s="16" t="str">
        <x:v>MRG-0262</x:v>
      </x:c>
      <x:c r="B529" s="16" t="str">
        <x:v>Recommendation</x:v>
      </x:c>
      <x:c r="C529" s="16" t="str">
        <x:v>REC-0025</x:v>
      </x:c>
      <x:c r="D529" s="16" t="str">
        <x:v>Clean, remove the corrosion and repaint.</x:v>
      </x:c>
      <x:c r="E529" s="19" t="n">
        <x:v>2</x:v>
      </x:c>
      <x:c r="F529" s="16" t="str">
        <x:v>SRC-080</x:v>
      </x:c>
    </x:row>
    <x:row r="530" ht="37" customHeight="1">
      <x:c r="A530" s="16" t="str">
        <x:v>MRG-0262</x:v>
      </x:c>
      <x:c r="B530" s="16" t="str">
        <x:v>Recommendation</x:v>
      </x:c>
      <x:c r="C530" s="16" t="str">
        <x:v>REC-0064</x:v>
      </x:c>
      <x:c r="D530" s="16" t="str">
        <x:v>Clean, remove corrosion and repaint rafters.</x:v>
      </x:c>
      <x:c r="E530" s="19" t="n">
        <x:v>1</x:v>
      </x:c>
      <x:c r="F530" s="16" t="str">
        <x:v>SRC-015</x:v>
      </x:c>
    </x:row>
    <x:row r="531" ht="97" customHeight="1">
      <x:c r="A531" s="16" t="str">
        <x:v>MRG-0263</x:v>
      </x:c>
      <x:c r="B531" s="16" t="str">
        <x:v>Recommendation</x:v>
      </x:c>
      <x:c r="C531" s="16" t="str">
        <x:v>REC-0001</x:v>
      </x:c>
      <x:c r="D531" s="16" t="str">
        <x:v>Clean, wire brush and repaint.</x:v>
      </x:c>
      <x:c r="E531" s="19" t="n">
        <x:v>112</x:v>
      </x:c>
      <x:c r="F531" s="16" t="str">
        <x:v>SRC-002, SRC-003, SRC-004, SRC-008, SRC-009, SRC-010, SRC-013, SRC-014, SRC-023, SRC-025, SRC-027, SRC-029, SRC-048, SRC-049, SRC-050, SRC-054, SRC-051, SRC-052, SRC-055, SRC-057, SRC-058, SRC-059, SRC-061, SRC-062, SRC-065, SRC-068, SRC-069, SRC-098, SRC-099</x:v>
      </x:c>
    </x:row>
    <x:row r="532" ht="37" customHeight="1">
      <x:c r="A532" s="16" t="str">
        <x:v>MRG-0263</x:v>
      </x:c>
      <x:c r="B532" s="16" t="str">
        <x:v>Recommendation</x:v>
      </x:c>
      <x:c r="C532" s="16" t="str">
        <x:v>REC-0074</x:v>
      </x:c>
      <x:c r="D532" s="16" t="str">
        <x:v>Clean, wire brush and repaint cap plate.</x:v>
      </x:c>
      <x:c r="E532" s="19" t="n">
        <x:v>1</x:v>
      </x:c>
      <x:c r="F532" s="16" t="str">
        <x:v>SRC-055</x:v>
      </x:c>
    </x:row>
    <x:row r="533" ht="41" customHeight="1">
      <x:c r="A533" s="16" t="str">
        <x:v>MRG-0264</x:v>
      </x:c>
      <x:c r="B533" s="16" t="str">
        <x:v>Recommendation</x:v>
      </x:c>
      <x:c r="C533" s="16" t="str">
        <x:v>REC-0056</x:v>
      </x:c>
      <x:c r="D533" s="16" t="str">
        <x:v>Clean and repaint. Expose the base and investigate the condition. Undertake appropriate repair stated within Section 3.</x:v>
      </x:c>
      <x:c r="E533" s="19" t="n">
        <x:v>1</x:v>
      </x:c>
      <x:c r="F533" s="16" t="str">
        <x:v>SRC-049</x:v>
      </x:c>
    </x:row>
    <x:row r="534" ht="41" customHeight="1">
      <x:c r="A534" s="16" t="str">
        <x:v>MRG-0264</x:v>
      </x:c>
      <x:c r="B534" s="16" t="str">
        <x:v>Recommendation</x:v>
      </x:c>
      <x:c r="C534" s="16" t="str">
        <x:v>REC-0065</x:v>
      </x:c>
      <x:c r="D534" s="16" t="str">
        <x:v>Clean, remove corrosion and repaint. Excavate all fencing posts to the base and investigate the condition. Undertake appropriate repair stated within Section 3.</x:v>
      </x:c>
      <x:c r="E534" s="19" t="n">
        <x:v>1</x:v>
      </x:c>
      <x:c r="F534" s="16" t="str">
        <x:v>SRC-011</x:v>
      </x:c>
    </x:row>
    <x:row r="535" ht="41" customHeight="1">
      <x:c r="A535" s="16" t="str">
        <x:v>MRG-0265</x:v>
      </x:c>
      <x:c r="B535" s="16" t="str">
        <x:v>Recommendation</x:v>
      </x:c>
      <x:c r="C535" s="16" t="str">
        <x:v>REC-0055</x:v>
      </x:c>
      <x:c r="D535" s="16" t="str">
        <x:v>Clean and repaint. Expose posts’ base and investigate the condition. Undertake appropriate repair stated within Section 3.</x:v>
      </x:c>
      <x:c r="E535" s="19" t="n">
        <x:v>1</x:v>
      </x:c>
      <x:c r="F535" s="16" t="str">
        <x:v>SRC-055</x:v>
      </x:c>
    </x:row>
    <x:row r="536" ht="41" customHeight="1">
      <x:c r="A536" s="16" t="str">
        <x:v>MRG-0265</x:v>
      </x:c>
      <x:c r="B536" s="16" t="str">
        <x:v>Recommendation</x:v>
      </x:c>
      <x:c r="C536" s="16" t="str">
        <x:v>REC-0091</x:v>
      </x:c>
      <x:c r="D536" s="16" t="str">
        <x:v>Excavate all fencing posts to the base and investigate the condition. Undertake appropriate repair stated within Section 3.</x:v>
      </x:c>
      <x:c r="E536" s="19" t="n">
        <x:v>1</x:v>
      </x:c>
      <x:c r="F536" s="16" t="str">
        <x:v>SRC-057</x:v>
      </x:c>
    </x:row>
    <x:row r="537" ht="41" customHeight="1">
      <x:c r="A537" s="16" t="str">
        <x:v>MRG-0266</x:v>
      </x:c>
      <x:c r="B537" s="16" t="str">
        <x:v>Recommendation</x:v>
      </x:c>
      <x:c r="C537" s="16" t="str">
        <x:v>REC-0056</x:v>
      </x:c>
      <x:c r="D537" s="16" t="str">
        <x:v>Clean and repaint. Expose the base and investigate the condition. Undertake appropriate repair stated within Section 3.</x:v>
      </x:c>
      <x:c r="E537" s="19" t="n">
        <x:v>1</x:v>
      </x:c>
      <x:c r="F537" s="16" t="str">
        <x:v>SRC-049</x:v>
      </x:c>
    </x:row>
    <x:row r="538" ht="41" customHeight="1">
      <x:c r="A538" s="16" t="str">
        <x:v>MRG-0266</x:v>
      </x:c>
      <x:c r="B538" s="16" t="str">
        <x:v>Recommendation</x:v>
      </x:c>
      <x:c r="C538" s="16" t="str">
        <x:v>REC-0079</x:v>
      </x:c>
      <x:c r="D538" s="16" t="str">
        <x:v>Clean, wire brush and repaint. Excavate and expose fencing posts and investigate the condition. Undertake appropriate repair stated within Section 3.</x:v>
      </x:c>
      <x:c r="E538" s="19" t="n">
        <x:v>1</x:v>
      </x:c>
      <x:c r="F538" s="16" t="str">
        <x:v>SRC-056</x:v>
      </x:c>
    </x:row>
    <x:row r="539" ht="41" customHeight="1">
      <x:c r="A539" s="16" t="str">
        <x:v>MRG-0267</x:v>
      </x:c>
      <x:c r="B539" s="16" t="str">
        <x:v>Observation</x:v>
      </x:c>
      <x:c r="C539" s="16" t="str">
        <x:v>OBS-0004</x:v>
      </x:c>
      <x:c r="D539" s="16" t="str">
        <x:v>Front of property. Cladding and framing in good condition.</x:v>
      </x:c>
      <x:c r="E539" s="19" t="n">
        <x:v>8</x:v>
      </x:c>
      <x:c r="F539" s="16" t="str">
        <x:v>SRC-001, SRC-003, SRC-004, SRC-011, SRC-024, SRC-026, SRC-052, SRC-056</x:v>
      </x:c>
    </x:row>
    <x:row r="540" ht="37" customHeight="1">
      <x:c r="A540" s="16" t="str">
        <x:v>MRG-0267</x:v>
      </x:c>
      <x:c r="B540" s="16" t="str">
        <x:v>Observation</x:v>
      </x:c>
      <x:c r="C540" s="16" t="str">
        <x:v>OBS-0011</x:v>
      </x:c>
      <x:c r="D540" s="16" t="str">
        <x:v>Back of property. Cladding and framing in good condition.</x:v>
      </x:c>
      <x:c r="E540" s="19" t="n">
        <x:v>4</x:v>
      </x:c>
      <x:c r="F540" s="16" t="str">
        <x:v>SRC-011, SRC-024, SRC-026, SRC-052</x:v>
      </x:c>
    </x:row>
    <x:row r="541" ht="37" customHeight="1">
      <x:c r="A541" s="16" t="str">
        <x:v>MRG-0267</x:v>
      </x:c>
      <x:c r="B541" s="16" t="str">
        <x:v>Observation</x:v>
      </x:c>
      <x:c r="C541" s="16" t="str">
        <x:v>OBS-0505</x:v>
      </x:c>
      <x:c r="D541" s="16" t="str">
        <x:v>Right hand side of property. Cladding and framing in good condition.</x:v>
      </x:c>
      <x:c r="E541" s="19" t="n">
        <x:v>1</x:v>
      </x:c>
      <x:c r="F541" s="16" t="str">
        <x:v>SRC-002</x:v>
      </x:c>
    </x:row>
    <x:row r="542" ht="41" customHeight="1">
      <x:c r="A542" s="16" t="str">
        <x:v>MRG-0268</x:v>
      </x:c>
      <x:c r="B542" s="16" t="str">
        <x:v>Observation</x:v>
      </x:c>
      <x:c r="C542" s="16" t="str">
        <x:v>OBS-0015</x:v>
      </x:c>
      <x:c r="D542" s="16" t="str">
        <x:v>Left hand side of house facing the entrance. Minor corrosion to rafters and purlins. Salt staining on purlins.</x:v>
      </x:c>
      <x:c r="E542" s="19" t="n">
        <x:v>4</x:v>
      </x:c>
      <x:c r="F542" s="16" t="str">
        <x:v>SRC-027, SRC-049, SRC-051, SRC-055</x:v>
      </x:c>
    </x:row>
    <x:row r="543" ht="41" customHeight="1">
      <x:c r="A543" s="16" t="str">
        <x:v>MRG-0268</x:v>
      </x:c>
      <x:c r="B543" s="16" t="str">
        <x:v>Observation</x:v>
      </x:c>
      <x:c r="C543" s="16" t="str">
        <x:v>OBS-0029</x:v>
      </x:c>
      <x:c r="D543" s="16" t="str">
        <x:v>Right hand side of house facing the entrance. Minor corrosion to rafters and purlins. Salt staining on purlins.</x:v>
      </x:c>
      <x:c r="E543" s="19" t="n">
        <x:v>3</x:v>
      </x:c>
      <x:c r="F543" s="16" t="str">
        <x:v>SRC-027, SRC-049, SRC-051</x:v>
      </x:c>
    </x:row>
    <x:row r="544" ht="37" customHeight="1">
      <x:c r="A544" s="16" t="str">
        <x:v>MRG-0269</x:v>
      </x:c>
      <x:c r="B544" s="16" t="str">
        <x:v>Observation</x:v>
      </x:c>
      <x:c r="C544" s="16" t="str">
        <x:v>OBS-0033</x:v>
      </x:c>
      <x:c r="D544" s="16" t="str">
        <x:v>Back wall. Cladding in good and framing condition.</x:v>
      </x:c>
      <x:c r="E544" s="19" t="n">
        <x:v>2</x:v>
      </x:c>
      <x:c r="F544" s="16" t="str">
        <x:v>SRC-003</x:v>
      </x:c>
    </x:row>
    <x:row r="545" ht="37" customHeight="1">
      <x:c r="A545" s="16" t="str">
        <x:v>MRG-0269</x:v>
      </x:c>
      <x:c r="B545" s="16" t="str">
        <x:v>Observation</x:v>
      </x:c>
      <x:c r="C545" s="16" t="str">
        <x:v>OBS-0049</x:v>
      </x:c>
      <x:c r="D545" s="16" t="str">
        <x:v>Front of property. Cladding in good and framing condition.</x:v>
      </x:c>
      <x:c r="E545" s="19" t="n">
        <x:v>2</x:v>
      </x:c>
      <x:c r="F545" s="16" t="str">
        <x:v>SRC-004, SRC-005</x:v>
      </x:c>
    </x:row>
    <x:row r="546" ht="37" customHeight="1">
      <x:c r="A546" s="16" t="str">
        <x:v>MRG-0270</x:v>
      </x:c>
      <x:c r="B546" s="16" t="str">
        <x:v>Observation</x:v>
      </x:c>
      <x:c r="C546" s="16" t="str">
        <x:v>OBS-0020</x:v>
      </x:c>
      <x:c r="D546" s="16" t="str">
        <x:v>Back of property. Corrosion around outlet pipe.</x:v>
      </x:c>
      <x:c r="E546" s="19" t="n">
        <x:v>3</x:v>
      </x:c>
      <x:c r="F546" s="16" t="str">
        <x:v>SRC-011, SRC-024, SRC-060</x:v>
      </x:c>
    </x:row>
    <x:row r="547" ht="37" customHeight="1">
      <x:c r="A547" s="16" t="str">
        <x:v>MRG-0270</x:v>
      </x:c>
      <x:c r="B547" s="16" t="str">
        <x:v>Observation</x:v>
      </x:c>
      <x:c r="C547" s="16" t="str">
        <x:v>OBS-0355</x:v>
      </x:c>
      <x:c r="D547" s="16" t="str">
        <x:v>Left hand side of property facing front entrance. Corrosion around outlet pipe.</x:v>
      </x:c>
      <x:c r="E547" s="19" t="n">
        <x:v>1</x:v>
      </x:c>
      <x:c r="F547" s="16" t="str">
        <x:v>SRC-056</x:v>
      </x:c>
    </x:row>
    <x:row r="548" ht="37" customHeight="1">
      <x:c r="A548" s="16" t="str">
        <x:v>MRG-0271</x:v>
      </x:c>
      <x:c r="B548" s="16" t="str">
        <x:v>Observation</x:v>
      </x:c>
      <x:c r="C548" s="16" t="str">
        <x:v>OBS-0278</x:v>
      </x:c>
      <x:c r="D548" s="16" t="str">
        <x:v>Front of property. Framing and cladding in good condition.</x:v>
      </x:c>
      <x:c r="E548" s="19" t="n">
        <x:v>1</x:v>
      </x:c>
      <x:c r="F548" s="16" t="str">
        <x:v>SRC-053</x:v>
      </x:c>
    </x:row>
    <x:row r="549" ht="37" customHeight="1">
      <x:c r="A549" s="16" t="str">
        <x:v>MRG-0271</x:v>
      </x:c>
      <x:c r="B549" s="16" t="str">
        <x:v>Observation</x:v>
      </x:c>
      <x:c r="C549" s="16" t="str">
        <x:v>OBS-0356</x:v>
      </x:c>
      <x:c r="D549" s="16" t="str">
        <x:v>Left hand side of property facing front entrance. Framing and cladding in good condition.</x:v>
      </x:c>
      <x:c r="E549" s="19" t="n">
        <x:v>1</x:v>
      </x:c>
      <x:c r="F549" s="16" t="str">
        <x:v>SRC-053</x:v>
      </x:c>
    </x:row>
    <x:row r="550" ht="37" customHeight="1">
      <x:c r="A550" s="16" t="str">
        <x:v>MRG-0272</x:v>
      </x:c>
      <x:c r="B550" s="16" t="str">
        <x:v>Observation</x:v>
      </x:c>
      <x:c r="C550" s="16" t="str">
        <x:v>OBS-0350</x:v>
      </x:c>
      <x:c r="D550" s="16" t="str">
        <x:v>Left hand side of house facing the entrance. Minor corrosion of purlins and rafters.</x:v>
      </x:c>
      <x:c r="E550" s="19" t="n">
        <x:v>1</x:v>
      </x:c>
      <x:c r="F550" s="16" t="str">
        <x:v>SRC-025</x:v>
      </x:c>
    </x:row>
    <x:row r="551" ht="37" customHeight="1">
      <x:c r="A551" s="16" t="str">
        <x:v>MRG-0272</x:v>
      </x:c>
      <x:c r="B551" s="16" t="str">
        <x:v>Observation</x:v>
      </x:c>
      <x:c r="C551" s="16" t="str">
        <x:v>OBS-0491</x:v>
      </x:c>
      <x:c r="D551" s="16" t="str">
        <x:v>Right hand side of house facing the entrance. Minor corrosion of purlins and rafters.</x:v>
      </x:c>
      <x:c r="E551" s="19" t="n">
        <x:v>1</x:v>
      </x:c>
      <x:c r="F551" s="16" t="str">
        <x:v>SRC-025</x:v>
      </x:c>
    </x:row>
    <x:row r="552" ht="37" customHeight="1">
      <x:c r="A552" s="16" t="str">
        <x:v>MRG-0273</x:v>
      </x:c>
      <x:c r="B552" s="16" t="str">
        <x:v>Observation</x:v>
      </x:c>
      <x:c r="C552" s="16" t="str">
        <x:v>OBS-0358</x:v>
      </x:c>
      <x:c r="D552" s="16" t="str">
        <x:v>Left hand side of property facing the front entrance. Minor corrosion of steel post.</x:v>
      </x:c>
      <x:c r="E552" s="19" t="n">
        <x:v>1</x:v>
      </x:c>
      <x:c r="F552" s="16" t="str">
        <x:v>SRC-054</x:v>
      </x:c>
    </x:row>
    <x:row r="553" ht="37" customHeight="1">
      <x:c r="A553" s="16" t="str">
        <x:v>MRG-0273</x:v>
      </x:c>
      <x:c r="B553" s="16" t="str">
        <x:v>Observation</x:v>
      </x:c>
      <x:c r="C553" s="16" t="str">
        <x:v>OBS-0502</x:v>
      </x:c>
      <x:c r="D553" s="16" t="str">
        <x:v>Right hand side of property facing the front entrance. Minor corrosion of steel post.</x:v>
      </x:c>
      <x:c r="E553" s="19" t="n">
        <x:v>1</x:v>
      </x:c>
      <x:c r="F553" s="16" t="str">
        <x:v>SRC-054</x:v>
      </x:c>
    </x:row>
    <x:row r="554" ht="37" customHeight="1">
      <x:c r="A554" s="16" t="str">
        <x:v>MRG-0274</x:v>
      </x:c>
      <x:c r="B554" s="16" t="str">
        <x:v>Observation</x:v>
      </x:c>
      <x:c r="C554" s="16" t="str">
        <x:v>OBS-0360</x:v>
      </x:c>
      <x:c r="D554" s="16" t="str">
        <x:v>Left hand side staircase. Minor cracking at joint.</x:v>
      </x:c>
      <x:c r="E554" s="19" t="n">
        <x:v>1</x:v>
      </x:c>
      <x:c r="F554" s="16" t="str">
        <x:v>SRC-096</x:v>
      </x:c>
    </x:row>
    <x:row r="555" ht="37" customHeight="1">
      <x:c r="A555" s="16" t="str">
        <x:v>MRG-0274</x:v>
      </x:c>
      <x:c r="B555" s="16" t="str">
        <x:v>Observation</x:v>
      </x:c>
      <x:c r="C555" s="16" t="str">
        <x:v>OBS-0509</x:v>
      </x:c>
      <x:c r="D555" s="16" t="str">
        <x:v>Right hand side staircase. Minor cracking at joint.</x:v>
      </x:c>
      <x:c r="E555" s="19" t="n">
        <x:v>1</x:v>
      </x:c>
      <x:c r="F555" s="16" t="str">
        <x:v>SRC-096</x:v>
      </x:c>
    </x:row>
    <x:row r="556" ht="41" customHeight="1">
      <x:c r="A556" s="16" t="str">
        <x:v>MRG-0275</x:v>
      </x:c>
      <x:c r="B556" s="16" t="str">
        <x:v>Observation</x:v>
      </x:c>
      <x:c r="C556" s="16" t="str">
        <x:v>OBS-0503</x:v>
      </x:c>
      <x:c r="D556" s="16" t="str">
        <x:v>Right hand side of property facing the front entrance. Paint deterioration and salt staining on purlins and rafters.</x:v>
      </x:c>
      <x:c r="E556" s="19" t="n">
        <x:v>1</x:v>
      </x:c>
      <x:c r="F556" s="16" t="str">
        <x:v>SRC-054</x:v>
      </x:c>
    </x:row>
    <x:row r="557" ht="41" customHeight="1">
      <x:c r="A557" s="16" t="str">
        <x:v>MRG-0275</x:v>
      </x:c>
      <x:c r="B557" s="16" t="str">
        <x:v>Observation</x:v>
      </x:c>
      <x:c r="C557" s="16" t="str">
        <x:v>OBS-0507</x:v>
      </x:c>
      <x:c r="D557" s="16" t="str">
        <x:v>Right hand side roof overhang facing front entrance. Paint deterioration and salt staining on purlins and rafters.</x:v>
      </x:c>
      <x:c r="E557" s="19" t="n">
        <x:v>1</x:v>
      </x:c>
      <x:c r="F557" s="16" t="str">
        <x:v>SRC-009</x:v>
      </x:c>
    </x:row>
    <x:row r="558" ht="37" customHeight="1">
      <x:c r="A558" s="16" t="str">
        <x:v>MRG-0276</x:v>
      </x:c>
      <x:c r="B558" s="16" t="str">
        <x:v>Observation</x:v>
      </x:c>
      <x:c r="C558" s="16" t="str">
        <x:v>OBS-0282</x:v>
      </x:c>
      <x:c r="D558" s="16" t="str">
        <x:v>Front of property. Paint deterioration.</x:v>
      </x:c>
      <x:c r="E558" s="19" t="n">
        <x:v>1</x:v>
      </x:c>
      <x:c r="F558" s="16" t="str">
        <x:v>SRC-060</x:v>
      </x:c>
    </x:row>
    <x:row r="559" ht="37" customHeight="1">
      <x:c r="A559" s="16" t="str">
        <x:v>MRG-0276</x:v>
      </x:c>
      <x:c r="B559" s="16" t="str">
        <x:v>Observation</x:v>
      </x:c>
      <x:c r="C559" s="16" t="str">
        <x:v>OBS-0361</x:v>
      </x:c>
      <x:c r="D559" s="16" t="str">
        <x:v>Left hand side verandah facing front entrance. Paint deterioration.</x:v>
      </x:c>
      <x:c r="E559" s="19" t="n">
        <x:v>1</x:v>
      </x:c>
      <x:c r="F559" s="16" t="str">
        <x:v>SRC-058</x:v>
      </x:c>
    </x:row>
    <x:row r="560" ht="37" customHeight="1">
      <x:c r="A560" s="16" t="str">
        <x:v>MRG-0277</x:v>
      </x:c>
      <x:c r="B560" s="16" t="str">
        <x:v>Observation</x:v>
      </x:c>
      <x:c r="C560" s="16" t="str">
        <x:v>OBS-0354</x:v>
      </x:c>
      <x:c r="D560" s="16" t="str">
        <x:v>Left hand side of house facing the entrance. Salt staining on purlins and rafters.</x:v>
      </x:c>
      <x:c r="E560" s="19" t="n">
        <x:v>1</x:v>
      </x:c>
      <x:c r="F560" s="16" t="str">
        <x:v>SRC-053</x:v>
      </x:c>
    </x:row>
    <x:row r="561" ht="37" customHeight="1">
      <x:c r="A561" s="16" t="str">
        <x:v>MRG-0277</x:v>
      </x:c>
      <x:c r="B561" s="16" t="str">
        <x:v>Observation</x:v>
      </x:c>
      <x:c r="C561" s="16" t="str">
        <x:v>OBS-0496</x:v>
      </x:c>
      <x:c r="D561" s="16" t="str">
        <x:v>Right hand side of house facing the entrance. Salt staining on purlins and rafters.</x:v>
      </x:c>
      <x:c r="E561" s="19" t="n">
        <x:v>1</x:v>
      </x:c>
      <x:c r="F561" s="16" t="str">
        <x:v>SRC-053</x:v>
      </x:c>
    </x:row>
    <x:row r="562" ht="37" customHeight="1">
      <x:c r="A562" s="16" t="str">
        <x:v>MRG-0278</x:v>
      </x:c>
      <x:c r="B562" s="16" t="str">
        <x:v>Observation</x:v>
      </x:c>
      <x:c r="C562" s="16" t="str">
        <x:v>OBS-0359</x:v>
      </x:c>
      <x:c r="D562" s="16" t="str">
        <x:v>Left hand side staircase facing front entrance. Spalling and exposed reinforcement.</x:v>
      </x:c>
      <x:c r="E562" s="19" t="n">
        <x:v>1</x:v>
      </x:c>
      <x:c r="F562" s="16" t="str">
        <x:v>SRC-096</x:v>
      </x:c>
    </x:row>
    <x:row r="563" ht="37" customHeight="1">
      <x:c r="A563" s="16" t="str">
        <x:v>MRG-0278</x:v>
      </x:c>
      <x:c r="B563" s="16" t="str">
        <x:v>Observation</x:v>
      </x:c>
      <x:c r="C563" s="16" t="str">
        <x:v>OBS-0487</x:v>
      </x:c>
      <x:c r="D563" s="16" t="str">
        <x:v>Right hand side of back balcony facing front entrance. Spalling and exposed reinforcement.</x:v>
      </x:c>
      <x:c r="E563" s="19" t="n">
        <x:v>1</x:v>
      </x:c>
      <x:c r="F563" s="16" t="str">
        <x:v>SRC-096</x:v>
      </x:c>
    </x:row>
    <x:row r="564" ht="37" customHeight="1">
      <x:c r="A564" s="16" t="str">
        <x:v>MRG-0279</x:v>
      </x:c>
      <x:c r="B564" s="16" t="str">
        <x:v>Observation</x:v>
      </x:c>
      <x:c r="C564" s="16" t="str">
        <x:v>OBS-0367</x:v>
      </x:c>
      <x:c r="D564" s="16" t="str">
        <x:v>Left-hand side facing front of house. Tek screws and flange of top-hat corroded away.</x:v>
      </x:c>
      <x:c r="E564" s="19" t="n">
        <x:v>1</x:v>
      </x:c>
      <x:c r="F564" s="16" t="str">
        <x:v>SRC-015</x:v>
      </x:c>
    </x:row>
    <x:row r="565" ht="37" customHeight="1">
      <x:c r="A565" s="16" t="str">
        <x:v>MRG-0279</x:v>
      </x:c>
      <x:c r="B565" s="16" t="str">
        <x:v>Observation</x:v>
      </x:c>
      <x:c r="C565" s="16" t="str">
        <x:v>OBS-0511</x:v>
      </x:c>
      <x:c r="D565" s="16" t="str">
        <x:v>Right-hand side corner facing back wall of house. Tek screws and flange of top-hat corroded away.</x:v>
      </x:c>
      <x:c r="E565" s="19" t="n">
        <x:v>1</x:v>
      </x:c>
      <x:c r="F565" s="16" t="str">
        <x:v>SRC-015</x:v>
      </x:c>
    </x:row>
    <x:row r="566" ht="41" customHeight="1">
      <x:c r="A566" s="16" t="str">
        <x:v>MRG-0280</x:v>
      </x:c>
      <x:c r="B566" s="16" t="str">
        <x:v>Recommendation</x:v>
      </x:c>
      <x:c r="C566" s="16" t="str">
        <x:v>REC-0004</x:v>
      </x:c>
      <x:c r="D566" s="16" t="str">
        <x:v>Remove salt staining.</x:v>
      </x:c>
      <x:c r="E566" s="19" t="n">
        <x:v>20</x:v>
      </x:c>
      <x:c r="F566" s="16" t="str">
        <x:v>SRC-002, SRC-005, SRC-008, SRC-011, SRC-058, SRC-059, SRC-060</x:v>
      </x:c>
    </x:row>
    <x:row r="567" ht="41" customHeight="1">
      <x:c r="A567" s="16" t="str">
        <x:v>MRG-0280</x:v>
      </x:c>
      <x:c r="B567" s="16" t="str">
        <x:v>Recommendation</x:v>
      </x:c>
      <x:c r="C567" s="16" t="str">
        <x:v>REC-0008</x:v>
      </x:c>
      <x:c r="D567" s="16" t="str">
        <x:v>Clean off salt staining.</x:v>
      </x:c>
      <x:c r="E567" s="19" t="n">
        <x:v>8</x:v>
      </x:c>
      <x:c r="F567" s="16" t="str">
        <x:v>SRC-011, SRC-024, SRC-026, SRC-052, SRC-056, SRC-060</x:v>
      </x:c>
    </x:row>
    <x:row r="568" ht="37" customHeight="1">
      <x:c r="A568" s="16" t="str">
        <x:v>MRG-0280</x:v>
      </x:c>
      <x:c r="B568" s="16" t="str">
        <x:v>Recommendation</x:v>
      </x:c>
      <x:c r="C568" s="16" t="str">
        <x:v>REC-0009</x:v>
      </x:c>
      <x:c r="D568" s="16" t="str">
        <x:v>Clean salt staining.</x:v>
      </x:c>
      <x:c r="E568" s="19" t="n">
        <x:v>6</x:v>
      </x:c>
      <x:c r="F568" s="16" t="str">
        <x:v>SRC-001, SRC-028, SRC-050</x:v>
      </x:c>
    </x:row>
    <x:row r="569" ht="97" customHeight="1">
      <x:c r="A569" s="16" t="str">
        <x:v>MRG-0281</x:v>
      </x:c>
      <x:c r="B569" s="16" t="str">
        <x:v>Recommendation</x:v>
      </x:c>
      <x:c r="C569" s="16" t="str">
        <x:v>REC-0001</x:v>
      </x:c>
      <x:c r="D569" s="16" t="str">
        <x:v>Clean, wire brush and repaint.</x:v>
      </x:c>
      <x:c r="E569" s="19" t="n">
        <x:v>112</x:v>
      </x:c>
      <x:c r="F569" s="16" t="str">
        <x:v>SRC-002, SRC-003, SRC-004, SRC-008, SRC-009, SRC-010, SRC-013, SRC-014, SRC-023, SRC-025, SRC-027, SRC-029, SRC-048, SRC-049, SRC-050, SRC-054, SRC-051, SRC-052, SRC-055, SRC-057, SRC-058, SRC-059, SRC-061, SRC-062, SRC-065, SRC-068, SRC-069, SRC-098, SRC-099</x:v>
      </x:c>
    </x:row>
    <x:row r="570" ht="41" customHeight="1">
      <x:c r="A570" s="16" t="str">
        <x:v>MRG-0281</x:v>
      </x:c>
      <x:c r="B570" s="16" t="str">
        <x:v>Recommendation</x:v>
      </x:c>
      <x:c r="C570" s="16" t="str">
        <x:v>REC-0011</x:v>
      </x:c>
      <x:c r="D570" s="16" t="str">
        <x:v>Clean, wire brush and repaint. Excavate all fencing posts to the base and investigate the condition. Undertake appropriate repair stated within Section 3.</x:v>
      </x:c>
      <x:c r="E570" s="19" t="n">
        <x:v>5</x:v>
      </x:c>
      <x:c r="F570" s="16" t="str">
        <x:v>SRC-001, SRC-024, SRC-025, SRC-028, SRC-060</x:v>
      </x:c>
    </x:row>
    <x:row r="571" ht="41" customHeight="1">
      <x:c r="A571" s="16" t="str">
        <x:v>MRG-0281</x:v>
      </x:c>
      <x:c r="B571" s="16" t="str">
        <x:v>Recommendation</x:v>
      </x:c>
      <x:c r="C571" s="16" t="str">
        <x:v>REC-0026</x:v>
      </x:c>
      <x:c r="D571" s="16" t="str">
        <x:v>Clean, wire brush and repaint. Expose the posts base and investigate the condition. Undertake appropriate repair stated within Section 3.</x:v>
      </x:c>
      <x:c r="E571" s="19" t="n">
        <x:v>2</x:v>
      </x:c>
      <x:c r="F571" s="16" t="str">
        <x:v>SRC-010, SRC-059</x:v>
      </x:c>
    </x:row>
    <x:row r="572" ht="41" customHeight="1">
      <x:c r="A572" s="16" t="str">
        <x:v>MRG-0281</x:v>
      </x:c>
      <x:c r="B572" s="16" t="str">
        <x:v>Recommendation</x:v>
      </x:c>
      <x:c r="C572" s="16" t="str">
        <x:v>REC-0079</x:v>
      </x:c>
      <x:c r="D572" s="16" t="str">
        <x:v>Clean, wire brush and repaint. Excavate and expose fencing posts and investigate the condition. Undertake appropriate repair stated within Section 3.</x:v>
      </x:c>
      <x:c r="E572" s="19" t="n">
        <x:v>1</x:v>
      </x:c>
      <x:c r="F572" s="16" t="str">
        <x:v>SRC-056</x:v>
      </x:c>
    </x:row>
    <x:row r="573" ht="41" customHeight="1">
      <x:c r="A573" s="16" t="str">
        <x:v>MRG-0281</x:v>
      </x:c>
      <x:c r="B573" s="16" t="str">
        <x:v>Recommendation</x:v>
      </x:c>
      <x:c r="C573" s="16" t="str">
        <x:v>REC-0080</x:v>
      </x:c>
      <x:c r="D573" s="16" t="str">
        <x:v>Clean, wire brush and repaint. Expose fencing posts’ base and investigate the condition. Undertake appropriate repair stated within Section 3.</x:v>
      </x:c>
      <x:c r="E573" s="19" t="n">
        <x:v>1</x:v>
      </x:c>
      <x:c r="F573" s="16" t="str">
        <x:v>SRC-023</x:v>
      </x:c>
    </x:row>
    <x:row r="574" ht="41" customHeight="1">
      <x:c r="A574" s="16" t="str">
        <x:v>MRG-0281</x:v>
      </x:c>
      <x:c r="B574" s="16" t="str">
        <x:v>Recommendation</x:v>
      </x:c>
      <x:c r="C574" s="16" t="str">
        <x:v>REC-0081</x:v>
      </x:c>
      <x:c r="D574" s="16" t="str">
        <x:v>Clean, wire brush and repaint. Expose the base and investigate the condition. Undertake appropriate repair stated within Section 3.</x:v>
      </x:c>
      <x:c r="E574" s="19" t="n">
        <x:v>1</x:v>
      </x:c>
      <x:c r="F574" s="16" t="str">
        <x:v>SRC-026</x:v>
      </x:c>
    </x:row>
    <x:row r="575" ht="37" customHeight="1">
      <x:c r="A575" s="16" t="str">
        <x:v>MRG-0281</x:v>
      </x:c>
      <x:c r="B575" s="16" t="str">
        <x:v>Recommendation</x:v>
      </x:c>
      <x:c r="C575" s="16" t="str">
        <x:v>REC-0082</x:v>
      </x:c>
      <x:c r="D575" s="16" t="str">
        <x:v>Clean, wire brush and repaint. Reattach flashing plate.</x:v>
      </x:c>
      <x:c r="E575" s="19" t="n">
        <x:v>1</x:v>
      </x:c>
      <x:c r="F575" s="16" t="str">
        <x:v>SRC-010</x:v>
      </x:c>
    </x:row>
    <x:row r="576" ht="37" customHeight="1">
      <x:c r="A576" s="16" t="str">
        <x:v>MRG-0281</x:v>
      </x:c>
      <x:c r="B576" s="16" t="str">
        <x:v>Recommendation</x:v>
      </x:c>
      <x:c r="C576" s="16" t="str">
        <x:v>REC-0083</x:v>
      </x:c>
      <x:c r="D576" s="16" t="str">
        <x:v>Clean, wire brush and repaint. Replace corroded screw.</x:v>
      </x:c>
      <x:c r="E576" s="19" t="n">
        <x:v>1</x:v>
      </x:c>
      <x:c r="F576" s="16" t="str">
        <x:v>SRC-010</x:v>
      </x:c>
    </x:row>
    <x:row r="577" ht="37" customHeight="1">
      <x:c r="A577" s="16" t="str">
        <x:v>MRG-0281</x:v>
      </x:c>
      <x:c r="B577" s="16" t="str">
        <x:v>Recommendation</x:v>
      </x:c>
      <x:c r="C577" s="16" t="str">
        <x:v>REC-0092</x:v>
      </x:c>
      <x:c r="D577" s="16" t="str">
        <x:v>Excavate to base and investigate corrosion. Clean, wire brush and repaint.</x:v>
      </x:c>
      <x:c r="E577" s="19" t="n">
        <x:v>1</x:v>
      </x:c>
      <x:c r="F577" s="16" t="str">
        <x:v>SRC-048</x:v>
      </x:c>
    </x:row>
    <x:row r="578" ht="41" customHeight="1">
      <x:c r="A578" s="16" t="str">
        <x:v>MRG-0282</x:v>
      </x:c>
      <x:c r="B578" s="16" t="str">
        <x:v>Recommendation</x:v>
      </x:c>
      <x:c r="C578" s="16" t="str">
        <x:v>REC-0002</x:v>
      </x:c>
      <x:c r="D578" s="16" t="str">
        <x:v>Clean, remove corrosion and repaint.</x:v>
      </x:c>
      <x:c r="E578" s="19" t="n">
        <x:v>77</x:v>
      </x:c>
      <x:c r="F578" s="16" t="str">
        <x:v>SRC-006, SRC-009, SRC-012, SRC-015, SRC-055, SRC-063, SRC-071, SRC-092, SRC-094, SRC-100</x:v>
      </x:c>
    </x:row>
    <x:row r="579" ht="41" customHeight="1">
      <x:c r="A579" s="16" t="str">
        <x:v>MRG-0282</x:v>
      </x:c>
      <x:c r="B579" s="16" t="str">
        <x:v>Recommendation</x:v>
      </x:c>
      <x:c r="C579" s="16" t="str">
        <x:v>REC-0045</x:v>
      </x:c>
      <x:c r="D579" s="16" t="str">
        <x:v>All columns to be excavated 300 mm below ground level to investigate corrosion. Clean, remove corrosion and repaint.</x:v>
      </x:c>
      <x:c r="E579" s="19" t="n">
        <x:v>1</x:v>
      </x:c>
      <x:c r="F579" s="16" t="str">
        <x:v>SRC-092</x:v>
      </x:c>
    </x:row>
    <x:row r="580" ht="41" customHeight="1">
      <x:c r="A580" s="16" t="str">
        <x:v>MRG-0282</x:v>
      </x:c>
      <x:c r="B580" s="16" t="str">
        <x:v>Recommendation</x:v>
      </x:c>
      <x:c r="C580" s="16" t="str">
        <x:v>REC-0065</x:v>
      </x:c>
      <x:c r="D580" s="16" t="str">
        <x:v>Clean, remove corrosion and repaint. Excavate all fencing posts to the base and investigate the condition. Undertake appropriate repair stated within Section 3.</x:v>
      </x:c>
      <x:c r="E580" s="19" t="n">
        <x:v>1</x:v>
      </x:c>
      <x:c r="F580" s="16" t="str">
        <x:v>SRC-011</x:v>
      </x:c>
    </x:row>
    <x:row r="581" ht="37" customHeight="1">
      <x:c r="A581" s="16" t="str">
        <x:v>MRG-0282</x:v>
      </x:c>
      <x:c r="B581" s="16" t="str">
        <x:v>Recommendation</x:v>
      </x:c>
      <x:c r="C581" s="16" t="str">
        <x:v>REC-0066</x:v>
      </x:c>
      <x:c r="D581" s="16" t="str">
        <x:v>Clean, remove corrosion and repaint. If most of the steel has rusted, then replacement is required.</x:v>
      </x:c>
      <x:c r="E581" s="19" t="n">
        <x:v>1</x:v>
      </x:c>
      <x:c r="F581" s="16" t="str">
        <x:v>SRC-100</x:v>
      </x:c>
    </x:row>
    <x:row r="582" ht="37" customHeight="1">
      <x:c r="A582" s="16" t="str">
        <x:v>MRG-0282</x:v>
      </x:c>
      <x:c r="B582" s="16" t="str">
        <x:v>Recommendation</x:v>
      </x:c>
      <x:c r="C582" s="16" t="str">
        <x:v>REC-0067</x:v>
      </x:c>
      <x:c r="D582" s="16" t="str">
        <x:v>Clean, remove corrosion and repaint. Replace failed steel tube.</x:v>
      </x:c>
      <x:c r="E582" s="19" t="n">
        <x:v>1</x:v>
      </x:c>
      <x:c r="F582" s="16" t="str">
        <x:v>SRC-071</x:v>
      </x:c>
    </x:row>
    <x:row r="583" ht="37" customHeight="1">
      <x:c r="A583" s="16" t="str">
        <x:v>MRG-0282</x:v>
      </x:c>
      <x:c r="B583" s="16" t="str">
        <x:v>Recommendation</x:v>
      </x:c>
      <x:c r="C583" s="16" t="str">
        <x:v>REC-0068</x:v>
      </x:c>
      <x:c r="D583" s="16" t="str">
        <x:v>Clean, remove corrosion and repaint. Replace the bolts.</x:v>
      </x:c>
      <x:c r="E583" s="19" t="n">
        <x:v>1</x:v>
      </x:c>
      <x:c r="F583" s="16" t="str">
        <x:v>SRC-009</x:v>
      </x:c>
    </x:row>
    <x:row r="584" ht="37" customHeight="1">
      <x:c r="A584" s="16" t="str">
        <x:v>MRG-0282</x:v>
      </x:c>
      <x:c r="B584" s="16" t="str">
        <x:v>Recommendation</x:v>
      </x:c>
      <x:c r="C584" s="16" t="str">
        <x:v>REC-0093</x:v>
      </x:c>
      <x:c r="D584" s="16" t="str">
        <x:v>Excavate to the base and investigate corrosion. Clean, remove corrosion and repaint.</x:v>
      </x:c>
      <x:c r="E584" s="19" t="n">
        <x:v>1</x:v>
      </x:c>
      <x:c r="F584" s="16" t="str">
        <x:v>SRC-009</x:v>
      </x:c>
    </x:row>
    <x:row r="585" ht="37" customHeight="1">
      <x:c r="A585" s="16" t="str">
        <x:v>MRG-0282</x:v>
      </x:c>
      <x:c r="B585" s="16" t="str">
        <x:v>Recommendation</x:v>
      </x:c>
      <x:c r="C585" s="16" t="str">
        <x:v>REC-0094</x:v>
      </x:c>
      <x:c r="D585" s="16" t="str">
        <x:v>Excavate to the base of all fencing posts. Clean, remove corrosion and repaint.</x:v>
      </x:c>
      <x:c r="E585" s="19" t="n">
        <x:v>1</x:v>
      </x:c>
      <x:c r="F585" s="16" t="str">
        <x:v>SRC-063</x:v>
      </x:c>
    </x:row>
    <x:row r="586" ht="37" customHeight="1">
      <x:c r="A586" s="16" t="str">
        <x:v>MRG-0282</x:v>
      </x:c>
      <x:c r="B586" s="16" t="str">
        <x:v>Recommendation</x:v>
      </x:c>
      <x:c r="C586" s="16" t="str">
        <x:v>REC-0096</x:v>
      </x:c>
      <x:c r="D586" s="16" t="str">
        <x:v>Excavate until base of strut is reached. Clean, remove corrosion and repaint.</x:v>
      </x:c>
      <x:c r="E586" s="19" t="n">
        <x:v>1</x:v>
      </x:c>
      <x:c r="F586" s="16" t="str">
        <x:v>SRC-063</x:v>
      </x:c>
    </x:row>
    <x:row r="587" ht="41" customHeight="1">
      <x:c r="A587" s="16" t="str">
        <x:v>MRG-0282</x:v>
      </x:c>
      <x:c r="B587" s="16" t="str">
        <x:v>Recommendation</x:v>
      </x:c>
      <x:c r="C587" s="16" t="str">
        <x:v>REC-0107</x:v>
      </x:c>
      <x:c r="D587" s="16" t="str">
        <x:v>Investigate whether any equipment with shed is leaking and accelerating corrosion. Clean, remove corrosion and repaint.</x:v>
      </x:c>
      <x:c r="E587" s="19" t="n">
        <x:v>1</x:v>
      </x:c>
      <x:c r="F587" s="16" t="str">
        <x:v>SRC-009</x:v>
      </x:c>
    </x:row>
    <x:row r="588" ht="41" customHeight="1">
      <x:c r="A588" s="16" t="str">
        <x:v>MRG-0283</x:v>
      </x:c>
      <x:c r="B588" s="16" t="str">
        <x:v>Recommendation</x:v>
      </x:c>
      <x:c r="C588" s="16" t="str">
        <x:v>REC-0005</x:v>
      </x:c>
      <x:c r="D588" s="16" t="str">
        <x:v>Clean, wire brush and repaint corroded areas.</x:v>
      </x:c>
      <x:c r="E588" s="19" t="n">
        <x:v>15</x:v>
      </x:c>
      <x:c r="F588" s="16" t="str">
        <x:v>SRC-011, SRC-024, SRC-026, SRC-028, SRC-050, SRC-056, SRC-060</x:v>
      </x:c>
    </x:row>
    <x:row r="589" ht="37" customHeight="1">
      <x:c r="A589" s="16" t="str">
        <x:v>MRG-0283</x:v>
      </x:c>
      <x:c r="B589" s="16" t="str">
        <x:v>Recommendation</x:v>
      </x:c>
      <x:c r="C589" s="16" t="str">
        <x:v>REC-0075</x:v>
      </x:c>
      <x:c r="D589" s="16" t="str">
        <x:v>Clean, wire brush and repaint corroded areas. Clean salt staining.</x:v>
      </x:c>
      <x:c r="E589" s="19" t="n">
        <x:v>1</x:v>
      </x:c>
      <x:c r="F589" s="16" t="str">
        <x:v>SRC-024</x:v>
      </x:c>
    </x:row>
    <x:row r="590" ht="41" customHeight="1">
      <x:c r="A590" s="16" t="str">
        <x:v>MRG-0283</x:v>
      </x:c>
      <x:c r="B590" s="16" t="str">
        <x:v>Recommendation</x:v>
      </x:c>
      <x:c r="C590" s="16" t="str">
        <x:v>REC-0109</x:v>
      </x:c>
      <x:c r="D590" s="16" t="str">
        <x:v>Investigate whether ridge flashing has been correctly installed. Clean, wire brush and repaint corroded areas.</x:v>
      </x:c>
      <x:c r="E590" s="19" t="n">
        <x:v>1</x:v>
      </x:c>
      <x:c r="F590" s="16" t="str">
        <x:v>SRC-024</x:v>
      </x:c>
    </x:row>
    <x:row r="591" ht="41" customHeight="1">
      <x:c r="A591" s="16" t="str">
        <x:v>MRG-0284</x:v>
      </x:c>
      <x:c r="B591" s="16" t="str">
        <x:v>Recommendation</x:v>
      </x:c>
      <x:c r="C591" s="16" t="str">
        <x:v>REC-0006</x:v>
      </x:c>
      <x:c r="D591" s="16" t="str">
        <x:v>Clean and repaint.</x:v>
      </x:c>
      <x:c r="E591" s="19" t="n">
        <x:v>11</x:v>
      </x:c>
      <x:c r="F591" s="16" t="str">
        <x:v>SRC-002, SRC-009, SRC-024, SRC-054, SRC-055, SRC-056, SRC-058, SRC-063</x:v>
      </x:c>
    </x:row>
    <x:row r="592" ht="41" customHeight="1">
      <x:c r="A592" s="16" t="str">
        <x:v>MRG-0284</x:v>
      </x:c>
      <x:c r="B592" s="16" t="str">
        <x:v>Recommendation</x:v>
      </x:c>
      <x:c r="C592" s="16" t="str">
        <x:v>REC-0054</x:v>
      </x:c>
      <x:c r="D592" s="16" t="str">
        <x:v>Clean and repaint. Excavate all fencing posts to the base and investigate the condition. Undertake appropriate repair stated within Section 3.</x:v>
      </x:c>
      <x:c r="E592" s="19" t="n">
        <x:v>1</x:v>
      </x:c>
      <x:c r="F592" s="16" t="str">
        <x:v>SRC-027</x:v>
      </x:c>
    </x:row>
    <x:row r="593" ht="41" customHeight="1">
      <x:c r="A593" s="16" t="str">
        <x:v>MRG-0284</x:v>
      </x:c>
      <x:c r="B593" s="16" t="str">
        <x:v>Recommendation</x:v>
      </x:c>
      <x:c r="C593" s="16" t="str">
        <x:v>REC-0055</x:v>
      </x:c>
      <x:c r="D593" s="16" t="str">
        <x:v>Clean and repaint. Expose posts’ base and investigate the condition. Undertake appropriate repair stated within Section 3.</x:v>
      </x:c>
      <x:c r="E593" s="19" t="n">
        <x:v>1</x:v>
      </x:c>
      <x:c r="F593" s="16" t="str">
        <x:v>SRC-055</x:v>
      </x:c>
    </x:row>
    <x:row r="594" ht="41" customHeight="1">
      <x:c r="A594" s="16" t="str">
        <x:v>MRG-0284</x:v>
      </x:c>
      <x:c r="B594" s="16" t="str">
        <x:v>Recommendation</x:v>
      </x:c>
      <x:c r="C594" s="16" t="str">
        <x:v>REC-0056</x:v>
      </x:c>
      <x:c r="D594" s="16" t="str">
        <x:v>Clean and repaint. Expose the base and investigate the condition. Undertake appropriate repair stated within Section 3.</x:v>
      </x:c>
      <x:c r="E594" s="19" t="n">
        <x:v>1</x:v>
      </x:c>
      <x:c r="F594" s="16" t="str">
        <x:v>SRC-049</x:v>
      </x:c>
    </x:row>
    <x:row r="595" ht="41" customHeight="1">
      <x:c r="A595" s="16" t="str">
        <x:v>MRG-0284</x:v>
      </x:c>
      <x:c r="B595" s="16" t="str">
        <x:v>Recommendation</x:v>
      </x:c>
      <x:c r="C595" s="16" t="str">
        <x:v>REC-0057</x:v>
      </x:c>
      <x:c r="D595" s="16" t="str">
        <x:v>Clean and repaint. Expose the posts’ base and investigate the condition. Undertake appropriate repair stated within Section 3.1.</x:v>
      </x:c>
      <x:c r="E595" s="19" t="n">
        <x:v>1</x:v>
      </x:c>
      <x:c r="F595" s="16" t="str">
        <x:v>SRC-051</x:v>
      </x:c>
    </x:row>
    <x:row r="596" ht="37" customHeight="1">
      <x:c r="A596" s="16" t="str">
        <x:v>MRG-0284</x:v>
      </x:c>
      <x:c r="B596" s="16" t="str">
        <x:v>Recommendation</x:v>
      </x:c>
      <x:c r="C596" s="16" t="str">
        <x:v>REC-0095</x:v>
      </x:c>
      <x:c r="D596" s="16" t="str">
        <x:v>Excavate until base is reached. Clean and repaint.</x:v>
      </x:c>
      <x:c r="E596" s="19" t="n">
        <x:v>1</x:v>
      </x:c>
      <x:c r="F596" s="16" t="str">
        <x:v>SRC-063</x:v>
      </x:c>
    </x:row>
    <x:row r="597" ht="41" customHeight="1">
      <x:c r="A597" s="16" t="str">
        <x:v>MRG-0285</x:v>
      </x:c>
      <x:c r="B597" s="16" t="str">
        <x:v>Recommendation</x:v>
      </x:c>
      <x:c r="C597" s="16" t="str">
        <x:v>REC-0011</x:v>
      </x:c>
      <x:c r="D597" s="16" t="str">
        <x:v>Clean, wire brush and repaint. Excavate all fencing posts to the base and investigate the condition. Undertake appropriate repair stated within Section 3.</x:v>
      </x:c>
      <x:c r="E597" s="19" t="n">
        <x:v>5</x:v>
      </x:c>
      <x:c r="F597" s="16" t="str">
        <x:v>SRC-001, SRC-024, SRC-025, SRC-028, SRC-060</x:v>
      </x:c>
    </x:row>
    <x:row r="598" ht="41" customHeight="1">
      <x:c r="A598" s="16" t="str">
        <x:v>MRG-0285</x:v>
      </x:c>
      <x:c r="B598" s="16" t="str">
        <x:v>Recommendation</x:v>
      </x:c>
      <x:c r="C598" s="16" t="str">
        <x:v>REC-0026</x:v>
      </x:c>
      <x:c r="D598" s="16" t="str">
        <x:v>Clean, wire brush and repaint. Expose the posts base and investigate the condition. Undertake appropriate repair stated within Section 3.</x:v>
      </x:c>
      <x:c r="E598" s="19" t="n">
        <x:v>2</x:v>
      </x:c>
      <x:c r="F598" s="16" t="str">
        <x:v>SRC-010, SRC-059</x:v>
      </x:c>
    </x:row>
    <x:row r="599" ht="41" customHeight="1">
      <x:c r="A599" s="16" t="str">
        <x:v>MRG-0285</x:v>
      </x:c>
      <x:c r="B599" s="16" t="str">
        <x:v>Recommendation</x:v>
      </x:c>
      <x:c r="C599" s="16" t="str">
        <x:v>REC-0054</x:v>
      </x:c>
      <x:c r="D599" s="16" t="str">
        <x:v>Clean and repaint. Excavate all fencing posts to the base and investigate the condition. Undertake appropriate repair stated within Section 3.</x:v>
      </x:c>
      <x:c r="E599" s="19" t="n">
        <x:v>1</x:v>
      </x:c>
      <x:c r="F599" s="16" t="str">
        <x:v>SRC-027</x:v>
      </x:c>
    </x:row>
    <x:row r="600" ht="41" customHeight="1">
      <x:c r="A600" s="16" t="str">
        <x:v>MRG-0285</x:v>
      </x:c>
      <x:c r="B600" s="16" t="str">
        <x:v>Recommendation</x:v>
      </x:c>
      <x:c r="C600" s="16" t="str">
        <x:v>REC-0055</x:v>
      </x:c>
      <x:c r="D600" s="16" t="str">
        <x:v>Clean and repaint. Expose posts’ base and investigate the condition. Undertake appropriate repair stated within Section 3.</x:v>
      </x:c>
      <x:c r="E600" s="19" t="n">
        <x:v>1</x:v>
      </x:c>
      <x:c r="F600" s="16" t="str">
        <x:v>SRC-055</x:v>
      </x:c>
    </x:row>
    <x:row r="601" ht="41" customHeight="1">
      <x:c r="A601" s="16" t="str">
        <x:v>MRG-0285</x:v>
      </x:c>
      <x:c r="B601" s="16" t="str">
        <x:v>Recommendation</x:v>
      </x:c>
      <x:c r="C601" s="16" t="str">
        <x:v>REC-0056</x:v>
      </x:c>
      <x:c r="D601" s="16" t="str">
        <x:v>Clean and repaint. Expose the base and investigate the condition. Undertake appropriate repair stated within Section 3.</x:v>
      </x:c>
      <x:c r="E601" s="19" t="n">
        <x:v>1</x:v>
      </x:c>
      <x:c r="F601" s="16" t="str">
        <x:v>SRC-049</x:v>
      </x:c>
    </x:row>
    <x:row r="602" ht="41" customHeight="1">
      <x:c r="A602" s="16" t="str">
        <x:v>MRG-0285</x:v>
      </x:c>
      <x:c r="B602" s="16" t="str">
        <x:v>Recommendation</x:v>
      </x:c>
      <x:c r="C602" s="16" t="str">
        <x:v>REC-0065</x:v>
      </x:c>
      <x:c r="D602" s="16" t="str">
        <x:v>Clean, remove corrosion and repaint. Excavate all fencing posts to the base and investigate the condition. Undertake appropriate repair stated within Section 3.</x:v>
      </x:c>
      <x:c r="E602" s="19" t="n">
        <x:v>1</x:v>
      </x:c>
      <x:c r="F602" s="16" t="str">
        <x:v>SRC-011</x:v>
      </x:c>
    </x:row>
    <x:row r="603" ht="41" customHeight="1">
      <x:c r="A603" s="16" t="str">
        <x:v>MRG-0285</x:v>
      </x:c>
      <x:c r="B603" s="16" t="str">
        <x:v>Recommendation</x:v>
      </x:c>
      <x:c r="C603" s="16" t="str">
        <x:v>REC-0079</x:v>
      </x:c>
      <x:c r="D603" s="16" t="str">
        <x:v>Clean, wire brush and repaint. Excavate and expose fencing posts and investigate the condition. Undertake appropriate repair stated within Section 3.</x:v>
      </x:c>
      <x:c r="E603" s="19" t="n">
        <x:v>1</x:v>
      </x:c>
      <x:c r="F603" s="16" t="str">
        <x:v>SRC-056</x:v>
      </x:c>
    </x:row>
    <x:row r="604" ht="41" customHeight="1">
      <x:c r="A604" s="16" t="str">
        <x:v>MRG-0285</x:v>
      </x:c>
      <x:c r="B604" s="16" t="str">
        <x:v>Recommendation</x:v>
      </x:c>
      <x:c r="C604" s="16" t="str">
        <x:v>REC-0080</x:v>
      </x:c>
      <x:c r="D604" s="16" t="str">
        <x:v>Clean, wire brush and repaint. Expose fencing posts’ base and investigate the condition. Undertake appropriate repair stated within Section 3.</x:v>
      </x:c>
      <x:c r="E604" s="19" t="n">
        <x:v>1</x:v>
      </x:c>
      <x:c r="F604" s="16" t="str">
        <x:v>SRC-023</x:v>
      </x:c>
    </x:row>
    <x:row r="605" ht="41" customHeight="1">
      <x:c r="A605" s="16" t="str">
        <x:v>MRG-0285</x:v>
      </x:c>
      <x:c r="B605" s="16" t="str">
        <x:v>Recommendation</x:v>
      </x:c>
      <x:c r="C605" s="16" t="str">
        <x:v>REC-0081</x:v>
      </x:c>
      <x:c r="D605" s="16" t="str">
        <x:v>Clean, wire brush and repaint. Expose the base and investigate the condition. Undertake appropriate repair stated within Section 3.</x:v>
      </x:c>
      <x:c r="E605" s="19" t="n">
        <x:v>1</x:v>
      </x:c>
      <x:c r="F605" s="16" t="str">
        <x:v>SRC-026</x:v>
      </x:c>
    </x:row>
    <x:row r="606" ht="41" customHeight="1">
      <x:c r="A606" s="16" t="str">
        <x:v>MRG-0285</x:v>
      </x:c>
      <x:c r="B606" s="16" t="str">
        <x:v>Recommendation</x:v>
      </x:c>
      <x:c r="C606" s="16" t="str">
        <x:v>REC-0090</x:v>
      </x:c>
      <x:c r="D606" s="16" t="str">
        <x:v>Excavate all columns to the base and investigate the condition. Undertake appropriate repair stated within Section 3.</x:v>
      </x:c>
      <x:c r="E606" s="19" t="n">
        <x:v>1</x:v>
      </x:c>
      <x:c r="F606" s="16" t="str">
        <x:v>SRC-012</x:v>
      </x:c>
    </x:row>
    <x:row r="607" ht="41" customHeight="1">
      <x:c r="A607" s="16" t="str">
        <x:v>MRG-0285</x:v>
      </x:c>
      <x:c r="B607" s="16" t="str">
        <x:v>Recommendation</x:v>
      </x:c>
      <x:c r="C607" s="16" t="str">
        <x:v>REC-0091</x:v>
      </x:c>
      <x:c r="D607" s="16" t="str">
        <x:v>Excavate all fencing posts to the base and investigate the condition. Undertake appropriate repair stated within Section 3.</x:v>
      </x:c>
      <x:c r="E607" s="19" t="n">
        <x:v>1</x:v>
      </x:c>
      <x:c r="F607" s="16" t="str">
        <x:v>SRC-057</x:v>
      </x:c>
    </x:row>
    <x:row r="608" ht="41" customHeight="1">
      <x:c r="A608" s="16" t="str">
        <x:v>MRG-0286</x:v>
      </x:c>
      <x:c r="B608" s="16" t="str">
        <x:v>Recommendation</x:v>
      </x:c>
      <x:c r="C608" s="16" t="str">
        <x:v>REC-0008</x:v>
      </x:c>
      <x:c r="D608" s="16" t="str">
        <x:v>Clean off salt staining.</x:v>
      </x:c>
      <x:c r="E608" s="19" t="n">
        <x:v>8</x:v>
      </x:c>
      <x:c r="F608" s="16" t="str">
        <x:v>SRC-011, SRC-024, SRC-026, SRC-052, SRC-056, SRC-060</x:v>
      </x:c>
    </x:row>
    <x:row r="609" ht="37" customHeight="1">
      <x:c r="A609" s="16" t="str">
        <x:v>MRG-0286</x:v>
      </x:c>
      <x:c r="B609" s="16" t="str">
        <x:v>Recommendation</x:v>
      </x:c>
      <x:c r="C609" s="16" t="str">
        <x:v>REC-0023</x:v>
      </x:c>
      <x:c r="D609" s="16" t="str">
        <x:v>Clean off salt staining. Wire brush and apply cold galvanising paint all areas with surface corrosion.</x:v>
      </x:c>
      <x:c r="E609" s="19" t="n">
        <x:v>2</x:v>
      </x:c>
      <x:c r="F609" s="16" t="str">
        <x:v>SRC-004, SRC-005</x:v>
      </x:c>
    </x:row>
    <x:row r="610" ht="41" customHeight="1">
      <x:c r="A610" s="16" t="str">
        <x:v>MRG-0287</x:v>
      </x:c>
      <x:c r="B610" s="16" t="str">
        <x:v>Recommendation</x:v>
      </x:c>
      <x:c r="C610" s="16" t="str">
        <x:v>REC-0011</x:v>
      </x:c>
      <x:c r="D610" s="16" t="str">
        <x:v>Clean, wire brush and repaint. Excavate all fencing posts to the base and investigate the condition. Undertake appropriate repair stated within Section 3.</x:v>
      </x:c>
      <x:c r="E610" s="19" t="n">
        <x:v>5</x:v>
      </x:c>
      <x:c r="F610" s="16" t="str">
        <x:v>SRC-001, SRC-024, SRC-025, SRC-028, SRC-060</x:v>
      </x:c>
    </x:row>
    <x:row r="611" ht="41" customHeight="1">
      <x:c r="A611" s="16" t="str">
        <x:v>MRG-0287</x:v>
      </x:c>
      <x:c r="B611" s="16" t="str">
        <x:v>Recommendation</x:v>
      </x:c>
      <x:c r="C611" s="16" t="str">
        <x:v>REC-0054</x:v>
      </x:c>
      <x:c r="D611" s="16" t="str">
        <x:v>Clean and repaint. Excavate all fencing posts to the base and investigate the condition. Undertake appropriate repair stated within Section 3.</x:v>
      </x:c>
      <x:c r="E611" s="19" t="n">
        <x:v>1</x:v>
      </x:c>
      <x:c r="F611" s="16" t="str">
        <x:v>SRC-027</x:v>
      </x:c>
    </x:row>
    <x:row r="612" ht="41" customHeight="1">
      <x:c r="A612" s="16" t="str">
        <x:v>MRG-0287</x:v>
      </x:c>
      <x:c r="B612" s="16" t="str">
        <x:v>Recommendation</x:v>
      </x:c>
      <x:c r="C612" s="16" t="str">
        <x:v>REC-0065</x:v>
      </x:c>
      <x:c r="D612" s="16" t="str">
        <x:v>Clean, remove corrosion and repaint. Excavate all fencing posts to the base and investigate the condition. Undertake appropriate repair stated within Section 3.</x:v>
      </x:c>
      <x:c r="E612" s="19" t="n">
        <x:v>1</x:v>
      </x:c>
      <x:c r="F612" s="16" t="str">
        <x:v>SRC-011</x:v>
      </x:c>
    </x:row>
    <x:row r="613" ht="41" customHeight="1">
      <x:c r="A613" s="16" t="str">
        <x:v>MRG-0287</x:v>
      </x:c>
      <x:c r="B613" s="16" t="str">
        <x:v>Recommendation</x:v>
      </x:c>
      <x:c r="C613" s="16" t="str">
        <x:v>REC-0091</x:v>
      </x:c>
      <x:c r="D613" s="16" t="str">
        <x:v>Excavate all fencing posts to the base and investigate the condition. Undertake appropriate repair stated within Section 3.</x:v>
      </x:c>
      <x:c r="E613" s="19" t="n">
        <x:v>1</x:v>
      </x:c>
      <x:c r="F613" s="16" t="str">
        <x:v>SRC-057</x:v>
      </x:c>
    </x:row>
    <x:row r="614" ht="37" customHeight="1">
      <x:c r="A614" s="16" t="str">
        <x:v>MRG-0288</x:v>
      </x:c>
      <x:c r="B614" s="16" t="str">
        <x:v>Recommendation</x:v>
      </x:c>
      <x:c r="C614" s="16" t="str">
        <x:v>REC-0009</x:v>
      </x:c>
      <x:c r="D614" s="16" t="str">
        <x:v>Clean salt staining.</x:v>
      </x:c>
      <x:c r="E614" s="19" t="n">
        <x:v>6</x:v>
      </x:c>
      <x:c r="F614" s="16" t="str">
        <x:v>SRC-001, SRC-028, SRC-050</x:v>
      </x:c>
    </x:row>
    <x:row r="615" ht="37" customHeight="1">
      <x:c r="A615" s="16" t="str">
        <x:v>MRG-0288</x:v>
      </x:c>
      <x:c r="B615" s="16" t="str">
        <x:v>Recommendation</x:v>
      </x:c>
      <x:c r="C615" s="16" t="str">
        <x:v>REC-0075</x:v>
      </x:c>
      <x:c r="D615" s="16" t="str">
        <x:v>Clean, wire brush and repaint corroded areas. Clean salt staining.</x:v>
      </x:c>
      <x:c r="E615" s="19" t="n">
        <x:v>1</x:v>
      </x:c>
      <x:c r="F615" s="16" t="str">
        <x:v>SRC-024</x:v>
      </x:c>
    </x:row>
    <x:row r="616" ht="37" customHeight="1">
      <x:c r="A616" s="16" t="str">
        <x:v>MRG-0289</x:v>
      </x:c>
      <x:c r="B616" s="16" t="str">
        <x:v>Recommendation</x:v>
      </x:c>
      <x:c r="C616" s="16" t="str">
        <x:v>REC-0013</x:v>
      </x:c>
      <x:c r="D616" s="16" t="str">
        <x:v>Clean all salt staining.</x:v>
      </x:c>
      <x:c r="E616" s="19" t="n">
        <x:v>4</x:v>
      </x:c>
      <x:c r="F616" s="16" t="str">
        <x:v>SRC-025, SRC-027, SRC-049</x:v>
      </x:c>
    </x:row>
    <x:row r="617" ht="37" customHeight="1">
      <x:c r="A617" s="16" t="str">
        <x:v>MRG-0289</x:v>
      </x:c>
      <x:c r="B617" s="16" t="str">
        <x:v>Recommendation</x:v>
      </x:c>
      <x:c r="C617" s="16" t="str">
        <x:v>REC-0050</x:v>
      </x:c>
      <x:c r="D617" s="16" t="str">
        <x:v>Cap purlin holes to prevent water ingress. Clean all salt staining.</x:v>
      </x:c>
      <x:c r="E617" s="19" t="n">
        <x:v>1</x:v>
      </x:c>
      <x:c r="F617" s="16" t="str">
        <x:v>SRC-001</x:v>
      </x:c>
    </x:row>
    <x:row r="618" ht="37" customHeight="1">
      <x:c r="A618" s="16" t="str">
        <x:v>MRG-0289</x:v>
      </x:c>
      <x:c r="B618" s="16" t="str">
        <x:v>Recommendation</x:v>
      </x:c>
      <x:c r="C618" s="16" t="str">
        <x:v>REC-0086</x:v>
      </x:c>
      <x:c r="D618" s="16" t="str">
        <x:v>Cover purlin holes to prevent water ingress. Clean all salt staining.</x:v>
      </x:c>
      <x:c r="E618" s="19" t="n">
        <x:v>1</x:v>
      </x:c>
      <x:c r="F618" s="16" t="str">
        <x:v>SRC-001</x:v>
      </x:c>
    </x:row>
    <x:row r="619" ht="37" customHeight="1">
      <x:c r="A619" s="16" t="str">
        <x:v>MRG-0290</x:v>
      </x:c>
      <x:c r="B619" s="16" t="str">
        <x:v>Recommendation</x:v>
      </x:c>
      <x:c r="C619" s="16" t="str">
        <x:v>REC-0016</x:v>
      </x:c>
      <x:c r="D619" s="16" t="str">
        <x:v>Repair by Helifix stainless products to stabilise cracked bricks.</x:v>
      </x:c>
      <x:c r="E619" s="19" t="n">
        <x:v>4</x:v>
      </x:c>
      <x:c r="F619" s="16" t="str">
        <x:v>SRC-006</x:v>
      </x:c>
    </x:row>
    <x:row r="620" ht="41" customHeight="1">
      <x:c r="A620" s="16" t="str">
        <x:v>MRG-0290</x:v>
      </x:c>
      <x:c r="B620" s="16" t="str">
        <x:v>Recommendation</x:v>
      </x:c>
      <x:c r="C620" s="16" t="str">
        <x:v>REC-0087</x:v>
      </x:c>
      <x:c r="D620" s="16" t="str">
        <x:v>Cut and remove brickwork locally to investigate the cause. Repair by Helifix stainless products to stabilise cracked bricks.</x:v>
      </x:c>
      <x:c r="E620" s="19" t="n">
        <x:v>1</x:v>
      </x:c>
      <x:c r="F620" s="16" t="str">
        <x:v>SRC-006</x:v>
      </x:c>
    </x:row>
    <x:row r="621" ht="37" customHeight="1">
      <x:c r="A621" s="16" t="str">
        <x:v>MRG-0291</x:v>
      </x:c>
      <x:c r="B621" s="16" t="str">
        <x:v>Recommendation</x:v>
      </x:c>
      <x:c r="C621" s="16" t="str">
        <x:v>REC-0027</x:v>
      </x:c>
      <x:c r="D621" s="16" t="str">
        <x:v>Clean, wire brush, and paint with cold galvanise coating.</x:v>
      </x:c>
      <x:c r="E621" s="19" t="n">
        <x:v>2</x:v>
      </x:c>
      <x:c r="F621" s="16" t="str">
        <x:v>SRC-029</x:v>
      </x:c>
    </x:row>
    <x:row r="622" ht="37" customHeight="1">
      <x:c r="A622" s="16" t="str">
        <x:v>MRG-0291</x:v>
      </x:c>
      <x:c r="B622" s="16" t="str">
        <x:v>Recommendation</x:v>
      </x:c>
      <x:c r="C622" s="16" t="str">
        <x:v>REC-0028</x:v>
      </x:c>
      <x:c r="D622" s="16" t="str">
        <x:v>Clean, wire brush, and paint with cold galvanise coating. Replace all corroded Tek screws.</x:v>
      </x:c>
      <x:c r="E622" s="19" t="n">
        <x:v>2</x:v>
      </x:c>
      <x:c r="F622" s="16" t="str">
        <x:v>SRC-029</x:v>
      </x:c>
    </x:row>
    <x:row r="623" ht="37" customHeight="1">
      <x:c r="A623" s="16" t="str">
        <x:v>MRG-0292</x:v>
      </x:c>
      <x:c r="B623" s="16" t="str">
        <x:v>Recommendation</x:v>
      </x:c>
      <x:c r="C623" s="16" t="str">
        <x:v>REC-0019</x:v>
      </x:c>
      <x:c r="D623" s="16" t="str">
        <x:v>Monitor crack length and width periodically.</x:v>
      </x:c>
      <x:c r="E623" s="19" t="n">
        <x:v>3</x:v>
      </x:c>
      <x:c r="F623" s="16" t="str">
        <x:v>SRC-096</x:v>
      </x:c>
    </x:row>
    <x:row r="624" ht="37" customHeight="1">
      <x:c r="A624" s="16" t="str">
        <x:v>MRG-0292</x:v>
      </x:c>
      <x:c r="B624" s="16" t="str">
        <x:v>Recommendation</x:v>
      </x:c>
      <x:c r="C624" s="16" t="str">
        <x:v>REC-0122</x:v>
      </x:c>
      <x:c r="D624" s="16" t="str">
        <x:v>Refer to Section 3 for repair methodology. Monitor crack length and width periodically.</x:v>
      </x:c>
      <x:c r="E624" s="19" t="n">
        <x:v>1</x:v>
      </x:c>
      <x:c r="F624" s="16" t="str">
        <x:v>SRC-096</x:v>
      </x:c>
    </x:row>
    <x:row r="625" ht="37" customHeight="1">
      <x:c r="A625" s="16" t="str">
        <x:v>MRG-0293</x:v>
      </x:c>
      <x:c r="B625" s="16" t="str">
        <x:v>Recommendation</x:v>
      </x:c>
      <x:c r="C625" s="16" t="str">
        <x:v>REC-0040</x:v>
      </x:c>
      <x:c r="D625" s="16" t="str">
        <x:v>Replace Tek screws. Clean, wire brush and repaint purlins.</x:v>
      </x:c>
      <x:c r="E625" s="19" t="n">
        <x:v>2</x:v>
      </x:c>
      <x:c r="F625" s="16" t="str">
        <x:v>SRC-014</x:v>
      </x:c>
    </x:row>
    <x:row r="626" ht="37" customHeight="1">
      <x:c r="A626" s="16" t="str">
        <x:v>MRG-0293</x:v>
      </x:c>
      <x:c r="B626" s="16" t="str">
        <x:v>Recommendation</x:v>
      </x:c>
      <x:c r="C626" s="16" t="str">
        <x:v>REC-0077</x:v>
      </x:c>
      <x:c r="D626" s="16" t="str">
        <x:v>Clean, wire brush and repaint purlins. Replace Tek screws.</x:v>
      </x:c>
      <x:c r="E626" s="19" t="n">
        <x:v>1</x:v>
      </x:c>
      <x:c r="F626" s="16" t="str">
        <x:v>SRC-048</x:v>
      </x:c>
    </x:row>
    <x:row r="627" ht="37" customHeight="1">
      <x:c r="A627" s="16" t="str">
        <x:v>MRG-0293</x:v>
      </x:c>
      <x:c r="B627" s="16" t="str">
        <x:v>Recommendation</x:v>
      </x:c>
      <x:c r="C627" s="16" t="str">
        <x:v>REC-0139</x:v>
      </x:c>
      <x:c r="D627" s="16" t="str">
        <x:v>Replace Tek screws.</x:v>
      </x:c>
      <x:c r="E627" s="19" t="n">
        <x:v>1</x:v>
      </x:c>
      <x:c r="F627" s="16" t="str">
        <x:v>SRC-014</x:v>
      </x:c>
    </x:row>
    <x:row r="628" ht="41" customHeight="1">
      <x:c r="A628" s="16" t="str">
        <x:v>MRG-0294</x:v>
      </x:c>
      <x:c r="B628" s="16" t="str">
        <x:v>Recommendation</x:v>
      </x:c>
      <x:c r="C628" s="16" t="str">
        <x:v>REC-0024</x:v>
      </x:c>
      <x:c r="D628" s="16" t="str">
        <x:v>Clean the area, remove all corrosion, and inspect the remaining steel. It may require either replacement or repainting.</x:v>
      </x:c>
      <x:c r="E628" s="19" t="n">
        <x:v>2</x:v>
      </x:c>
      <x:c r="F628" s="16" t="str">
        <x:v>SRC-092</x:v>
      </x:c>
    </x:row>
    <x:row r="629" ht="41" customHeight="1">
      <x:c r="A629" s="16" t="str">
        <x:v>MRG-0294</x:v>
      </x:c>
      <x:c r="B629" s="16" t="str">
        <x:v>Recommendation</x:v>
      </x:c>
      <x:c r="C629" s="16" t="str">
        <x:v>REC-0060</x:v>
      </x:c>
      <x:c r="D629" s="16" t="str">
        <x:v>Clean the area, remove all corrosion, and inspect the remaining steel. It may require either replacement or repainting. Regrout the base.</x:v>
      </x:c>
      <x:c r="E629" s="19" t="n">
        <x:v>1</x:v>
      </x:c>
      <x:c r="F629" s="16" t="str">
        <x:v>SRC-092</x:v>
      </x:c>
    </x:row>
    <x:row r="630" ht="37" customHeight="1">
      <x:c r="A630" s="16" t="str">
        <x:v>MRG-0295</x:v>
      </x:c>
      <x:c r="B630" s="16" t="str">
        <x:v>Recommendation</x:v>
      </x:c>
      <x:c r="C630" s="16" t="str">
        <x:v>REC-0040</x:v>
      </x:c>
      <x:c r="D630" s="16" t="str">
        <x:v>Replace Tek screws. Clean, wire brush and repaint purlins.</x:v>
      </x:c>
      <x:c r="E630" s="19" t="n">
        <x:v>2</x:v>
      </x:c>
      <x:c r="F630" s="16" t="str">
        <x:v>SRC-014</x:v>
      </x:c>
    </x:row>
    <x:row r="631" ht="37" customHeight="1">
      <x:c r="A631" s="16" t="str">
        <x:v>MRG-0295</x:v>
      </x:c>
      <x:c r="B631" s="16" t="str">
        <x:v>Recommendation</x:v>
      </x:c>
      <x:c r="C631" s="16" t="str">
        <x:v>REC-0077</x:v>
      </x:c>
      <x:c r="D631" s="16" t="str">
        <x:v>Clean, wire brush and repaint purlins. Replace Tek screws.</x:v>
      </x:c>
      <x:c r="E631" s="19" t="n">
        <x:v>1</x:v>
      </x:c>
      <x:c r="F631" s="16" t="str">
        <x:v>SRC-048</x:v>
      </x:c>
    </x:row>
    <x:row r="632" ht="41" customHeight="1">
      <x:c r="A632" s="16" t="str">
        <x:v>MRG-0296</x:v>
      </x:c>
      <x:c r="B632" s="16" t="str">
        <x:v>Recommendation</x:v>
      </x:c>
      <x:c r="C632" s="16" t="str">
        <x:v>REC-0026</x:v>
      </x:c>
      <x:c r="D632" s="16" t="str">
        <x:v>Clean, wire brush and repaint. Expose the posts base and investigate the condition. Undertake appropriate repair stated within Section 3.</x:v>
      </x:c>
      <x:c r="E632" s="19" t="n">
        <x:v>2</x:v>
      </x:c>
      <x:c r="F632" s="16" t="str">
        <x:v>SRC-010, SRC-059</x:v>
      </x:c>
    </x:row>
    <x:row r="633" ht="41" customHeight="1">
      <x:c r="A633" s="16" t="str">
        <x:v>MRG-0296</x:v>
      </x:c>
      <x:c r="B633" s="16" t="str">
        <x:v>Recommendation</x:v>
      </x:c>
      <x:c r="C633" s="16" t="str">
        <x:v>REC-0057</x:v>
      </x:c>
      <x:c r="D633" s="16" t="str">
        <x:v>Clean and repaint. Expose the posts’ base and investigate the condition. Undertake appropriate repair stated within Section 3.1.</x:v>
      </x:c>
      <x:c r="E633" s="19" t="n">
        <x:v>1</x:v>
      </x:c>
      <x:c r="F633" s="16" t="str">
        <x:v>SRC-051</x:v>
      </x:c>
    </x:row>
    <x:row r="634" ht="41" customHeight="1">
      <x:c r="A634" s="16" t="str">
        <x:v>MRG-0297</x:v>
      </x:c>
      <x:c r="B634" s="16" t="str">
        <x:v>Recommendation</x:v>
      </x:c>
      <x:c r="C634" s="16" t="str">
        <x:v>REC-0024</x:v>
      </x:c>
      <x:c r="D634" s="16" t="str">
        <x:v>Clean the area, remove all corrosion, and inspect the remaining steel. It may require either replacement or repainting.</x:v>
      </x:c>
      <x:c r="E634" s="19" t="n">
        <x:v>2</x:v>
      </x:c>
      <x:c r="F634" s="16" t="str">
        <x:v>SRC-092</x:v>
      </x:c>
    </x:row>
    <x:row r="635" ht="41" customHeight="1">
      <x:c r="A635" s="16" t="str">
        <x:v>MRG-0297</x:v>
      </x:c>
      <x:c r="B635" s="16" t="str">
        <x:v>Recommendation</x:v>
      </x:c>
      <x:c r="C635" s="16" t="str">
        <x:v>REC-0060</x:v>
      </x:c>
      <x:c r="D635" s="16" t="str">
        <x:v>Clean the area, remove all corrosion, and inspect the remaining steel. It may require either replacement or repainting. Regrout the base.</x:v>
      </x:c>
      <x:c r="E635" s="19" t="n">
        <x:v>1</x:v>
      </x:c>
      <x:c r="F635" s="16" t="str">
        <x:v>SRC-092</x:v>
      </x:c>
    </x:row>
    <x:row r="636" ht="37" customHeight="1">
      <x:c r="A636" s="16" t="str">
        <x:v>MRG-0298</x:v>
      </x:c>
      <x:c r="B636" s="16" t="str">
        <x:v>Recommendation</x:v>
      </x:c>
      <x:c r="C636" s="16" t="str">
        <x:v>REC-0049</x:v>
      </x:c>
      <x:c r="D636" s="16" t="str">
        <x:v>Cap purlin holes to prevent water ingress.</x:v>
      </x:c>
      <x:c r="E636" s="19" t="n">
        <x:v>1</x:v>
      </x:c>
      <x:c r="F636" s="16" t="str">
        <x:v>SRC-062</x:v>
      </x:c>
    </x:row>
    <x:row r="637" ht="37" customHeight="1">
      <x:c r="A637" s="16" t="str">
        <x:v>MRG-0298</x:v>
      </x:c>
      <x:c r="B637" s="16" t="str">
        <x:v>Recommendation</x:v>
      </x:c>
      <x:c r="C637" s="16" t="str">
        <x:v>REC-0050</x:v>
      </x:c>
      <x:c r="D637" s="16" t="str">
        <x:v>Cap purlin holes to prevent water ingress. Clean all salt staining.</x:v>
      </x:c>
      <x:c r="E637" s="19" t="n">
        <x:v>1</x:v>
      </x:c>
      <x:c r="F637" s="16" t="str">
        <x:v>SRC-001</x:v>
      </x:c>
    </x:row>
    <x:row r="638" ht="37" customHeight="1">
      <x:c r="A638" s="16" t="str">
        <x:v>MRG-0299</x:v>
      </x:c>
      <x:c r="B638" s="16" t="str">
        <x:v>Recommendation</x:v>
      </x:c>
      <x:c r="C638" s="16" t="str">
        <x:v>REC-0085</x:v>
      </x:c>
      <x:c r="D638" s="16" t="str">
        <x:v>Cover hole to prevent water ingress.</x:v>
      </x:c>
      <x:c r="E638" s="19" t="n">
        <x:v>1</x:v>
      </x:c>
      <x:c r="F638" s="16" t="str">
        <x:v>SRC-057</x:v>
      </x:c>
    </x:row>
    <x:row r="639" ht="37" customHeight="1">
      <x:c r="A639" s="16" t="str">
        <x:v>MRG-0299</x:v>
      </x:c>
      <x:c r="B639" s="16" t="str">
        <x:v>Recommendation</x:v>
      </x:c>
      <x:c r="C639" s="16" t="str">
        <x:v>REC-0135</x:v>
      </x:c>
      <x:c r="D639" s="16" t="str">
        <x:v>Remove the rust. Cover hole to prevent water ingress.</x:v>
      </x:c>
      <x:c r="E639" s="19" t="n">
        <x:v>1</x:v>
      </x:c>
      <x:c r="F639" s="16" t="str">
        <x:v>SRC-092</x:v>
      </x:c>
    </x:row>
    <x:row r="640" ht="41" customHeight="1">
      <x:c r="A640" s="16" t="str">
        <x:v>MRG-0300</x:v>
      </x:c>
      <x:c r="B640" s="16" t="str">
        <x:v>Recommendation</x:v>
      </x:c>
      <x:c r="C640" s="16" t="str">
        <x:v>REC-0056</x:v>
      </x:c>
      <x:c r="D640" s="16" t="str">
        <x:v>Clean and repaint. Expose the base and investigate the condition. Undertake appropriate repair stated within Section 3.</x:v>
      </x:c>
      <x:c r="E640" s="19" t="n">
        <x:v>1</x:v>
      </x:c>
      <x:c r="F640" s="16" t="str">
        <x:v>SRC-049</x:v>
      </x:c>
    </x:row>
    <x:row r="641" ht="41" customHeight="1">
      <x:c r="A641" s="16" t="str">
        <x:v>MRG-0300</x:v>
      </x:c>
      <x:c r="B641" s="16" t="str">
        <x:v>Recommendation</x:v>
      </x:c>
      <x:c r="C641" s="16" t="str">
        <x:v>REC-0081</x:v>
      </x:c>
      <x:c r="D641" s="16" t="str">
        <x:v>Clean, wire brush and repaint. Expose the base and investigate the condition. Undertake appropriate repair stated within Section 3.</x:v>
      </x:c>
      <x:c r="E641" s="19" t="n">
        <x:v>1</x:v>
      </x:c>
      <x:c r="F641" s="16" t="str">
        <x:v>SRC-026</x:v>
      </x:c>
    </x:row>
    <x:row r="642" ht="37" customHeight="1">
      <x:c r="A642" s="16" t="str">
        <x:v>MRG-0301</x:v>
      </x:c>
      <x:c r="B642" s="16" t="str">
        <x:v>Recommendation</x:v>
      </x:c>
      <x:c r="C642" s="16" t="str">
        <x:v>REC-0111</x:v>
      </x:c>
      <x:c r="D642" s="16" t="str">
        <x:v>Monitor cracking.</x:v>
      </x:c>
      <x:c r="E642" s="19" t="n">
        <x:v>1</x:v>
      </x:c>
      <x:c r="F642" s="16" t="str">
        <x:v>SRC-063</x:v>
      </x:c>
    </x:row>
    <x:row r="643" ht="37" customHeight="1">
      <x:c r="A643" s="16" t="str">
        <x:v>MRG-0301</x:v>
      </x:c>
      <x:c r="B643" s="16" t="str">
        <x:v>Recommendation</x:v>
      </x:c>
      <x:c r="C643" s="16" t="str">
        <x:v>REC-0161</x:v>
      </x:c>
      <x:c r="D643" s="16" t="str">
        <x:v>Repoint mortar around the brick. Monitor cracking.</x:v>
      </x:c>
      <x:c r="E643" s="19" t="n">
        <x:v>1</x:v>
      </x:c>
      <x:c r="F643" s="16" t="str">
        <x:v>SRC-063</x:v>
      </x:c>
    </x:row>
    <x:row r="644" ht="41" customHeight="1">
      <x:c r="A644" s="16" t="str">
        <x:v>MRG-0302</x:v>
      </x:c>
      <x:c r="B644" s="16" t="str">
        <x:v>Recommendation</x:v>
      </x:c>
      <x:c r="C644" s="16" t="str">
        <x:v>REC-0115</x:v>
      </x:c>
      <x:c r="D644" s="16" t="str">
        <x:v>Patch it up and make it good. Raise ground level to a minimum 100mm above the bottom of the slab to protect the new slab.</x:v>
      </x:c>
      <x:c r="E644" s="19" t="n">
        <x:v>1</x:v>
      </x:c>
      <x:c r="F644" s="16" t="str">
        <x:v>SRC-006</x:v>
      </x:c>
    </x:row>
    <x:row r="645" ht="41" customHeight="1">
      <x:c r="A645" s="16" t="str">
        <x:v>MRG-0302</x:v>
      </x:c>
      <x:c r="B645" s="16" t="str">
        <x:v>Recommendation</x:v>
      </x:c>
      <x:c r="C645" s="16" t="str">
        <x:v>REC-0134</x:v>
      </x:c>
      <x:c r="D645" s="16" t="str">
        <x:v>Remove the footpath and construct new path. Raise ground level to a minimum 100mm above the bottom of the slab to protect the new slab.</x:v>
      </x:c>
      <x:c r="E645" s="19" t="n">
        <x:v>1</x:v>
      </x:c>
      <x:c r="F645" s="16" t="str">
        <x:v>SRC-006</x:v>
      </x:c>
    </x:row>
    <x:row r="646" ht="37" customHeight="1">
      <x:c r="A646" s="16" t="str">
        <x:v>MRG-0303</x:v>
      </x:c>
      <x:c r="B646" s="16" t="str">
        <x:v>Recommendation</x:v>
      </x:c>
      <x:c r="C646" s="16" t="str">
        <x:v>REC-0121</x:v>
      </x:c>
      <x:c r="D646" s="16" t="str">
        <x:v>Refer to Section 3 for repair methodology.</x:v>
      </x:c>
      <x:c r="E646" s="19" t="n">
        <x:v>1</x:v>
      </x:c>
      <x:c r="F646" s="16" t="str">
        <x:v>SRC-096</x:v>
      </x:c>
    </x:row>
    <x:row r="647" ht="37" customHeight="1">
      <x:c r="A647" s="16" t="str">
        <x:v>MRG-0303</x:v>
      </x:c>
      <x:c r="B647" s="16" t="str">
        <x:v>Recommendation</x:v>
      </x:c>
      <x:c r="C647" s="16" t="str">
        <x:v>REC-0122</x:v>
      </x:c>
      <x:c r="D647" s="16" t="str">
        <x:v>Refer to Section 3 for repair methodology. Monitor crack length and width periodically.</x:v>
      </x:c>
      <x:c r="E647" s="19" t="n">
        <x:v>1</x:v>
      </x:c>
      <x:c r="F647" s="16" t="str">
        <x:v>SRC-096</x:v>
      </x:c>
    </x:row>
  </x:sheetData>
  <x:pageMargins left="0.7" right="0.7" top="0.75" bottom="0.75" header="0.3" footer="0.3"/>
  <x:tableParts count="1">
    <x:tablePart xmlns:r="http://schemas.openxmlformats.org/officeDocument/2006/relationships" r:id="Rb1b4b693ebd04084"/>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7" hidden="0" customWidth="1"/>
    <x:col min="2" max="2" width="19" hidden="0" customWidth="1"/>
    <x:col min="3" max="3" width="108" hidden="0" customWidth="1"/>
    <x:col min="4" max="4" width="38" hidden="0" customWidth="1"/>
    <x:col min="5" max="5" width="15" hidden="0" customWidth="1"/>
    <x:col min="6" max="6" width="17" hidden="0" customWidth="1"/>
    <x:col min="7" max="7" width="24" hidden="0" customWidth="1"/>
    <x:col min="8" max="8" width="12" hidden="0" customWidth="1"/>
    <x:col min="9" max="9" width="12" hidden="0" customWidth="1"/>
    <x:col min="10" max="10" width="11" hidden="0" customWidth="1"/>
    <x:col min="11" max="11" width="38" hidden="0" customWidth="1"/>
    <x:col min="12" max="12" width="22" hidden="0" customWidth="1"/>
    <x:col min="13" max="13" width="42" hidden="0" customWidth="1"/>
    <x:col min="14" max="14" width="22" hidden="0" customWidth="1"/>
  </x:cols>
  <x:sheetData>
    <x:row r="2" ht="27" customHeight="1">
      <x:c r="A2" s="5" t="str">
        <x:v>原始逐条记录</x:v>
      </x:c>
      <x:c r="B2" s="2"/>
      <x:c r="C2" s="2"/>
      <x:c r="D2" s="2"/>
      <x:c r="E2" s="2"/>
      <x:c r="F2" s="2"/>
      <x:c r="G2" s="2"/>
      <x:c r="H2" s="2"/>
      <x:c r="I2" s="2"/>
      <x:c r="J2" s="2"/>
      <x:c r="K2" s="2"/>
      <x:c r="L2" s="2"/>
      <x:c r="M2" s="2"/>
      <x:c r="N2" s="2"/>
    </x:row>
    <x:row r="3" ht="23" customHeight="1">
      <x:c r="A3" s="6" t="str">
        <x:v>保留正式报告以及审阅和辅助文档的原始提取文字。精简库只统计正式报告；辅助原文没有对应正式词条时，精简编号留空。</x:v>
      </x:c>
      <x:c r="B3" s="2"/>
      <x:c r="C3" s="2"/>
      <x:c r="D3" s="2"/>
      <x:c r="E3" s="2"/>
      <x:c r="F3" s="2"/>
      <x:c r="G3" s="2"/>
      <x:c r="H3" s="2"/>
      <x:c r="I3" s="2"/>
      <x:c r="J3" s="2"/>
      <x:c r="K3" s="2"/>
      <x:c r="L3" s="2"/>
      <x:c r="M3" s="2"/>
      <x:c r="N3" s="2"/>
    </x:row>
    <x:row r="4" ht="23" customHeight="1">
      <x:c r="A4" s="7"/>
      <x:c r="B4" s="2"/>
      <x:c r="C4" s="2"/>
      <x:c r="D4" s="2"/>
      <x:c r="E4" s="2"/>
      <x:c r="F4" s="2"/>
      <x:c r="G4" s="2"/>
      <x:c r="H4" s="2"/>
      <x:c r="I4" s="2"/>
      <x:c r="J4" s="2"/>
      <x:c r="K4" s="2"/>
      <x:c r="L4" s="2"/>
      <x:c r="M4" s="2"/>
      <x:c r="N4" s="2"/>
    </x:row>
    <x:row r="5" ht="8" customHeight="1">
      <x:c r="A5" s="2"/>
      <x:c r="B5" s="2"/>
      <x:c r="C5" s="2"/>
      <x:c r="D5" s="2"/>
      <x:c r="E5" s="2"/>
      <x:c r="F5" s="2"/>
      <x:c r="G5" s="2"/>
      <x:c r="H5" s="2"/>
      <x:c r="I5" s="2"/>
      <x:c r="J5" s="2"/>
      <x:c r="K5" s="2"/>
      <x:c r="L5" s="2"/>
      <x:c r="M5" s="2"/>
      <x:c r="N5" s="2"/>
    </x:row>
    <x:row r="6" ht="34" customHeight="1">
      <x:c r="A6" s="12" t="str">
        <x:v>原始记录编号</x:v>
      </x:c>
      <x:c r="B6" s="13" t="str">
        <x:v>类别</x:v>
      </x:c>
      <x:c r="C6" s="13" t="str">
        <x:v>原始文字</x:v>
      </x:c>
      <x:c r="D6" s="13" t="str">
        <x:v>构件</x:v>
      </x:c>
      <x:c r="E6" s="13" t="str">
        <x:v>来源编号</x:v>
      </x:c>
      <x:c r="F6" s="13" t="str">
        <x:v>精简词条编号</x:v>
      </x:c>
      <x:c r="G6" s="13" t="str">
        <x:v>源文件类别</x:v>
      </x:c>
      <x:c r="H6" s="13" t="str">
        <x:v>表格序号</x:v>
      </x:c>
      <x:c r="I6" s="13" t="str">
        <x:v>表内行号</x:v>
      </x:c>
      <x:c r="J6" s="13" t="str">
        <x:v>照片数</x:v>
      </x:c>
      <x:c r="K6" s="13" t="str">
        <x:v>Condition Rating</x:v>
      </x:c>
      <x:c r="L6" s="13" t="str">
        <x:v>Likelihood</x:v>
      </x:c>
      <x:c r="M6" s="13" t="str">
        <x:v>Severity</x:v>
      </x:c>
      <x:c r="N6" s="14" t="str">
        <x:v>Priority</x:v>
      </x:c>
    </x:row>
    <x:row r="7" ht="41" customHeight="1">
      <x:c r="A7" s="16" t="str">
        <x:v>RAW-00001</x:v>
      </x:c>
      <x:c r="B7" s="16" t="str">
        <x:v>Observation</x:v>
      </x:c>
      <x:c r="C7" s="16" t="str">
        <x:v>– Backyard fencing posts on left hand side of property facing the front entrance. Minor surface corrosion along the length of the post. Delamination of steel towards the lower section.</x:v>
      </x:c>
      <x:c r="D7" s="16" t="str">
        <x:v>Fencing posts</x:v>
      </x:c>
      <x:c r="E7" s="16" t="str">
        <x:v>SRC-001</x:v>
      </x:c>
      <x:c r="F7" s="16" t="str">
        <x:v>OBS-0132</x:v>
      </x:c>
      <x:c r="G7" s="16" t="str">
        <x:v>正式报告</x:v>
      </x:c>
      <x:c r="H7" s="19" t="n">
        <x:v>3</x:v>
      </x:c>
      <x:c r="I7" s="19" t="n">
        <x:v>6</x:v>
      </x:c>
      <x:c r="J7" s="19" t="n">
        <x:v>4</x:v>
      </x:c>
      <x:c r="K7" s="16" t="str">
        <x:v>5. Major deterioration</x:v>
      </x:c>
      <x:c r="L7" s="16" t="str">
        <x:v>Likely</x:v>
      </x:c>
      <x:c r="M7" s="16" t="str">
        <x:v>Moderate</x:v>
      </x:c>
      <x:c r="N7" s="16" t="str">
        <x:v>High</x:v>
      </x:c>
    </x:row>
    <x:row r="8" ht="41" customHeight="1">
      <x:c r="A8" s="16" t="str">
        <x:v>RAW-00002</x:v>
      </x:c>
      <x:c r="B8" s="16" t="str">
        <x:v>Recommendation</x:v>
      </x:c>
      <x:c r="C8" s="16" t="str">
        <x:v>– Clean, wire brush and repaint. Excavate all fencing posts to the base and investigate the condition. Undertake appropriate repair stated within Section 3.</x:v>
      </x:c>
      <x:c r="D8" s="16" t="str">
        <x:v>Fencing posts</x:v>
      </x:c>
      <x:c r="E8" s="16" t="str">
        <x:v>SRC-001</x:v>
      </x:c>
      <x:c r="F8" s="16" t="str">
        <x:v>REC-0011</x:v>
      </x:c>
      <x:c r="G8" s="16" t="str">
        <x:v>正式报告</x:v>
      </x:c>
      <x:c r="H8" s="19" t="n">
        <x:v>3</x:v>
      </x:c>
      <x:c r="I8" s="19" t="n">
        <x:v>6</x:v>
      </x:c>
      <x:c r="J8" s="19" t="n">
        <x:v>4</x:v>
      </x:c>
      <x:c r="K8" s="16" t="str">
        <x:v>5. Major deterioration</x:v>
      </x:c>
      <x:c r="L8" s="16" t="str">
        <x:v>Likely</x:v>
      </x:c>
      <x:c r="M8" s="16" t="str">
        <x:v>Moderate</x:v>
      </x:c>
      <x:c r="N8" s="16" t="str">
        <x:v>High</x:v>
      </x:c>
    </x:row>
    <x:row r="9" ht="41" customHeight="1">
      <x:c r="A9" s="16" t="str">
        <x:v>RAW-00003</x:v>
      </x:c>
      <x:c r="B9" s="16" t="str">
        <x:v>Observation</x:v>
      </x:c>
      <x:c r="C9" s="16" t="str">
        <x:v>– front overview.</x:v>
      </x:c>
      <x:c r="D9" s="16" t="str">
        <x:v>Purlins and rafters</x:v>
      </x:c>
      <x:c r="E9" s="16" t="str">
        <x:v>SRC-001</x:v>
      </x:c>
      <x:c r="F9" s="16" t="str">
        <x:v>OBS-0615</x:v>
      </x:c>
      <x:c r="G9" s="16" t="str">
        <x:v>正式报告</x:v>
      </x:c>
      <x:c r="H9" s="19" t="n">
        <x:v>4</x:v>
      </x:c>
      <x:c r="I9" s="19" t="n">
        <x:v>6</x:v>
      </x:c>
      <x:c r="J9" s="19" t="n">
        <x:v>1</x:v>
      </x:c>
      <x:c r="K9" s="16" t="str">
        <x:v>1. New with no visible defects/damage</x:v>
      </x:c>
      <x:c r="L9" s="16" t="str">
        <x:v>Very unlikely</x:v>
      </x:c>
      <x:c r="M9" s="16" t="str">
        <x:v>Significant</x:v>
      </x:c>
      <x:c r="N9" s="16" t="str">
        <x:v>Low</x:v>
      </x:c>
    </x:row>
    <x:row r="10" ht="41" customHeight="1">
      <x:c r="A10" s="16" t="str">
        <x:v>RAW-00004</x:v>
      </x:c>
      <x:c r="B10" s="16" t="str">
        <x:v>Observation</x:v>
      </x:c>
      <x:c r="C10" s="16" t="str">
        <x:v>– Porch verandah in good condition</x:v>
      </x:c>
      <x:c r="D10" s="16" t="str">
        <x:v>Purlins and rafters</x:v>
      </x:c>
      <x:c r="E10" s="16" t="str">
        <x:v>SRC-001</x:v>
      </x:c>
      <x:c r="F10" s="16" t="str">
        <x:v>OBS-0078</x:v>
      </x:c>
      <x:c r="G10" s="16" t="str">
        <x:v>正式报告</x:v>
      </x:c>
      <x:c r="H10" s="19" t="n">
        <x:v>4</x:v>
      </x:c>
      <x:c r="I10" s="19" t="n">
        <x:v>7</x:v>
      </x:c>
      <x:c r="J10" s="19" t="n">
        <x:v>1</x:v>
      </x:c>
      <x:c r="K10" s="16" t="str">
        <x:v>1. New with no visible defects/damage</x:v>
      </x:c>
      <x:c r="L10" s="16" t="str">
        <x:v>Very unlikely</x:v>
      </x:c>
      <x:c r="M10" s="16" t="str">
        <x:v>Significant</x:v>
      </x:c>
      <x:c r="N10" s="16" t="str">
        <x:v>Low</x:v>
      </x:c>
    </x:row>
    <x:row r="11" ht="41" customHeight="1">
      <x:c r="A11" s="16" t="str">
        <x:v>RAW-00005</x:v>
      </x:c>
      <x:c r="B11" s="16" t="str">
        <x:v>Observation</x:v>
      </x:c>
      <x:c r="C11" s="16" t="str">
        <x:v>– Carport verandah in good condition. Holes in purlin end plate.</x:v>
      </x:c>
      <x:c r="D11" s="16" t="str">
        <x:v>Purlins and rafters</x:v>
      </x:c>
      <x:c r="E11" s="16" t="str">
        <x:v>SRC-001</x:v>
      </x:c>
      <x:c r="F11" s="16" t="str">
        <x:v>OBS-0171</x:v>
      </x:c>
      <x:c r="G11" s="16" t="str">
        <x:v>正式报告</x:v>
      </x:c>
      <x:c r="H11" s="19" t="n">
        <x:v>4</x:v>
      </x:c>
      <x:c r="I11" s="19" t="n">
        <x:v>8</x:v>
      </x:c>
      <x:c r="J11" s="19" t="n">
        <x:v>1</x:v>
      </x:c>
      <x:c r="K11" s="16" t="str">
        <x:v>1. New with no visible defects/damage</x:v>
      </x:c>
      <x:c r="L11" s="16" t="str">
        <x:v>Very unlikely</x:v>
      </x:c>
      <x:c r="M11" s="16" t="str">
        <x:v>Significant</x:v>
      </x:c>
      <x:c r="N11" s="16" t="str">
        <x:v>Low</x:v>
      </x:c>
    </x:row>
    <x:row r="12" ht="41" customHeight="1">
      <x:c r="A12" s="16" t="str">
        <x:v>RAW-00006</x:v>
      </x:c>
      <x:c r="B12" s="16" t="str">
        <x:v>Recommendation</x:v>
      </x:c>
      <x:c r="C12" s="16" t="str">
        <x:v>– Cap purlin holes to prevent water ingress. Clean all salt staining.</x:v>
      </x:c>
      <x:c r="D12" s="16" t="str">
        <x:v>Purlins and rafters</x:v>
      </x:c>
      <x:c r="E12" s="16" t="str">
        <x:v>SRC-001</x:v>
      </x:c>
      <x:c r="F12" s="16" t="str">
        <x:v>REC-0050</x:v>
      </x:c>
      <x:c r="G12" s="16" t="str">
        <x:v>正式报告</x:v>
      </x:c>
      <x:c r="H12" s="19" t="n">
        <x:v>4</x:v>
      </x:c>
      <x:c r="I12" s="19" t="n">
        <x:v>8</x:v>
      </x:c>
      <x:c r="J12" s="19" t="n">
        <x:v>1</x:v>
      </x:c>
      <x:c r="K12" s="16" t="str">
        <x:v>1. New with no visible defects/damage</x:v>
      </x:c>
      <x:c r="L12" s="16" t="str">
        <x:v>Very unlikely</x:v>
      </x:c>
      <x:c r="M12" s="16" t="str">
        <x:v>Significant</x:v>
      </x:c>
      <x:c r="N12" s="16" t="str">
        <x:v>Low</x:v>
      </x:c>
    </x:row>
    <x:row r="13" ht="41" customHeight="1">
      <x:c r="A13" s="16" t="str">
        <x:v>RAW-00007</x:v>
      </x:c>
      <x:c r="B13" s="16" t="str">
        <x:v>Observation</x:v>
      </x:c>
      <x:c r="C13" s="16" t="str">
        <x:v>– Salt staining.</x:v>
      </x:c>
      <x:c r="D13" s="16" t="str">
        <x:v>Purlins and rafters</x:v>
      </x:c>
      <x:c r="E13" s="16" t="str">
        <x:v>SRC-001</x:v>
      </x:c>
      <x:c r="F13" s="16" t="str">
        <x:v>OBS-0083</x:v>
      </x:c>
      <x:c r="G13" s="16" t="str">
        <x:v>正式报告</x:v>
      </x:c>
      <x:c r="H13" s="19" t="n">
        <x:v>4</x:v>
      </x:c>
      <x:c r="I13" s="19" t="n">
        <x:v>9</x:v>
      </x:c>
      <x:c r="J13" s="19" t="n">
        <x:v>1</x:v>
      </x:c>
      <x:c r="K13" s="16" t="str">
        <x:v>1. New with no visible defects/damage</x:v>
      </x:c>
      <x:c r="L13" s="16" t="str">
        <x:v>Very unlikely</x:v>
      </x:c>
      <x:c r="M13" s="16" t="str">
        <x:v>Significant</x:v>
      </x:c>
      <x:c r="N13" s="16" t="str">
        <x:v>Low</x:v>
      </x:c>
    </x:row>
    <x:row r="14" ht="41" customHeight="1">
      <x:c r="A14" s="16" t="str">
        <x:v>RAW-00008</x:v>
      </x:c>
      <x:c r="B14" s="16" t="str">
        <x:v>Recommendation</x:v>
      </x:c>
      <x:c r="C14" s="16" t="str">
        <x:v>– Clean salt staining.</x:v>
      </x:c>
      <x:c r="D14" s="16" t="str">
        <x:v>Purlins and rafters</x:v>
      </x:c>
      <x:c r="E14" s="16" t="str">
        <x:v>SRC-001</x:v>
      </x:c>
      <x:c r="F14" s="16" t="str">
        <x:v>REC-0009</x:v>
      </x:c>
      <x:c r="G14" s="16" t="str">
        <x:v>正式报告</x:v>
      </x:c>
      <x:c r="H14" s="19" t="n">
        <x:v>4</x:v>
      </x:c>
      <x:c r="I14" s="19" t="n">
        <x:v>9</x:v>
      </x:c>
      <x:c r="J14" s="19" t="n">
        <x:v>1</x:v>
      </x:c>
      <x:c r="K14" s="16" t="str">
        <x:v>1. New with no visible defects/damage</x:v>
      </x:c>
      <x:c r="L14" s="16" t="str">
        <x:v>Very unlikely</x:v>
      </x:c>
      <x:c r="M14" s="16" t="str">
        <x:v>Significant</x:v>
      </x:c>
      <x:c r="N14" s="16" t="str">
        <x:v>Low</x:v>
      </x:c>
    </x:row>
    <x:row r="15" ht="41" customHeight="1">
      <x:c r="A15" s="16" t="str">
        <x:v>RAW-00009</x:v>
      </x:c>
      <x:c r="B15" s="16" t="str">
        <x:v>Observation</x:v>
      </x:c>
      <x:c r="C15" s="16" t="str">
        <x:v>– Side roof overhang in good condition.</x:v>
      </x:c>
      <x:c r="D15" s="16" t="str">
        <x:v>Purlins and rafters</x:v>
      </x:c>
      <x:c r="E15" s="16" t="str">
        <x:v>SRC-001</x:v>
      </x:c>
      <x:c r="F15" s="16" t="str">
        <x:v>OBS-0084</x:v>
      </x:c>
      <x:c r="G15" s="16" t="str">
        <x:v>正式报告</x:v>
      </x:c>
      <x:c r="H15" s="19" t="n">
        <x:v>4</x:v>
      </x:c>
      <x:c r="I15" s="19" t="n">
        <x:v>10</x:v>
      </x:c>
      <x:c r="J15" s="19" t="n">
        <x:v>1</x:v>
      </x:c>
      <x:c r="K15" s="16" t="str">
        <x:v>1. New with no visible defects/damage</x:v>
      </x:c>
      <x:c r="L15" s="16" t="str">
        <x:v>Very unlikely</x:v>
      </x:c>
      <x:c r="M15" s="16" t="str">
        <x:v>Significant</x:v>
      </x:c>
      <x:c r="N15" s="16" t="str">
        <x:v>Low</x:v>
      </x:c>
    </x:row>
    <x:row r="16" ht="41" customHeight="1">
      <x:c r="A16" s="16" t="str">
        <x:v>RAW-00010</x:v>
      </x:c>
      <x:c r="B16" s="16" t="str">
        <x:v>Recommendation</x:v>
      </x:c>
      <x:c r="C16" s="16" t="str">
        <x:v>– Cover purlin holes to prevent water ingress. Clean all salt staining.</x:v>
      </x:c>
      <x:c r="D16" s="16" t="str">
        <x:v>Purlins and rafters</x:v>
      </x:c>
      <x:c r="E16" s="16" t="str">
        <x:v>SRC-001</x:v>
      </x:c>
      <x:c r="F16" s="16" t="str">
        <x:v>REC-0086</x:v>
      </x:c>
      <x:c r="G16" s="16" t="str">
        <x:v>正式报告</x:v>
      </x:c>
      <x:c r="H16" s="19" t="n">
        <x:v>4</x:v>
      </x:c>
      <x:c r="I16" s="19" t="n">
        <x:v>10</x:v>
      </x:c>
      <x:c r="J16" s="19" t="n">
        <x:v>1</x:v>
      </x:c>
      <x:c r="K16" s="16" t="str">
        <x:v>1. New with no visible defects/damage</x:v>
      </x:c>
      <x:c r="L16" s="16" t="str">
        <x:v>Very unlikely</x:v>
      </x:c>
      <x:c r="M16" s="16" t="str">
        <x:v>Significant</x:v>
      </x:c>
      <x:c r="N16" s="16" t="str">
        <x:v>Low</x:v>
      </x:c>
    </x:row>
    <x:row r="17" ht="41" customHeight="1">
      <x:c r="A17" s="16" t="str">
        <x:v>RAW-00011</x:v>
      </x:c>
      <x:c r="B17" s="16" t="str">
        <x:v>Observation</x:v>
      </x:c>
      <x:c r="C17" s="16" t="str">
        <x:v>– Columns in good condition.</x:v>
      </x:c>
      <x:c r="D17" s="16" t="str">
        <x:v>Columns</x:v>
      </x:c>
      <x:c r="E17" s="16" t="str">
        <x:v>SRC-001</x:v>
      </x:c>
      <x:c r="F17" s="16" t="str">
        <x:v>OBS-0001</x:v>
      </x:c>
      <x:c r="G17" s="16" t="str">
        <x:v>正式报告</x:v>
      </x:c>
      <x:c r="H17" s="19" t="n">
        <x:v>5</x:v>
      </x:c>
      <x:c r="I17" s="19" t="n">
        <x:v>6</x:v>
      </x:c>
      <x:c r="J17" s="19" t="n">
        <x:v>2</x:v>
      </x:c>
      <x:c r="K17" s="16" t="str">
        <x:v>1. New with no visible defects/damage</x:v>
      </x:c>
      <x:c r="L17" s="16" t="str">
        <x:v>Very unlikely</x:v>
      </x:c>
      <x:c r="M17" s="16" t="str">
        <x:v>Significant</x:v>
      </x:c>
      <x:c r="N17" s="16" t="str">
        <x:v>Low</x:v>
      </x:c>
    </x:row>
    <x:row r="18" ht="41" customHeight="1">
      <x:c r="A18" s="16" t="str">
        <x:v>RAW-00012</x:v>
      </x:c>
      <x:c r="B18" s="16" t="str">
        <x:v>Recommendation</x:v>
      </x:c>
      <x:c r="C18" s="16" t="str">
        <x:v>– None</x:v>
      </x:c>
      <x:c r="D18" s="16" t="str">
        <x:v>Columns</x:v>
      </x:c>
      <x:c r="E18" s="16" t="str">
        <x:v>SRC-001</x:v>
      </x:c>
      <x:c r="F18" s="16" t="str">
        <x:v>REC-0003</x:v>
      </x:c>
      <x:c r="G18" s="16" t="str">
        <x:v>正式报告</x:v>
      </x:c>
      <x:c r="H18" s="19" t="n">
        <x:v>5</x:v>
      </x:c>
      <x:c r="I18" s="19" t="n">
        <x:v>6</x:v>
      </x:c>
      <x:c r="J18" s="19" t="n">
        <x:v>2</x:v>
      </x:c>
      <x:c r="K18" s="16" t="str">
        <x:v>1. New with no visible defects/damage</x:v>
      </x:c>
      <x:c r="L18" s="16" t="str">
        <x:v>Very unlikely</x:v>
      </x:c>
      <x:c r="M18" s="16" t="str">
        <x:v>Significant</x:v>
      </x:c>
      <x:c r="N18" s="16" t="str">
        <x:v>Low</x:v>
      </x:c>
    </x:row>
    <x:row r="19" ht="37" customHeight="1">
      <x:c r="A19" s="16" t="str">
        <x:v>RAW-00013</x:v>
      </x:c>
      <x:c r="B19" s="16" t="str">
        <x:v>Observation</x:v>
      </x:c>
      <x:c r="C19" s="16" t="str">
        <x:v>– Front of property. Cladding and framing in good condition.</x:v>
      </x:c>
      <x:c r="D19" s="16" t="str">
        <x:v>Cladding and framing</x:v>
      </x:c>
      <x:c r="E19" s="16" t="str">
        <x:v>SRC-001</x:v>
      </x:c>
      <x:c r="F19" s="16" t="str">
        <x:v>OBS-0004</x:v>
      </x:c>
      <x:c r="G19" s="16" t="str">
        <x:v>正式报告</x:v>
      </x:c>
      <x:c r="H19" s="19" t="n">
        <x:v>6</x:v>
      </x:c>
      <x:c r="I19" s="19" t="n">
        <x:v>6</x:v>
      </x:c>
      <x:c r="J19" s="19" t="n">
        <x:v>1</x:v>
      </x:c>
      <x:c r="K19" s="16" t="str">
        <x:v>4. Moderate deterioration</x:v>
      </x:c>
      <x:c r="L19" s="16" t="str">
        <x:v>Possible</x:v>
      </x:c>
      <x:c r="M19" s="16" t="str">
        <x:v>Negligible</x:v>
      </x:c>
      <x:c r="N19" s="16" t="str">
        <x:v>Low</x:v>
      </x:c>
    </x:row>
    <x:row r="20" ht="37" customHeight="1">
      <x:c r="A20" s="16" t="str">
        <x:v>RAW-00014</x:v>
      </x:c>
      <x:c r="B20" s="16" t="str">
        <x:v>Observation</x:v>
      </x:c>
      <x:c r="C20" s="16" t="str">
        <x:v>– Right hand side of property. Cladding in good condition.</x:v>
      </x:c>
      <x:c r="D20" s="16" t="str">
        <x:v>Cladding and framing</x:v>
      </x:c>
      <x:c r="E20" s="16" t="str">
        <x:v>SRC-001</x:v>
      </x:c>
      <x:c r="F20" s="16" t="str">
        <x:v>OBS-0506</x:v>
      </x:c>
      <x:c r="G20" s="16" t="str">
        <x:v>正式报告</x:v>
      </x:c>
      <x:c r="H20" s="19" t="n">
        <x:v>6</x:v>
      </x:c>
      <x:c r="I20" s="19" t="n">
        <x:v>7</x:v>
      </x:c>
      <x:c r="J20" s="19" t="n">
        <x:v>1</x:v>
      </x:c>
      <x:c r="K20" s="16" t="str">
        <x:v>4. Moderate deterioration</x:v>
      </x:c>
      <x:c r="L20" s="16" t="str">
        <x:v>Possible</x:v>
      </x:c>
      <x:c r="M20" s="16" t="str">
        <x:v>Negligible</x:v>
      </x:c>
      <x:c r="N20" s="16" t="str">
        <x:v>Low</x:v>
      </x:c>
    </x:row>
    <x:row r="21" ht="37" customHeight="1">
      <x:c r="A21" s="16" t="str">
        <x:v>RAW-00015</x:v>
      </x:c>
      <x:c r="B21" s="16" t="str">
        <x:v>Observation</x:v>
      </x:c>
      <x:c r="C21" s="16" t="str">
        <x:v>– Minor pitting of the window frame.</x:v>
      </x:c>
      <x:c r="D21" s="16" t="str">
        <x:v>Cladding and framing</x:v>
      </x:c>
      <x:c r="E21" s="16" t="str">
        <x:v>SRC-001</x:v>
      </x:c>
      <x:c r="F21" s="16" t="str">
        <x:v>OBS-0404</x:v>
      </x:c>
      <x:c r="G21" s="16" t="str">
        <x:v>正式报告</x:v>
      </x:c>
      <x:c r="H21" s="19" t="n">
        <x:v>6</x:v>
      </x:c>
      <x:c r="I21" s="19" t="n">
        <x:v>8</x:v>
      </x:c>
      <x:c r="J21" s="19" t="n">
        <x:v>3</x:v>
      </x:c>
      <x:c r="K21" s="16" t="str">
        <x:v>4. Moderate deterioration</x:v>
      </x:c>
      <x:c r="L21" s="16" t="str">
        <x:v>Possible</x:v>
      </x:c>
      <x:c r="M21" s="16" t="str">
        <x:v>Negligible</x:v>
      </x:c>
      <x:c r="N21" s="16" t="str">
        <x:v>Low</x:v>
      </x:c>
    </x:row>
    <x:row r="22" ht="41" customHeight="1">
      <x:c r="A22" s="16" t="str">
        <x:v>RAW-00016</x:v>
      </x:c>
      <x:c r="B22" s="16" t="str">
        <x:v>Recommendation</x:v>
      </x:c>
      <x:c r="C22" s="16" t="str">
        <x:v>Monitor the level of deterioration
In long term, replace the window frame.</x:v>
      </x:c>
      <x:c r="D22" s="16" t="str">
        <x:v>Cladding and framing</x:v>
      </x:c>
      <x:c r="E22" s="16" t="str">
        <x:v>SRC-001</x:v>
      </x:c>
      <x:c r="F22" s="16" t="str">
        <x:v>REC-0114</x:v>
      </x:c>
      <x:c r="G22" s="16" t="str">
        <x:v>正式报告</x:v>
      </x:c>
      <x:c r="H22" s="19" t="n">
        <x:v>6</x:v>
      </x:c>
      <x:c r="I22" s="19" t="n">
        <x:v>8</x:v>
      </x:c>
      <x:c r="J22" s="19" t="n">
        <x:v>3</x:v>
      </x:c>
      <x:c r="K22" s="16" t="str">
        <x:v>4. Moderate deterioration</x:v>
      </x:c>
      <x:c r="L22" s="16" t="str">
        <x:v>Possible</x:v>
      </x:c>
      <x:c r="M22" s="16" t="str">
        <x:v>Negligible</x:v>
      </x:c>
      <x:c r="N22" s="16" t="str">
        <x:v>Low</x:v>
      </x:c>
    </x:row>
    <x:row r="23" ht="37" customHeight="1">
      <x:c r="A23" s="16" t="str">
        <x:v>RAW-00017</x:v>
      </x:c>
      <x:c r="B23" s="16" t="str">
        <x:v>Observation</x:v>
      </x:c>
      <x:c r="C23" s="16" t="str">
        <x:v>– Carport verandah roof, right hand side facing the front entrance. Deformed roof sheeting.</x:v>
      </x:c>
      <x:c r="D23" s="16" t="str">
        <x:v>Roof</x:v>
      </x:c>
      <x:c r="E23" s="16" t="str">
        <x:v>SRC-001</x:v>
      </x:c>
      <x:c r="F23" s="16" t="str">
        <x:v>OBS-0173</x:v>
      </x:c>
      <x:c r="G23" s="16" t="str">
        <x:v>正式报告</x:v>
      </x:c>
      <x:c r="H23" s="19" t="n">
        <x:v>7</x:v>
      </x:c>
      <x:c r="I23" s="19" t="n">
        <x:v>6</x:v>
      </x:c>
      <x:c r="J23" s="19" t="n">
        <x:v>2</x:v>
      </x:c>
      <x:c r="K23" s="16" t="str">
        <x:v>3. Minor deterioration</x:v>
      </x:c>
      <x:c r="L23" s="16" t="str">
        <x:v>Unlikely</x:v>
      </x:c>
      <x:c r="M23" s="16" t="str">
        <x:v>Negligible</x:v>
      </x:c>
      <x:c r="N23" s="16" t="str">
        <x:v>Low</x:v>
      </x:c>
    </x:row>
    <x:row r="24" ht="37" customHeight="1">
      <x:c r="A24" s="16" t="str">
        <x:v>RAW-00018</x:v>
      </x:c>
      <x:c r="B24" s="16" t="str">
        <x:v>Recommendation</x:v>
      </x:c>
      <x:c r="C24" s="16" t="str">
        <x:v>– None.</x:v>
      </x:c>
      <x:c r="D24" s="16" t="str">
        <x:v>Roof</x:v>
      </x:c>
      <x:c r="E24" s="16" t="str">
        <x:v>SRC-001</x:v>
      </x:c>
      <x:c r="F24" s="16" t="str">
        <x:v>REC-0003</x:v>
      </x:c>
      <x:c r="G24" s="16" t="str">
        <x:v>正式报告</x:v>
      </x:c>
      <x:c r="H24" s="19" t="n">
        <x:v>7</x:v>
      </x:c>
      <x:c r="I24" s="19" t="n">
        <x:v>6</x:v>
      </x:c>
      <x:c r="J24" s="19" t="n">
        <x:v>2</x:v>
      </x:c>
      <x:c r="K24" s="16" t="str">
        <x:v>3. Minor deterioration</x:v>
      </x:c>
      <x:c r="L24" s="16" t="str">
        <x:v>Unlikely</x:v>
      </x:c>
      <x:c r="M24" s="16" t="str">
        <x:v>Negligible</x:v>
      </x:c>
      <x:c r="N24" s="16" t="str">
        <x:v>Low</x:v>
      </x:c>
    </x:row>
    <x:row r="25" ht="37" customHeight="1">
      <x:c r="A25" s="16" t="str">
        <x:v>RAW-00019</x:v>
      </x:c>
      <x:c r="B25" s="16" t="str">
        <x:v>Observation</x:v>
      </x:c>
      <x:c r="C25" s="16" t="str">
        <x:v>– Front verandah has salt staining on purlins and rafters.</x:v>
      </x:c>
      <x:c r="D25" s="16" t="str">
        <x:v>Rafters and purlins</x:v>
      </x:c>
      <x:c r="E25" s="16" t="str">
        <x:v>SRC-002</x:v>
      </x:c>
      <x:c r="F25" s="16" t="str">
        <x:v>OBS-0053</x:v>
      </x:c>
      <x:c r="G25" s="16" t="str">
        <x:v>正式报告</x:v>
      </x:c>
      <x:c r="H25" s="19" t="n">
        <x:v>3</x:v>
      </x:c>
      <x:c r="I25" s="19" t="n">
        <x:v>6</x:v>
      </x:c>
      <x:c r="J25" s="19" t="n">
        <x:v>1</x:v>
      </x:c>
      <x:c r="K25" s="16" t="str">
        <x:v>2. New with slight deterioration</x:v>
      </x:c>
      <x:c r="L25" s="16" t="str">
        <x:v>Very unlikely</x:v>
      </x:c>
      <x:c r="M25" s="16" t="str">
        <x:v>Significant</x:v>
      </x:c>
      <x:c r="N25" s="16" t="str">
        <x:v>Low</x:v>
      </x:c>
    </x:row>
    <x:row r="26" ht="37" customHeight="1">
      <x:c r="A26" s="16" t="str">
        <x:v>RAW-00020</x:v>
      </x:c>
      <x:c r="B26" s="16" t="str">
        <x:v>Observation</x:v>
      </x:c>
      <x:c r="C26" s="16" t="str">
        <x:v>– Front verandah has salt staining on purlins and rafters.</x:v>
      </x:c>
      <x:c r="D26" s="16" t="str">
        <x:v>Rafters and purlins</x:v>
      </x:c>
      <x:c r="E26" s="16" t="str">
        <x:v>SRC-002</x:v>
      </x:c>
      <x:c r="F26" s="16" t="str">
        <x:v>OBS-0053</x:v>
      </x:c>
      <x:c r="G26" s="16" t="str">
        <x:v>正式报告</x:v>
      </x:c>
      <x:c r="H26" s="19" t="n">
        <x:v>3</x:v>
      </x:c>
      <x:c r="I26" s="19" t="n">
        <x:v>7</x:v>
      </x:c>
      <x:c r="J26" s="19" t="n">
        <x:v>1</x:v>
      </x:c>
      <x:c r="K26" s="16" t="str">
        <x:v>2. New with slight deterioration</x:v>
      </x:c>
      <x:c r="L26" s="16" t="str">
        <x:v>Very unlikely</x:v>
      </x:c>
      <x:c r="M26" s="16" t="str">
        <x:v>Significant</x:v>
      </x:c>
      <x:c r="N26" s="16" t="str">
        <x:v>Low</x:v>
      </x:c>
    </x:row>
    <x:row r="27" ht="37" customHeight="1">
      <x:c r="A27" s="16" t="str">
        <x:v>RAW-00021</x:v>
      </x:c>
      <x:c r="B27" s="16" t="str">
        <x:v>Observation</x:v>
      </x:c>
      <x:c r="C27" s="16" t="str">
        <x:v>– Carport verandah in good condition.</x:v>
      </x:c>
      <x:c r="D27" s="16" t="str">
        <x:v>Rafters and purlins</x:v>
      </x:c>
      <x:c r="E27" s="16" t="str">
        <x:v>SRC-002</x:v>
      </x:c>
      <x:c r="F27" s="16" t="str">
        <x:v>OBS-0003</x:v>
      </x:c>
      <x:c r="G27" s="16" t="str">
        <x:v>正式报告</x:v>
      </x:c>
      <x:c r="H27" s="19" t="n">
        <x:v>3</x:v>
      </x:c>
      <x:c r="I27" s="19" t="n">
        <x:v>8</x:v>
      </x:c>
      <x:c r="J27" s="19" t="n">
        <x:v>1</x:v>
      </x:c>
      <x:c r="K27" s="16" t="str">
        <x:v>2. New with slight deterioration</x:v>
      </x:c>
      <x:c r="L27" s="16" t="str">
        <x:v>Very unlikely</x:v>
      </x:c>
      <x:c r="M27" s="16" t="str">
        <x:v>Significant</x:v>
      </x:c>
      <x:c r="N27" s="16" t="str">
        <x:v>Low</x:v>
      </x:c>
    </x:row>
    <x:row r="28" ht="37" customHeight="1">
      <x:c r="A28" s="16" t="str">
        <x:v>RAW-00022</x:v>
      </x:c>
      <x:c r="B28" s="16" t="str">
        <x:v>Observation</x:v>
      </x:c>
      <x:c r="C28" s="16" t="str">
        <x:v>– Front yard verandah in good condition.</x:v>
      </x:c>
      <x:c r="D28" s="16" t="str">
        <x:v>Rafters and purlins</x:v>
      </x:c>
      <x:c r="E28" s="16" t="str">
        <x:v>SRC-002</x:v>
      </x:c>
      <x:c r="F28" s="16" t="str">
        <x:v>OBS-0313</x:v>
      </x:c>
      <x:c r="G28" s="16" t="str">
        <x:v>正式报告</x:v>
      </x:c>
      <x:c r="H28" s="19" t="n">
        <x:v>3</x:v>
      </x:c>
      <x:c r="I28" s="19" t="n">
        <x:v>9</x:v>
      </x:c>
      <x:c r="J28" s="19" t="n">
        <x:v>1</x:v>
      </x:c>
      <x:c r="K28" s="16" t="str">
        <x:v>2. New with slight deterioration</x:v>
      </x:c>
      <x:c r="L28" s="16" t="str">
        <x:v>Very unlikely</x:v>
      </x:c>
      <x:c r="M28" s="16" t="str">
        <x:v>Significant</x:v>
      </x:c>
      <x:c r="N28" s="16" t="str">
        <x:v>Low</x:v>
      </x:c>
    </x:row>
    <x:row r="29" ht="37" customHeight="1">
      <x:c r="A29" s="16" t="str">
        <x:v>RAW-00023</x:v>
      </x:c>
      <x:c r="B29" s="16" t="str">
        <x:v>Recommendation</x:v>
      </x:c>
      <x:c r="C29" s="16" t="str">
        <x:v>– Remove salt staining.</x:v>
      </x:c>
      <x:c r="D29" s="16" t="str">
        <x:v>Rafters and purlins</x:v>
      </x:c>
      <x:c r="E29" s="16" t="str">
        <x:v>SRC-002</x:v>
      </x:c>
      <x:c r="F29" s="16" t="str">
        <x:v>REC-0004</x:v>
      </x:c>
      <x:c r="G29" s="16" t="str">
        <x:v>正式报告</x:v>
      </x:c>
      <x:c r="H29" s="19" t="n">
        <x:v>3</x:v>
      </x:c>
      <x:c r="I29" s="19" t="n">
        <x:v>9</x:v>
      </x:c>
      <x:c r="J29" s="19" t="n">
        <x:v>1</x:v>
      </x:c>
      <x:c r="K29" s="16" t="str">
        <x:v>2. New with slight deterioration</x:v>
      </x:c>
      <x:c r="L29" s="16" t="str">
        <x:v>Very unlikely</x:v>
      </x:c>
      <x:c r="M29" s="16" t="str">
        <x:v>Significant</x:v>
      </x:c>
      <x:c r="N29" s="16" t="str">
        <x:v>Low</x:v>
      </x:c>
    </x:row>
    <x:row r="30" ht="37" customHeight="1">
      <x:c r="A30" s="16" t="str">
        <x:v>RAW-00024</x:v>
      </x:c>
      <x:c r="B30" s="16" t="str">
        <x:v>Observation</x:v>
      </x:c>
      <x:c r="C30" s="16" t="str">
        <x:v>– Front verandah columns overview.</x:v>
      </x:c>
      <x:c r="D30" s="16" t="str">
        <x:v>Carport columns</x:v>
      </x:c>
      <x:c r="E30" s="16" t="str">
        <x:v>SRC-002</x:v>
      </x:c>
      <x:c r="F30" s="16" t="str">
        <x:v>OBS-0052</x:v>
      </x:c>
      <x:c r="G30" s="16" t="str">
        <x:v>正式报告</x:v>
      </x:c>
      <x:c r="H30" s="19" t="n">
        <x:v>4</x:v>
      </x:c>
      <x:c r="I30" s="19" t="n">
        <x:v>6</x:v>
      </x:c>
      <x:c r="J30" s="19" t="n">
        <x:v>1</x:v>
      </x:c>
      <x:c r="K30" s="16" t="str">
        <x:v>2. New with slight deterioration</x:v>
      </x:c>
      <x:c r="L30" s="16" t="str">
        <x:v>Very unlikely</x:v>
      </x:c>
      <x:c r="M30" s="16" t="str">
        <x:v>Significant</x:v>
      </x:c>
      <x:c r="N30" s="16" t="str">
        <x:v>Low</x:v>
      </x:c>
    </x:row>
    <x:row r="31" ht="37" customHeight="1">
      <x:c r="A31" s="16" t="str">
        <x:v>RAW-00025</x:v>
      </x:c>
      <x:c r="B31" s="16" t="str">
        <x:v>Observation</x:v>
      </x:c>
      <x:c r="C31" s="16" t="str">
        <x:v>– Right hand side columns. Minor paint deterioration.</x:v>
      </x:c>
      <x:c r="D31" s="16" t="str">
        <x:v>Carport columns</x:v>
      </x:c>
      <x:c r="E31" s="16" t="str">
        <x:v>SRC-002</x:v>
      </x:c>
      <x:c r="F31" s="16" t="str">
        <x:v>OBS-0479</x:v>
      </x:c>
      <x:c r="G31" s="16" t="str">
        <x:v>正式报告</x:v>
      </x:c>
      <x:c r="H31" s="19" t="n">
        <x:v>4</x:v>
      </x:c>
      <x:c r="I31" s="19" t="n">
        <x:v>7</x:v>
      </x:c>
      <x:c r="J31" s="19" t="n">
        <x:v>2</x:v>
      </x:c>
      <x:c r="K31" s="16" t="str">
        <x:v>2. New with slight deterioration</x:v>
      </x:c>
      <x:c r="L31" s="16" t="str">
        <x:v>Very unlikely</x:v>
      </x:c>
      <x:c r="M31" s="16" t="str">
        <x:v>Significant</x:v>
      </x:c>
      <x:c r="N31" s="16" t="str">
        <x:v>Low</x:v>
      </x:c>
    </x:row>
    <x:row r="32" ht="37" customHeight="1">
      <x:c r="A32" s="16" t="str">
        <x:v>RAW-00026</x:v>
      </x:c>
      <x:c r="B32" s="16" t="str">
        <x:v>Recommendation</x:v>
      </x:c>
      <x:c r="C32" s="16" t="str">
        <x:v>– Clean and repaint.</x:v>
      </x:c>
      <x:c r="D32" s="16" t="str">
        <x:v>Carport columns</x:v>
      </x:c>
      <x:c r="E32" s="16" t="str">
        <x:v>SRC-002</x:v>
      </x:c>
      <x:c r="F32" s="16" t="str">
        <x:v>REC-0006</x:v>
      </x:c>
      <x:c r="G32" s="16" t="str">
        <x:v>正式报告</x:v>
      </x:c>
      <x:c r="H32" s="19" t="n">
        <x:v>4</x:v>
      </x:c>
      <x:c r="I32" s="19" t="n">
        <x:v>7</x:v>
      </x:c>
      <x:c r="J32" s="19" t="n">
        <x:v>2</x:v>
      </x:c>
      <x:c r="K32" s="16" t="str">
        <x:v>2. New with slight deterioration</x:v>
      </x:c>
      <x:c r="L32" s="16" t="str">
        <x:v>Very unlikely</x:v>
      </x:c>
      <x:c r="M32" s="16" t="str">
        <x:v>Significant</x:v>
      </x:c>
      <x:c r="N32" s="16" t="str">
        <x:v>Low</x:v>
      </x:c>
    </x:row>
    <x:row r="33" ht="37" customHeight="1">
      <x:c r="A33" s="16" t="str">
        <x:v>RAW-00027</x:v>
      </x:c>
      <x:c r="B33" s="16" t="str">
        <x:v>Observation</x:v>
      </x:c>
      <x:c r="C33" s="16" t="str">
        <x:v>– Overview of front yard verandah</x:v>
      </x:c>
      <x:c r="D33" s="16" t="str">
        <x:v>Verandah columns</x:v>
      </x:c>
      <x:c r="E33" s="16" t="str">
        <x:v>SRC-002</x:v>
      </x:c>
      <x:c r="F33" s="16" t="str">
        <x:v>OBS-0431</x:v>
      </x:c>
      <x:c r="G33" s="16" t="str">
        <x:v>正式报告</x:v>
      </x:c>
      <x:c r="H33" s="19" t="n">
        <x:v>5</x:v>
      </x:c>
      <x:c r="I33" s="19" t="n">
        <x:v>6</x:v>
      </x:c>
      <x:c r="J33" s="19" t="n">
        <x:v>1</x:v>
      </x:c>
      <x:c r="K33" s="16" t="str">
        <x:v>2. New with slight deterioration</x:v>
      </x:c>
      <x:c r="L33" s="16" t="str">
        <x:v>Very unlikely</x:v>
      </x:c>
      <x:c r="M33" s="16" t="str">
        <x:v>Significant</x:v>
      </x:c>
      <x:c r="N33" s="16" t="str">
        <x:v>Low</x:v>
      </x:c>
    </x:row>
    <x:row r="34" ht="37" customHeight="1">
      <x:c r="A34" s="16" t="str">
        <x:v>RAW-00028</x:v>
      </x:c>
      <x:c r="B34" s="16" t="str">
        <x:v>Observation</x:v>
      </x:c>
      <x:c r="C34" s="16" t="str">
        <x:v>– Column 2. Salt staining at the lower section of column.</x:v>
      </x:c>
      <x:c r="D34" s="16" t="str">
        <x:v>Verandah columns</x:v>
      </x:c>
      <x:c r="E34" s="16" t="str">
        <x:v>SRC-002</x:v>
      </x:c>
      <x:c r="F34" s="16" t="str">
        <x:v>OBS-0195</x:v>
      </x:c>
      <x:c r="G34" s="16" t="str">
        <x:v>正式报告</x:v>
      </x:c>
      <x:c r="H34" s="19" t="n">
        <x:v>5</x:v>
      </x:c>
      <x:c r="I34" s="19" t="n">
        <x:v>7</x:v>
      </x:c>
      <x:c r="J34" s="19" t="n">
        <x:v>1</x:v>
      </x:c>
      <x:c r="K34" s="16" t="str">
        <x:v>2. New with slight deterioration</x:v>
      </x:c>
      <x:c r="L34" s="16" t="str">
        <x:v>Very unlikely</x:v>
      </x:c>
      <x:c r="M34" s="16" t="str">
        <x:v>Significant</x:v>
      </x:c>
      <x:c r="N34" s="16" t="str">
        <x:v>Low</x:v>
      </x:c>
    </x:row>
    <x:row r="35" ht="37" customHeight="1">
      <x:c r="A35" s="16" t="str">
        <x:v>RAW-00029</x:v>
      </x:c>
      <x:c r="B35" s="16" t="str">
        <x:v>Recommendation</x:v>
      </x:c>
      <x:c r="C35" s="16" t="str">
        <x:v>– Remove salt staining.</x:v>
      </x:c>
      <x:c r="D35" s="16" t="str">
        <x:v>Verandah columns</x:v>
      </x:c>
      <x:c r="E35" s="16" t="str">
        <x:v>SRC-002</x:v>
      </x:c>
      <x:c r="F35" s="16" t="str">
        <x:v>REC-0004</x:v>
      </x:c>
      <x:c r="G35" s="16" t="str">
        <x:v>正式报告</x:v>
      </x:c>
      <x:c r="H35" s="19" t="n">
        <x:v>5</x:v>
      </x:c>
      <x:c r="I35" s="19" t="n">
        <x:v>7</x:v>
      </x:c>
      <x:c r="J35" s="19" t="n">
        <x:v>1</x:v>
      </x:c>
      <x:c r="K35" s="16" t="str">
        <x:v>2. New with slight deterioration</x:v>
      </x:c>
      <x:c r="L35" s="16" t="str">
        <x:v>Very unlikely</x:v>
      </x:c>
      <x:c r="M35" s="16" t="str">
        <x:v>Significant</x:v>
      </x:c>
      <x:c r="N35" s="16" t="str">
        <x:v>Low</x:v>
      </x:c>
    </x:row>
    <x:row r="36" ht="37" customHeight="1">
      <x:c r="A36" s="16" t="str">
        <x:v>RAW-00030</x:v>
      </x:c>
      <x:c r="B36" s="16" t="str">
        <x:v>Observation</x:v>
      </x:c>
      <x:c r="C36" s="16" t="str">
        <x:v>– Column 3. Salt staining at the lower section of column.</x:v>
      </x:c>
      <x:c r="D36" s="16" t="str">
        <x:v>Verandah columns</x:v>
      </x:c>
      <x:c r="E36" s="16" t="str">
        <x:v>SRC-002</x:v>
      </x:c>
      <x:c r="F36" s="16" t="str">
        <x:v>OBS-0200</x:v>
      </x:c>
      <x:c r="G36" s="16" t="str">
        <x:v>正式报告</x:v>
      </x:c>
      <x:c r="H36" s="19" t="n">
        <x:v>5</x:v>
      </x:c>
      <x:c r="I36" s="19" t="n">
        <x:v>8</x:v>
      </x:c>
      <x:c r="J36" s="19" t="n">
        <x:v>1</x:v>
      </x:c>
      <x:c r="K36" s="16" t="str">
        <x:v>2. New with slight deterioration</x:v>
      </x:c>
      <x:c r="L36" s="16" t="str">
        <x:v>Very unlikely</x:v>
      </x:c>
      <x:c r="M36" s="16" t="str">
        <x:v>Significant</x:v>
      </x:c>
      <x:c r="N36" s="16" t="str">
        <x:v>Low</x:v>
      </x:c>
    </x:row>
    <x:row r="37" ht="37" customHeight="1">
      <x:c r="A37" s="16" t="str">
        <x:v>RAW-00031</x:v>
      </x:c>
      <x:c r="B37" s="16" t="str">
        <x:v>Recommendation</x:v>
      </x:c>
      <x:c r="C37" s="16" t="str">
        <x:v>– Remove salt staining.</x:v>
      </x:c>
      <x:c r="D37" s="16" t="str">
        <x:v>Verandah columns</x:v>
      </x:c>
      <x:c r="E37" s="16" t="str">
        <x:v>SRC-002</x:v>
      </x:c>
      <x:c r="F37" s="16" t="str">
        <x:v>REC-0004</x:v>
      </x:c>
      <x:c r="G37" s="16" t="str">
        <x:v>正式报告</x:v>
      </x:c>
      <x:c r="H37" s="19" t="n">
        <x:v>5</x:v>
      </x:c>
      <x:c r="I37" s="19" t="n">
        <x:v>8</x:v>
      </x:c>
      <x:c r="J37" s="19" t="n">
        <x:v>1</x:v>
      </x:c>
      <x:c r="K37" s="16" t="str">
        <x:v>2. New with slight deterioration</x:v>
      </x:c>
      <x:c r="L37" s="16" t="str">
        <x:v>Very unlikely</x:v>
      </x:c>
      <x:c r="M37" s="16" t="str">
        <x:v>Significant</x:v>
      </x:c>
      <x:c r="N37" s="16" t="str">
        <x:v>Low</x:v>
      </x:c>
    </x:row>
    <x:row r="38" ht="37" customHeight="1">
      <x:c r="A38" s="16" t="str">
        <x:v>RAW-00032</x:v>
      </x:c>
      <x:c r="B38" s="16" t="str">
        <x:v>Observation</x:v>
      </x:c>
      <x:c r="C38" s="16" t="str">
        <x:v>– Column 4. Minor corrosion at the lower section of column.</x:v>
      </x:c>
      <x:c r="D38" s="16" t="str">
        <x:v>Verandah columns</x:v>
      </x:c>
      <x:c r="E38" s="16" t="str">
        <x:v>SRC-002</x:v>
      </x:c>
      <x:c r="F38" s="16" t="str">
        <x:v>OBS-0203</x:v>
      </x:c>
      <x:c r="G38" s="16" t="str">
        <x:v>正式报告</x:v>
      </x:c>
      <x:c r="H38" s="19" t="n">
        <x:v>5</x:v>
      </x:c>
      <x:c r="I38" s="19" t="n">
        <x:v>9</x:v>
      </x:c>
      <x:c r="J38" s="19" t="n">
        <x:v>1</x:v>
      </x:c>
      <x:c r="K38" s="16" t="str">
        <x:v>2. New with slight deterioration</x:v>
      </x:c>
      <x:c r="L38" s="16" t="str">
        <x:v>Very unlikely</x:v>
      </x:c>
      <x:c r="M38" s="16" t="str">
        <x:v>Significant</x:v>
      </x:c>
      <x:c r="N38" s="16" t="str">
        <x:v>Low</x:v>
      </x:c>
    </x:row>
    <x:row r="39" ht="37" customHeight="1">
      <x:c r="A39" s="16" t="str">
        <x:v>RAW-00033</x:v>
      </x:c>
      <x:c r="B39" s="16" t="str">
        <x:v>Recommendation</x:v>
      </x:c>
      <x:c r="C39" s="16" t="str">
        <x:v>– Clean, wire brush and repaint.</x:v>
      </x:c>
      <x:c r="D39" s="16" t="str">
        <x:v>Verandah columns</x:v>
      </x:c>
      <x:c r="E39" s="16" t="str">
        <x:v>SRC-002</x:v>
      </x:c>
      <x:c r="F39" s="16" t="str">
        <x:v>REC-0001</x:v>
      </x:c>
      <x:c r="G39" s="16" t="str">
        <x:v>正式报告</x:v>
      </x:c>
      <x:c r="H39" s="19" t="n">
        <x:v>5</x:v>
      </x:c>
      <x:c r="I39" s="19" t="n">
        <x:v>9</x:v>
      </x:c>
      <x:c r="J39" s="19" t="n">
        <x:v>1</x:v>
      </x:c>
      <x:c r="K39" s="16" t="str">
        <x:v>2. New with slight deterioration</x:v>
      </x:c>
      <x:c r="L39" s="16" t="str">
        <x:v>Very unlikely</x:v>
      </x:c>
      <x:c r="M39" s="16" t="str">
        <x:v>Significant</x:v>
      </x:c>
      <x:c r="N39" s="16" t="str">
        <x:v>Low</x:v>
      </x:c>
    </x:row>
    <x:row r="40" ht="37" customHeight="1">
      <x:c r="A40" s="16" t="str">
        <x:v>RAW-00034</x:v>
      </x:c>
      <x:c r="B40" s="16" t="str">
        <x:v>Observation</x:v>
      </x:c>
      <x:c r="C40" s="16" t="str">
        <x:v>– Front cladding in good condition.</x:v>
      </x:c>
      <x:c r="D40" s="16" t="str">
        <x:v>Cladding and framing</x:v>
      </x:c>
      <x:c r="E40" s="16" t="str">
        <x:v>SRC-002</x:v>
      </x:c>
      <x:c r="F40" s="16" t="str">
        <x:v>OBS-0269</x:v>
      </x:c>
      <x:c r="G40" s="16" t="str">
        <x:v>正式报告</x:v>
      </x:c>
      <x:c r="H40" s="19" t="n">
        <x:v>6</x:v>
      </x:c>
      <x:c r="I40" s="19" t="n">
        <x:v>6</x:v>
      </x:c>
      <x:c r="J40" s="19" t="n">
        <x:v>1</x:v>
      </x:c>
      <x:c r="K40" s="16" t="str">
        <x:v>3. Minor deterioration</x:v>
      </x:c>
      <x:c r="L40" s="16" t="str">
        <x:v>Unlikely</x:v>
      </x:c>
      <x:c r="M40" s="16" t="str">
        <x:v>Negligible</x:v>
      </x:c>
      <x:c r="N40" s="16" t="str">
        <x:v>Low</x:v>
      </x:c>
    </x:row>
    <x:row r="41" ht="37" customHeight="1">
      <x:c r="A41" s="16" t="str">
        <x:v>RAW-00035</x:v>
      </x:c>
      <x:c r="B41" s="16" t="str">
        <x:v>Observation</x:v>
      </x:c>
      <x:c r="C41" s="16" t="str">
        <x:v>– Back cladding in good condition.</x:v>
      </x:c>
      <x:c r="D41" s="16" t="str">
        <x:v>Cladding and framing</x:v>
      </x:c>
      <x:c r="E41" s="16" t="str">
        <x:v>SRC-002</x:v>
      </x:c>
      <x:c r="F41" s="16" t="str">
        <x:v>OBS-0099</x:v>
      </x:c>
      <x:c r="G41" s="16" t="str">
        <x:v>正式报告</x:v>
      </x:c>
      <x:c r="H41" s="19" t="n">
        <x:v>6</x:v>
      </x:c>
      <x:c r="I41" s="19" t="n">
        <x:v>7</x:v>
      </x:c>
      <x:c r="J41" s="19" t="n">
        <x:v>1</x:v>
      </x:c>
      <x:c r="K41" s="16" t="str">
        <x:v>3. Minor deterioration</x:v>
      </x:c>
      <x:c r="L41" s="16" t="str">
        <x:v>Unlikely</x:v>
      </x:c>
      <x:c r="M41" s="16" t="str">
        <x:v>Negligible</x:v>
      </x:c>
      <x:c r="N41" s="16" t="str">
        <x:v>Low</x:v>
      </x:c>
    </x:row>
    <x:row r="42" ht="37" customHeight="1">
      <x:c r="A42" s="16" t="str">
        <x:v>RAW-00036</x:v>
      </x:c>
      <x:c r="B42" s="16" t="str">
        <x:v>Observation</x:v>
      </x:c>
      <x:c r="C42" s="16" t="str">
        <x:v>– Back of property. Window awing corrosion.</x:v>
      </x:c>
      <x:c r="D42" s="16" t="str">
        <x:v>Cladding and framing</x:v>
      </x:c>
      <x:c r="E42" s="16" t="str">
        <x:v>SRC-002</x:v>
      </x:c>
      <x:c r="F42" s="16" t="str">
        <x:v>OBS-0106</x:v>
      </x:c>
      <x:c r="G42" s="16" t="str">
        <x:v>正式报告</x:v>
      </x:c>
      <x:c r="H42" s="19" t="n">
        <x:v>6</x:v>
      </x:c>
      <x:c r="I42" s="19" t="n">
        <x:v>8</x:v>
      </x:c>
      <x:c r="J42" s="19" t="n">
        <x:v>2</x:v>
      </x:c>
      <x:c r="K42" s="16" t="str">
        <x:v>3. Minor deterioration</x:v>
      </x:c>
      <x:c r="L42" s="16" t="str">
        <x:v>Unlikely</x:v>
      </x:c>
      <x:c r="M42" s="16" t="str">
        <x:v>Negligible</x:v>
      </x:c>
      <x:c r="N42" s="16" t="str">
        <x:v>Low</x:v>
      </x:c>
    </x:row>
    <x:row r="43" ht="37" customHeight="1">
      <x:c r="A43" s="16" t="str">
        <x:v>RAW-00037</x:v>
      </x:c>
      <x:c r="B43" s="16" t="str">
        <x:v>Recommendation</x:v>
      </x:c>
      <x:c r="C43" s="16" t="str">
        <x:v>– Clean, wire brush and repaint.</x:v>
      </x:c>
      <x:c r="D43" s="16" t="str">
        <x:v>Cladding and framing</x:v>
      </x:c>
      <x:c r="E43" s="16" t="str">
        <x:v>SRC-002</x:v>
      </x:c>
      <x:c r="F43" s="16" t="str">
        <x:v>REC-0001</x:v>
      </x:c>
      <x:c r="G43" s="16" t="str">
        <x:v>正式报告</x:v>
      </x:c>
      <x:c r="H43" s="19" t="n">
        <x:v>6</x:v>
      </x:c>
      <x:c r="I43" s="19" t="n">
        <x:v>8</x:v>
      </x:c>
      <x:c r="J43" s="19" t="n">
        <x:v>2</x:v>
      </x:c>
      <x:c r="K43" s="16" t="str">
        <x:v>3. Minor deterioration</x:v>
      </x:c>
      <x:c r="L43" s="16" t="str">
        <x:v>Unlikely</x:v>
      </x:c>
      <x:c r="M43" s="16" t="str">
        <x:v>Negligible</x:v>
      </x:c>
      <x:c r="N43" s="16" t="str">
        <x:v>Low</x:v>
      </x:c>
    </x:row>
    <x:row r="44" ht="37" customHeight="1">
      <x:c r="A44" s="16" t="str">
        <x:v>RAW-00038</x:v>
      </x:c>
      <x:c r="B44" s="16" t="str">
        <x:v>Observation</x:v>
      </x:c>
      <x:c r="C44" s="16" t="str">
        <x:v>– Right hand side of property. Cladding and framing in good condition.</x:v>
      </x:c>
      <x:c r="D44" s="16" t="str">
        <x:v>Cladding and framing</x:v>
      </x:c>
      <x:c r="E44" s="16" t="str">
        <x:v>SRC-002</x:v>
      </x:c>
      <x:c r="F44" s="16" t="str">
        <x:v>OBS-0505</x:v>
      </x:c>
      <x:c r="G44" s="16" t="str">
        <x:v>正式报告</x:v>
      </x:c>
      <x:c r="H44" s="19" t="n">
        <x:v>6</x:v>
      </x:c>
      <x:c r="I44" s="19" t="n">
        <x:v>10</x:v>
      </x:c>
      <x:c r="J44" s="19" t="n">
        <x:v>1</x:v>
      </x:c>
      <x:c r="K44" s="16" t="str">
        <x:v>3. Minor deterioration</x:v>
      </x:c>
      <x:c r="L44" s="16" t="str">
        <x:v>Unlikely</x:v>
      </x:c>
      <x:c r="M44" s="16" t="str">
        <x:v>Negligible</x:v>
      </x:c>
      <x:c r="N44" s="16" t="str">
        <x:v>Low</x:v>
      </x:c>
    </x:row>
    <x:row r="45" ht="37" customHeight="1">
      <x:c r="A45" s="16" t="str">
        <x:v>RAW-00039</x:v>
      </x:c>
      <x:c r="B45" s="16" t="str">
        <x:v>Observation</x:v>
      </x:c>
      <x:c r="C45" s="16" t="str">
        <x:v>– Salt staining on verandah cladding beams.</x:v>
      </x:c>
      <x:c r="D45" s="16" t="str">
        <x:v>Verandah cladding</x:v>
      </x:c>
      <x:c r="E45" s="16" t="str">
        <x:v>SRC-002</x:v>
      </x:c>
      <x:c r="F45" s="16" t="str">
        <x:v>OBS-0551</x:v>
      </x:c>
      <x:c r="G45" s="16" t="str">
        <x:v>正式报告</x:v>
      </x:c>
      <x:c r="H45" s="19" t="n">
        <x:v>7</x:v>
      </x:c>
      <x:c r="I45" s="19" t="n">
        <x:v>6</x:v>
      </x:c>
      <x:c r="J45" s="19" t="n">
        <x:v>1</x:v>
      </x:c>
      <x:c r="K45" s="16" t="str">
        <x:v>3. Minor deterioration</x:v>
      </x:c>
      <x:c r="L45" s="16" t="str">
        <x:v>Unlikely</x:v>
      </x:c>
      <x:c r="M45" s="16" t="str">
        <x:v>Minor</x:v>
      </x:c>
      <x:c r="N45" s="16" t="str">
        <x:v>Low</x:v>
      </x:c>
    </x:row>
    <x:row r="46" ht="37" customHeight="1">
      <x:c r="A46" s="16" t="str">
        <x:v>RAW-00040</x:v>
      </x:c>
      <x:c r="B46" s="16" t="str">
        <x:v>Recommendation</x:v>
      </x:c>
      <x:c r="C46" s="16" t="str">
        <x:v>– Remove salt staining.</x:v>
      </x:c>
      <x:c r="D46" s="16" t="str">
        <x:v>Verandah cladding</x:v>
      </x:c>
      <x:c r="E46" s="16" t="str">
        <x:v>SRC-002</x:v>
      </x:c>
      <x:c r="F46" s="16" t="str">
        <x:v>REC-0004</x:v>
      </x:c>
      <x:c r="G46" s="16" t="str">
        <x:v>正式报告</x:v>
      </x:c>
      <x:c r="H46" s="19" t="n">
        <x:v>7</x:v>
      </x:c>
      <x:c r="I46" s="19" t="n">
        <x:v>6</x:v>
      </x:c>
      <x:c r="J46" s="19" t="n">
        <x:v>1</x:v>
      </x:c>
      <x:c r="K46" s="16" t="str">
        <x:v>3. Minor deterioration</x:v>
      </x:c>
      <x:c r="L46" s="16" t="str">
        <x:v>Unlikely</x:v>
      </x:c>
      <x:c r="M46" s="16" t="str">
        <x:v>Minor</x:v>
      </x:c>
      <x:c r="N46" s="16" t="str">
        <x:v>Low</x:v>
      </x:c>
    </x:row>
    <x:row r="47" ht="37" customHeight="1">
      <x:c r="A47" s="16" t="str">
        <x:v>RAW-00041</x:v>
      </x:c>
      <x:c r="B47" s="16" t="str">
        <x:v>Observation</x:v>
      </x:c>
      <x:c r="C47" s="16" t="str">
        <x:v>– Missing end cap.</x:v>
      </x:c>
      <x:c r="D47" s="16" t="str">
        <x:v>Verandah cladding</x:v>
      </x:c>
      <x:c r="E47" s="16" t="str">
        <x:v>SRC-002</x:v>
      </x:c>
      <x:c r="F47" s="16" t="str">
        <x:v>OBS-0411</x:v>
      </x:c>
      <x:c r="G47" s="16" t="str">
        <x:v>正式报告</x:v>
      </x:c>
      <x:c r="H47" s="19" t="n">
        <x:v>7</x:v>
      </x:c>
      <x:c r="I47" s="19" t="n">
        <x:v>7</x:v>
      </x:c>
      <x:c r="J47" s="19" t="n">
        <x:v>1</x:v>
      </x:c>
      <x:c r="K47" s="16" t="str">
        <x:v>3. Minor deterioration</x:v>
      </x:c>
      <x:c r="L47" s="16" t="str">
        <x:v>Unlikely</x:v>
      </x:c>
      <x:c r="M47" s="16" t="str">
        <x:v>Minor</x:v>
      </x:c>
      <x:c r="N47" s="16" t="str">
        <x:v>Low</x:v>
      </x:c>
    </x:row>
    <x:row r="48" ht="37" customHeight="1">
      <x:c r="A48" s="16" t="str">
        <x:v>RAW-00042</x:v>
      </x:c>
      <x:c r="B48" s="16" t="str">
        <x:v>Recommendation</x:v>
      </x:c>
      <x:c r="C48" s="16" t="str">
        <x:v>– Replace end cap.</x:v>
      </x:c>
      <x:c r="D48" s="16" t="str">
        <x:v>Verandah cladding</x:v>
      </x:c>
      <x:c r="E48" s="16" t="str">
        <x:v>SRC-002</x:v>
      </x:c>
      <x:c r="F48" s="16" t="str">
        <x:v>REC-0146</x:v>
      </x:c>
      <x:c r="G48" s="16" t="str">
        <x:v>正式报告</x:v>
      </x:c>
      <x:c r="H48" s="19" t="n">
        <x:v>7</x:v>
      </x:c>
      <x:c r="I48" s="19" t="n">
        <x:v>7</x:v>
      </x:c>
      <x:c r="J48" s="19" t="n">
        <x:v>1</x:v>
      </x:c>
      <x:c r="K48" s="16" t="str">
        <x:v>3. Minor deterioration</x:v>
      </x:c>
      <x:c r="L48" s="16" t="str">
        <x:v>Unlikely</x:v>
      </x:c>
      <x:c r="M48" s="16" t="str">
        <x:v>Minor</x:v>
      </x:c>
      <x:c r="N48" s="16" t="str">
        <x:v>Low</x:v>
      </x:c>
    </x:row>
    <x:row r="49" ht="41" customHeight="1">
      <x:c r="A49" s="16" t="str">
        <x:v>RAW-00043</x:v>
      </x:c>
      <x:c r="B49" s="16" t="str">
        <x:v>Observation</x:v>
      </x:c>
      <x:c r="C49" s="16" t="str">
        <x:v>– Backyard fencing posts on left hand side of property facing the front entrance. Minor surface corrosion along the length of the post.</x:v>
      </x:c>
      <x:c r="D49" s="16" t="str">
        <x:v>Fencing posts</x:v>
      </x:c>
      <x:c r="E49" s="16" t="str">
        <x:v>SRC-003</x:v>
      </x:c>
      <x:c r="F49" s="16" t="str">
        <x:v>OBS-0131</x:v>
      </x:c>
      <x:c r="G49" s="16" t="str">
        <x:v>正式报告</x:v>
      </x:c>
      <x:c r="H49" s="19" t="n">
        <x:v>3</x:v>
      </x:c>
      <x:c r="I49" s="19" t="n">
        <x:v>6</x:v>
      </x:c>
      <x:c r="J49" s="19" t="n">
        <x:v>4</x:v>
      </x:c>
      <x:c r="K49" s="16" t="str">
        <x:v>5. Major deterioration</x:v>
      </x:c>
      <x:c r="L49" s="16" t="str">
        <x:v>Likely</x:v>
      </x:c>
      <x:c r="M49" s="16" t="str">
        <x:v>Moderate</x:v>
      </x:c>
      <x:c r="N49" s="16" t="str">
        <x:v>High</x:v>
      </x:c>
    </x:row>
    <x:row r="50" ht="37" customHeight="1">
      <x:c r="A50" s="16" t="str">
        <x:v>RAW-00044</x:v>
      </x:c>
      <x:c r="B50" s="16" t="str">
        <x:v>Recommendation</x:v>
      </x:c>
      <x:c r="C50" s="16" t="str">
        <x:v>– Clean, wire brush and repaint.</x:v>
      </x:c>
      <x:c r="D50" s="16" t="str">
        <x:v>Fencing posts</x:v>
      </x:c>
      <x:c r="E50" s="16" t="str">
        <x:v>SRC-003</x:v>
      </x:c>
      <x:c r="F50" s="16" t="str">
        <x:v>REC-0001</x:v>
      </x:c>
      <x:c r="G50" s="16" t="str">
        <x:v>正式报告</x:v>
      </x:c>
      <x:c r="H50" s="19" t="n">
        <x:v>3</x:v>
      </x:c>
      <x:c r="I50" s="19" t="n">
        <x:v>6</x:v>
      </x:c>
      <x:c r="J50" s="19" t="n">
        <x:v>4</x:v>
      </x:c>
      <x:c r="K50" s="16" t="str">
        <x:v>5. Major deterioration</x:v>
      </x:c>
      <x:c r="L50" s="16" t="str">
        <x:v>Likely</x:v>
      </x:c>
      <x:c r="M50" s="16" t="str">
        <x:v>Moderate</x:v>
      </x:c>
      <x:c r="N50" s="16" t="str">
        <x:v>High</x:v>
      </x:c>
    </x:row>
    <x:row r="51" ht="37" customHeight="1">
      <x:c r="A51" s="16" t="str">
        <x:v>RAW-00045</x:v>
      </x:c>
      <x:c r="B51" s="16" t="str">
        <x:v>Observation</x:v>
      </x:c>
      <x:c r="C51" s="16" t="str">
        <x:v>– Overview of property.</x:v>
      </x:c>
      <x:c r="D51" s="16" t="str">
        <x:v>Purlins and rafters</x:v>
      </x:c>
      <x:c r="E51" s="16" t="str">
        <x:v>SRC-003</x:v>
      </x:c>
      <x:c r="F51" s="16" t="str">
        <x:v>OBS-0074</x:v>
      </x:c>
      <x:c r="G51" s="16" t="str">
        <x:v>正式报告</x:v>
      </x:c>
      <x:c r="H51" s="19" t="n">
        <x:v>4</x:v>
      </x:c>
      <x:c r="I51" s="19" t="n">
        <x:v>6</x:v>
      </x:c>
      <x:c r="J51" s="19" t="n">
        <x:v>1</x:v>
      </x:c>
      <x:c r="K51" s="16" t="str">
        <x:v>2. New with slight deterioration</x:v>
      </x:c>
      <x:c r="L51" s="16" t="str">
        <x:v>Very unlikely</x:v>
      </x:c>
      <x:c r="M51" s="16" t="str">
        <x:v>Significant</x:v>
      </x:c>
      <x:c r="N51" s="16" t="str">
        <x:v>Low</x:v>
      </x:c>
    </x:row>
    <x:row r="52" ht="41" customHeight="1">
      <x:c r="A52" s="16" t="str">
        <x:v>RAW-00046</x:v>
      </x:c>
      <x:c r="B52" s="16" t="str">
        <x:v>Observation</x:v>
      </x:c>
      <x:c r="C52" s="16" t="str">
        <x:v>– Carport. Salt staining on steel beams.
– Carport. Salt staining on steel beams.</x:v>
      </x:c>
      <x:c r="D52" s="16" t="str">
        <x:v>Purlins and rafters</x:v>
      </x:c>
      <x:c r="E52" s="16" t="str">
        <x:v>SRC-003</x:v>
      </x:c>
      <x:c r="F52" s="16" t="str">
        <x:v>OBS-0178</x:v>
      </x:c>
      <x:c r="G52" s="16" t="str">
        <x:v>正式报告</x:v>
      </x:c>
      <x:c r="H52" s="19" t="n">
        <x:v>4</x:v>
      </x:c>
      <x:c r="I52" s="19" t="n">
        <x:v>7</x:v>
      </x:c>
      <x:c r="J52" s="19" t="n">
        <x:v>2</x:v>
      </x:c>
      <x:c r="K52" s="16" t="str">
        <x:v>2. New with slight deterioration</x:v>
      </x:c>
      <x:c r="L52" s="16" t="str">
        <x:v>Very unlikely</x:v>
      </x:c>
      <x:c r="M52" s="16" t="str">
        <x:v>Significant</x:v>
      </x:c>
      <x:c r="N52" s="16" t="str">
        <x:v>Low</x:v>
      </x:c>
    </x:row>
    <x:row r="53" ht="37" customHeight="1">
      <x:c r="A53" s="16" t="str">
        <x:v>RAW-00047</x:v>
      </x:c>
      <x:c r="B53" s="16" t="str">
        <x:v>Observation</x:v>
      </x:c>
      <x:c r="C53" s="16" t="str">
        <x:v>– Carport. Salt staining on steel beams. Minor surface corrosion on web side plate connection.</x:v>
      </x:c>
      <x:c r="D53" s="16" t="str">
        <x:v>Purlins and rafters</x:v>
      </x:c>
      <x:c r="E53" s="16" t="str">
        <x:v>SRC-003</x:v>
      </x:c>
      <x:c r="F53" s="16" t="str">
        <x:v>OBS-0180</x:v>
      </x:c>
      <x:c r="G53" s="16" t="str">
        <x:v>正式报告</x:v>
      </x:c>
      <x:c r="H53" s="19" t="n">
        <x:v>4</x:v>
      </x:c>
      <x:c r="I53" s="19" t="n">
        <x:v>9</x:v>
      </x:c>
      <x:c r="J53" s="19" t="n">
        <x:v>1</x:v>
      </x:c>
      <x:c r="K53" s="16" t="str">
        <x:v>2. New with slight deterioration</x:v>
      </x:c>
      <x:c r="L53" s="16" t="str">
        <x:v>Very unlikely</x:v>
      </x:c>
      <x:c r="M53" s="16" t="str">
        <x:v>Significant</x:v>
      </x:c>
      <x:c r="N53" s="16" t="str">
        <x:v>Low</x:v>
      </x:c>
    </x:row>
    <x:row r="54" ht="37" customHeight="1">
      <x:c r="A54" s="16" t="str">
        <x:v>RAW-00048</x:v>
      </x:c>
      <x:c r="B54" s="16" t="str">
        <x:v>Recommendation</x:v>
      </x:c>
      <x:c r="C54" s="16" t="str">
        <x:v>– Wire brush and apply cold galvanising paint any surface corrosion.</x:v>
      </x:c>
      <x:c r="D54" s="16" t="str">
        <x:v>Purlins and rafters</x:v>
      </x:c>
      <x:c r="E54" s="16" t="str">
        <x:v>SRC-003</x:v>
      </x:c>
      <x:c r="F54" s="16" t="str">
        <x:v>REC-0171</x:v>
      </x:c>
      <x:c r="G54" s="16" t="str">
        <x:v>正式报告</x:v>
      </x:c>
      <x:c r="H54" s="19" t="n">
        <x:v>4</x:v>
      </x:c>
      <x:c r="I54" s="19" t="n">
        <x:v>9</x:v>
      </x:c>
      <x:c r="J54" s="19" t="n">
        <x:v>1</x:v>
      </x:c>
      <x:c r="K54" s="16" t="str">
        <x:v>2. New with slight deterioration</x:v>
      </x:c>
      <x:c r="L54" s="16" t="str">
        <x:v>Very unlikely</x:v>
      </x:c>
      <x:c r="M54" s="16" t="str">
        <x:v>Significant</x:v>
      </x:c>
      <x:c r="N54" s="16" t="str">
        <x:v>Low</x:v>
      </x:c>
    </x:row>
    <x:row r="55" ht="37" customHeight="1">
      <x:c r="A55" s="16" t="str">
        <x:v>RAW-00049</x:v>
      </x:c>
      <x:c r="B55" s="16" t="str">
        <x:v>Observation</x:v>
      </x:c>
      <x:c r="C55" s="16" t="str">
        <x:v>– Columns in good condition.</x:v>
      </x:c>
      <x:c r="D55" s="16" t="str">
        <x:v>Columns</x:v>
      </x:c>
      <x:c r="E55" s="16" t="str">
        <x:v>SRC-003</x:v>
      </x:c>
      <x:c r="F55" s="16" t="str">
        <x:v>OBS-0001</x:v>
      </x:c>
      <x:c r="G55" s="16" t="str">
        <x:v>正式报告</x:v>
      </x:c>
      <x:c r="H55" s="19" t="n">
        <x:v>5</x:v>
      </x:c>
      <x:c r="I55" s="19" t="n">
        <x:v>6</x:v>
      </x:c>
      <x:c r="J55" s="19" t="n">
        <x:v>1</x:v>
      </x:c>
      <x:c r="K55" s="16" t="str">
        <x:v>2. New with slight deterioration</x:v>
      </x:c>
      <x:c r="L55" s="16" t="str">
        <x:v>Very unlikely</x:v>
      </x:c>
      <x:c r="M55" s="16" t="str">
        <x:v>Significant</x:v>
      </x:c>
      <x:c r="N55" s="16" t="str">
        <x:v>Low</x:v>
      </x:c>
    </x:row>
    <x:row r="56" ht="37" customHeight="1">
      <x:c r="A56" s="16" t="str">
        <x:v>RAW-00050</x:v>
      </x:c>
      <x:c r="B56" s="16" t="str">
        <x:v>Observation</x:v>
      </x:c>
      <x:c r="C56" s="16" t="str">
        <x:v>– Columns in good condition.</x:v>
      </x:c>
      <x:c r="D56" s="16" t="str">
        <x:v>Columns</x:v>
      </x:c>
      <x:c r="E56" s="16" t="str">
        <x:v>SRC-003</x:v>
      </x:c>
      <x:c r="F56" s="16" t="str">
        <x:v>OBS-0001</x:v>
      </x:c>
      <x:c r="G56" s="16" t="str">
        <x:v>正式报告</x:v>
      </x:c>
      <x:c r="H56" s="19" t="n">
        <x:v>5</x:v>
      </x:c>
      <x:c r="I56" s="19" t="n">
        <x:v>7</x:v>
      </x:c>
      <x:c r="J56" s="19" t="n">
        <x:v>1</x:v>
      </x:c>
      <x:c r="K56" s="16" t="str">
        <x:v>2. New with slight deterioration</x:v>
      </x:c>
      <x:c r="L56" s="16" t="str">
        <x:v>Very unlikely</x:v>
      </x:c>
      <x:c r="M56" s="16" t="str">
        <x:v>Significant</x:v>
      </x:c>
      <x:c r="N56" s="16" t="str">
        <x:v>Low</x:v>
      </x:c>
    </x:row>
    <x:row r="57" ht="37" customHeight="1">
      <x:c r="A57" s="16" t="str">
        <x:v>RAW-00051</x:v>
      </x:c>
      <x:c r="B57" s="16" t="str">
        <x:v>Observation</x:v>
      </x:c>
      <x:c r="C57" s="16" t="str">
        <x:v>– Paint deterioration.</x:v>
      </x:c>
      <x:c r="D57" s="16" t="str">
        <x:v>Columns</x:v>
      </x:c>
      <x:c r="E57" s="16" t="str">
        <x:v>SRC-003</x:v>
      </x:c>
      <x:c r="F57" s="16" t="str">
        <x:v>OBS-0010</x:v>
      </x:c>
      <x:c r="G57" s="16" t="str">
        <x:v>正式报告</x:v>
      </x:c>
      <x:c r="H57" s="19" t="n">
        <x:v>5</x:v>
      </x:c>
      <x:c r="I57" s="19" t="n">
        <x:v>8</x:v>
      </x:c>
      <x:c r="J57" s="19" t="n">
        <x:v>1</x:v>
      </x:c>
      <x:c r="K57" s="16" t="str">
        <x:v>2. New with slight deterioration</x:v>
      </x:c>
      <x:c r="L57" s="16" t="str">
        <x:v>Very unlikely</x:v>
      </x:c>
      <x:c r="M57" s="16" t="str">
        <x:v>Significant</x:v>
      </x:c>
      <x:c r="N57" s="16" t="str">
        <x:v>Low</x:v>
      </x:c>
    </x:row>
    <x:row r="58" ht="37" customHeight="1">
      <x:c r="A58" s="16" t="str">
        <x:v>RAW-00052</x:v>
      </x:c>
      <x:c r="B58" s="16" t="str">
        <x:v>Recommendation</x:v>
      </x:c>
      <x:c r="C58" s="16" t="str">
        <x:v>– Repaint all sections that have paint deterioration.</x:v>
      </x:c>
      <x:c r="D58" s="16" t="str">
        <x:v>Columns</x:v>
      </x:c>
      <x:c r="E58" s="16" t="str">
        <x:v>SRC-003</x:v>
      </x:c>
      <x:c r="F58" s="16" t="str">
        <x:v>REC-0136</x:v>
      </x:c>
      <x:c r="G58" s="16" t="str">
        <x:v>正式报告</x:v>
      </x:c>
      <x:c r="H58" s="19" t="n">
        <x:v>5</x:v>
      </x:c>
      <x:c r="I58" s="19" t="n">
        <x:v>8</x:v>
      </x:c>
      <x:c r="J58" s="19" t="n">
        <x:v>1</x:v>
      </x:c>
      <x:c r="K58" s="16" t="str">
        <x:v>2. New with slight deterioration</x:v>
      </x:c>
      <x:c r="L58" s="16" t="str">
        <x:v>Very unlikely</x:v>
      </x:c>
      <x:c r="M58" s="16" t="str">
        <x:v>Significant</x:v>
      </x:c>
      <x:c r="N58" s="16" t="str">
        <x:v>Low</x:v>
      </x:c>
    </x:row>
    <x:row r="59" ht="41" customHeight="1">
      <x:c r="A59" s="16" t="str">
        <x:v>RAW-00053</x:v>
      </x:c>
      <x:c r="B59" s="16" t="str">
        <x:v>Observation</x:v>
      </x:c>
      <x:c r="C59" s="16" t="str">
        <x:v>– Front of property. Cladding and framing in good condition.</x:v>
      </x:c>
      <x:c r="D59" s="16" t="str">
        <x:v>Cladding and framing</x:v>
      </x:c>
      <x:c r="E59" s="16" t="str">
        <x:v>SRC-003</x:v>
      </x:c>
      <x:c r="F59" s="16" t="str">
        <x:v>OBS-0004</x:v>
      </x:c>
      <x:c r="G59" s="16" t="str">
        <x:v>正式报告</x:v>
      </x:c>
      <x:c r="H59" s="19" t="n">
        <x:v>6</x:v>
      </x:c>
      <x:c r="I59" s="19" t="n">
        <x:v>6</x:v>
      </x:c>
      <x:c r="J59" s="19" t="n">
        <x:v>1</x:v>
      </x:c>
      <x:c r="K59" s="16" t="str">
        <x:v>1. New with no visible defects/damage</x:v>
      </x:c>
      <x:c r="L59" s="16" t="str">
        <x:v>Very unlikely</x:v>
      </x:c>
      <x:c r="M59" s="16" t="str">
        <x:v>Negligible</x:v>
      </x:c>
      <x:c r="N59" s="16" t="str">
        <x:v>Low</x:v>
      </x:c>
    </x:row>
    <x:row r="60" ht="41" customHeight="1">
      <x:c r="A60" s="16" t="str">
        <x:v>RAW-00054</x:v>
      </x:c>
      <x:c r="B60" s="16" t="str">
        <x:v>Observation</x:v>
      </x:c>
      <x:c r="C60" s="16" t="str">
        <x:v>– Window adjacent to front entrance. Cladding in good and framing condition.</x:v>
      </x:c>
      <x:c r="D60" s="16" t="str">
        <x:v>Cladding and framing</x:v>
      </x:c>
      <x:c r="E60" s="16" t="str">
        <x:v>SRC-003</x:v>
      </x:c>
      <x:c r="F60" s="16" t="str">
        <x:v>OBS-0031</x:v>
      </x:c>
      <x:c r="G60" s="16" t="str">
        <x:v>正式报告</x:v>
      </x:c>
      <x:c r="H60" s="19" t="n">
        <x:v>6</x:v>
      </x:c>
      <x:c r="I60" s="19" t="n">
        <x:v>7</x:v>
      </x:c>
      <x:c r="J60" s="19" t="n">
        <x:v>1</x:v>
      </x:c>
      <x:c r="K60" s="16" t="str">
        <x:v>1. New with no visible defects/damage</x:v>
      </x:c>
      <x:c r="L60" s="16" t="str">
        <x:v>Very unlikely</x:v>
      </x:c>
      <x:c r="M60" s="16" t="str">
        <x:v>Negligible</x:v>
      </x:c>
      <x:c r="N60" s="16" t="str">
        <x:v>Low</x:v>
      </x:c>
    </x:row>
    <x:row r="61" ht="41" customHeight="1">
      <x:c r="A61" s="16" t="str">
        <x:v>RAW-00055</x:v>
      </x:c>
      <x:c r="B61" s="16" t="str">
        <x:v>Observation</x:v>
      </x:c>
      <x:c r="C61" s="16" t="str">
        <x:v>– Back wall. Cladding in good and framing condition.</x:v>
      </x:c>
      <x:c r="D61" s="16" t="str">
        <x:v>Cladding and framing</x:v>
      </x:c>
      <x:c r="E61" s="16" t="str">
        <x:v>SRC-003</x:v>
      </x:c>
      <x:c r="F61" s="16" t="str">
        <x:v>OBS-0033</x:v>
      </x:c>
      <x:c r="G61" s="16" t="str">
        <x:v>正式报告</x:v>
      </x:c>
      <x:c r="H61" s="19" t="n">
        <x:v>6</x:v>
      </x:c>
      <x:c r="I61" s="19" t="n">
        <x:v>8</x:v>
      </x:c>
      <x:c r="J61" s="19" t="n">
        <x:v>1</x:v>
      </x:c>
      <x:c r="K61" s="16" t="str">
        <x:v>1. New with no visible defects/damage</x:v>
      </x:c>
      <x:c r="L61" s="16" t="str">
        <x:v>Very unlikely</x:v>
      </x:c>
      <x:c r="M61" s="16" t="str">
        <x:v>Negligible</x:v>
      </x:c>
      <x:c r="N61" s="16" t="str">
        <x:v>Low</x:v>
      </x:c>
    </x:row>
    <x:row r="62" ht="41" customHeight="1">
      <x:c r="A62" s="16" t="str">
        <x:v>RAW-00056</x:v>
      </x:c>
      <x:c r="B62" s="16" t="str">
        <x:v>Observation</x:v>
      </x:c>
      <x:c r="C62" s="16" t="str">
        <x:v>– Back wall. Cladding in good and framing condition.</x:v>
      </x:c>
      <x:c r="D62" s="16" t="str">
        <x:v>Cladding and framing</x:v>
      </x:c>
      <x:c r="E62" s="16" t="str">
        <x:v>SRC-003</x:v>
      </x:c>
      <x:c r="F62" s="16" t="str">
        <x:v>OBS-0033</x:v>
      </x:c>
      <x:c r="G62" s="16" t="str">
        <x:v>正式报告</x:v>
      </x:c>
      <x:c r="H62" s="19" t="n">
        <x:v>6</x:v>
      </x:c>
      <x:c r="I62" s="19" t="n">
        <x:v>9</x:v>
      </x:c>
      <x:c r="J62" s="19" t="n">
        <x:v>1</x:v>
      </x:c>
      <x:c r="K62" s="16" t="str">
        <x:v>1. New with no visible defects/damage</x:v>
      </x:c>
      <x:c r="L62" s="16" t="str">
        <x:v>Very unlikely</x:v>
      </x:c>
      <x:c r="M62" s="16" t="str">
        <x:v>Negligible</x:v>
      </x:c>
      <x:c r="N62" s="16" t="str">
        <x:v>Low</x:v>
      </x:c>
    </x:row>
    <x:row r="63" ht="41" customHeight="1">
      <x:c r="A63" s="16" t="str">
        <x:v>RAW-00057</x:v>
      </x:c>
      <x:c r="B63" s="16" t="str">
        <x:v>Recommendation</x:v>
      </x:c>
      <x:c r="C63" s="16" t="str">
        <x:v>– None.</x:v>
      </x:c>
      <x:c r="D63" s="16" t="str">
        <x:v>Cladding and framing</x:v>
      </x:c>
      <x:c r="E63" s="16" t="str">
        <x:v>SRC-003</x:v>
      </x:c>
      <x:c r="F63" s="16" t="str">
        <x:v>REC-0003</x:v>
      </x:c>
      <x:c r="G63" s="16" t="str">
        <x:v>正式报告</x:v>
      </x:c>
      <x:c r="H63" s="19" t="n">
        <x:v>6</x:v>
      </x:c>
      <x:c r="I63" s="19" t="n">
        <x:v>9</x:v>
      </x:c>
      <x:c r="J63" s="19" t="n">
        <x:v>1</x:v>
      </x:c>
      <x:c r="K63" s="16" t="str">
        <x:v>1. New with no visible defects/damage</x:v>
      </x:c>
      <x:c r="L63" s="16" t="str">
        <x:v>Very unlikely</x:v>
      </x:c>
      <x:c r="M63" s="16" t="str">
        <x:v>Negligible</x:v>
      </x:c>
      <x:c r="N63" s="16" t="str">
        <x:v>Low</x:v>
      </x:c>
    </x:row>
    <x:row r="64" ht="41" customHeight="1">
      <x:c r="A64" s="16" t="str">
        <x:v>RAW-00058</x:v>
      </x:c>
      <x:c r="B64" s="16" t="str">
        <x:v>Observation</x:v>
      </x:c>
      <x:c r="C64" s="16" t="str">
        <x:v>– Backyard fencing posts at back of property. Minor surface corrosion along the length of the post. No access to 12/19 Dempster Street backyard. Photo taken from 13/19 Dempster Street backyard.</x:v>
      </x:c>
      <x:c r="D64" s="16" t="str">
        <x:v>Fencing posts</x:v>
      </x:c>
      <x:c r="E64" s="16" t="str">
        <x:v>SRC-004</x:v>
      </x:c>
      <x:c r="F64" s="16" t="str">
        <x:v>OBS-0130</x:v>
      </x:c>
      <x:c r="G64" s="16" t="str">
        <x:v>正式报告</x:v>
      </x:c>
      <x:c r="H64" s="19" t="n">
        <x:v>3</x:v>
      </x:c>
      <x:c r="I64" s="19" t="n">
        <x:v>6</x:v>
      </x:c>
      <x:c r="J64" s="19" t="n">
        <x:v>1</x:v>
      </x:c>
      <x:c r="K64" s="16" t="str">
        <x:v>5. Major deterioration</x:v>
      </x:c>
      <x:c r="L64" s="16" t="str">
        <x:v>Likely</x:v>
      </x:c>
      <x:c r="M64" s="16" t="str">
        <x:v>Moderate</x:v>
      </x:c>
      <x:c r="N64" s="16" t="str">
        <x:v>High</x:v>
      </x:c>
    </x:row>
    <x:row r="65" ht="37" customHeight="1">
      <x:c r="A65" s="16" t="str">
        <x:v>RAW-00059</x:v>
      </x:c>
      <x:c r="B65" s="16" t="str">
        <x:v>Recommendation</x:v>
      </x:c>
      <x:c r="C65" s="16" t="str">
        <x:v>– Clean, wire brush and repaint.</x:v>
      </x:c>
      <x:c r="D65" s="16" t="str">
        <x:v>Fencing posts</x:v>
      </x:c>
      <x:c r="E65" s="16" t="str">
        <x:v>SRC-004</x:v>
      </x:c>
      <x:c r="F65" s="16" t="str">
        <x:v>REC-0001</x:v>
      </x:c>
      <x:c r="G65" s="16" t="str">
        <x:v>正式报告</x:v>
      </x:c>
      <x:c r="H65" s="19" t="n">
        <x:v>3</x:v>
      </x:c>
      <x:c r="I65" s="19" t="n">
        <x:v>6</x:v>
      </x:c>
      <x:c r="J65" s="19" t="n">
        <x:v>1</x:v>
      </x:c>
      <x:c r="K65" s="16" t="str">
        <x:v>5. Major deterioration</x:v>
      </x:c>
      <x:c r="L65" s="16" t="str">
        <x:v>Likely</x:v>
      </x:c>
      <x:c r="M65" s="16" t="str">
        <x:v>Moderate</x:v>
      </x:c>
      <x:c r="N65" s="16" t="str">
        <x:v>High</x:v>
      </x:c>
    </x:row>
    <x:row r="66" ht="37" customHeight="1">
      <x:c r="A66" s="16" t="str">
        <x:v>RAW-00060</x:v>
      </x:c>
      <x:c r="B66" s="16" t="str">
        <x:v>Observation</x:v>
      </x:c>
      <x:c r="C66" s="16" t="str">
        <x:v>– Overview of property.</x:v>
      </x:c>
      <x:c r="D66" s="16" t="str">
        <x:v>Beams</x:v>
      </x:c>
      <x:c r="E66" s="16" t="str">
        <x:v>SRC-004</x:v>
      </x:c>
      <x:c r="F66" s="16" t="str">
        <x:v>OBS-0074</x:v>
      </x:c>
      <x:c r="G66" s="16" t="str">
        <x:v>正式报告</x:v>
      </x:c>
      <x:c r="H66" s="19" t="n">
        <x:v>4</x:v>
      </x:c>
      <x:c r="I66" s="19" t="n">
        <x:v>6</x:v>
      </x:c>
      <x:c r="J66" s="19" t="n">
        <x:v>1</x:v>
      </x:c>
      <x:c r="K66" s="16" t="str">
        <x:v>2. New with slight deterioration</x:v>
      </x:c>
      <x:c r="L66" s="16" t="str">
        <x:v>Very unlikely</x:v>
      </x:c>
      <x:c r="M66" s="16" t="str">
        <x:v>Significant</x:v>
      </x:c>
      <x:c r="N66" s="16" t="str">
        <x:v>Low</x:v>
      </x:c>
    </x:row>
    <x:row r="67" ht="37" customHeight="1">
      <x:c r="A67" s="16" t="str">
        <x:v>RAW-00061</x:v>
      </x:c>
      <x:c r="B67" s="16" t="str">
        <x:v>Observation</x:v>
      </x:c>
      <x:c r="C67" s="16" t="str">
        <x:v>– Carport. Salt staining on steel beams. Minor corrosion circled in red.</x:v>
      </x:c>
      <x:c r="D67" s="16" t="str">
        <x:v>Beams</x:v>
      </x:c>
      <x:c r="E67" s="16" t="str">
        <x:v>SRC-004</x:v>
      </x:c>
      <x:c r="F67" s="16" t="str">
        <x:v>OBS-0179</x:v>
      </x:c>
      <x:c r="G67" s="16" t="str">
        <x:v>正式报告</x:v>
      </x:c>
      <x:c r="H67" s="19" t="n">
        <x:v>4</x:v>
      </x:c>
      <x:c r="I67" s="19" t="n">
        <x:v>7</x:v>
      </x:c>
      <x:c r="J67" s="19" t="n">
        <x:v>1</x:v>
      </x:c>
      <x:c r="K67" s="16" t="str">
        <x:v>2. New with slight deterioration</x:v>
      </x:c>
      <x:c r="L67" s="16" t="str">
        <x:v>Very unlikely</x:v>
      </x:c>
      <x:c r="M67" s="16" t="str">
        <x:v>Significant</x:v>
      </x:c>
      <x:c r="N67" s="16" t="str">
        <x:v>Low</x:v>
      </x:c>
    </x:row>
    <x:row r="68" ht="37" customHeight="1">
      <x:c r="A68" s="16" t="str">
        <x:v>RAW-00062</x:v>
      </x:c>
      <x:c r="B68" s="16" t="str">
        <x:v>Observation</x:v>
      </x:c>
      <x:c r="C68" s="16" t="str">
        <x:v>– Carport. Minor corrosion in areas where hot-dip galvanised coating has been damaged.</x:v>
      </x:c>
      <x:c r="D68" s="16" t="str">
        <x:v>Beams</x:v>
      </x:c>
      <x:c r="E68" s="16" t="str">
        <x:v>SRC-004</x:v>
      </x:c>
      <x:c r="F68" s="16" t="str">
        <x:v>OBS-0041</x:v>
      </x:c>
      <x:c r="G68" s="16" t="str">
        <x:v>正式报告</x:v>
      </x:c>
      <x:c r="H68" s="19" t="n">
        <x:v>4</x:v>
      </x:c>
      <x:c r="I68" s="19" t="n">
        <x:v>8</x:v>
      </x:c>
      <x:c r="J68" s="19" t="n">
        <x:v>1</x:v>
      </x:c>
      <x:c r="K68" s="16" t="str">
        <x:v>2. New with slight deterioration</x:v>
      </x:c>
      <x:c r="L68" s="16" t="str">
        <x:v>Very unlikely</x:v>
      </x:c>
      <x:c r="M68" s="16" t="str">
        <x:v>Significant</x:v>
      </x:c>
      <x:c r="N68" s="16" t="str">
        <x:v>Low</x:v>
      </x:c>
    </x:row>
    <x:row r="69" ht="37" customHeight="1">
      <x:c r="A69" s="16" t="str">
        <x:v>RAW-00063</x:v>
      </x:c>
      <x:c r="B69" s="16" t="str">
        <x:v>Recommendation</x:v>
      </x:c>
      <x:c r="C69" s="16" t="str">
        <x:v>– Clean off salt staining. Wire brush and apply cold galvanising paint all areas with surface corrosion.</x:v>
      </x:c>
      <x:c r="D69" s="16" t="str">
        <x:v>Beams</x:v>
      </x:c>
      <x:c r="E69" s="16" t="str">
        <x:v>SRC-004</x:v>
      </x:c>
      <x:c r="F69" s="16" t="str">
        <x:v>REC-0023</x:v>
      </x:c>
      <x:c r="G69" s="16" t="str">
        <x:v>正式报告</x:v>
      </x:c>
      <x:c r="H69" s="19" t="n">
        <x:v>4</x:v>
      </x:c>
      <x:c r="I69" s="19" t="n">
        <x:v>8</x:v>
      </x:c>
      <x:c r="J69" s="19" t="n">
        <x:v>1</x:v>
      </x:c>
      <x:c r="K69" s="16" t="str">
        <x:v>2. New with slight deterioration</x:v>
      </x:c>
      <x:c r="L69" s="16" t="str">
        <x:v>Very unlikely</x:v>
      </x:c>
      <x:c r="M69" s="16" t="str">
        <x:v>Significant</x:v>
      </x:c>
      <x:c r="N69" s="16" t="str">
        <x:v>Low</x:v>
      </x:c>
    </x:row>
    <x:row r="70" ht="41" customHeight="1">
      <x:c r="A70" s="16" t="str">
        <x:v>RAW-00064</x:v>
      </x:c>
      <x:c r="B70" s="16" t="str">
        <x:v>Observation</x:v>
      </x:c>
      <x:c r="C70" s="16" t="str">
        <x:v>– Front of property. Cladding and framing in good condition.</x:v>
      </x:c>
      <x:c r="D70" s="16" t="str">
        <x:v>Cladding and framing</x:v>
      </x:c>
      <x:c r="E70" s="16" t="str">
        <x:v>SRC-004</x:v>
      </x:c>
      <x:c r="F70" s="16" t="str">
        <x:v>OBS-0004</x:v>
      </x:c>
      <x:c r="G70" s="16" t="str">
        <x:v>正式报告</x:v>
      </x:c>
      <x:c r="H70" s="19" t="n">
        <x:v>5</x:v>
      </x:c>
      <x:c r="I70" s="19" t="n">
        <x:v>6</x:v>
      </x:c>
      <x:c r="J70" s="19" t="n">
        <x:v>1</x:v>
      </x:c>
      <x:c r="K70" s="16" t="str">
        <x:v>1. New with no visible defects/damage</x:v>
      </x:c>
      <x:c r="L70" s="16" t="str">
        <x:v>Very unlikely</x:v>
      </x:c>
      <x:c r="M70" s="16" t="str">
        <x:v>Negligible</x:v>
      </x:c>
      <x:c r="N70" s="16" t="str">
        <x:v>Low</x:v>
      </x:c>
    </x:row>
    <x:row r="71" ht="41" customHeight="1">
      <x:c r="A71" s="16" t="str">
        <x:v>RAW-00065</x:v>
      </x:c>
      <x:c r="B71" s="16" t="str">
        <x:v>Observation</x:v>
      </x:c>
      <x:c r="C71" s="16" t="str">
        <x:v>– Window adjacent to front entrance. Cladding in good and framing condition.</x:v>
      </x:c>
      <x:c r="D71" s="16" t="str">
        <x:v>Cladding and framing</x:v>
      </x:c>
      <x:c r="E71" s="16" t="str">
        <x:v>SRC-004</x:v>
      </x:c>
      <x:c r="F71" s="16" t="str">
        <x:v>OBS-0031</x:v>
      </x:c>
      <x:c r="G71" s="16" t="str">
        <x:v>正式报告</x:v>
      </x:c>
      <x:c r="H71" s="19" t="n">
        <x:v>5</x:v>
      </x:c>
      <x:c r="I71" s="19" t="n">
        <x:v>7</x:v>
      </x:c>
      <x:c r="J71" s="19" t="n">
        <x:v>1</x:v>
      </x:c>
      <x:c r="K71" s="16" t="str">
        <x:v>1. New with no visible defects/damage</x:v>
      </x:c>
      <x:c r="L71" s="16" t="str">
        <x:v>Very unlikely</x:v>
      </x:c>
      <x:c r="M71" s="16" t="str">
        <x:v>Negligible</x:v>
      </x:c>
      <x:c r="N71" s="16" t="str">
        <x:v>Low</x:v>
      </x:c>
    </x:row>
    <x:row r="72" ht="41" customHeight="1">
      <x:c r="A72" s="16" t="str">
        <x:v>RAW-00066</x:v>
      </x:c>
      <x:c r="B72" s="16" t="str">
        <x:v>Observation</x:v>
      </x:c>
      <x:c r="C72" s="16" t="str">
        <x:v>– Front of property. Cladding in good and framing condition.</x:v>
      </x:c>
      <x:c r="D72" s="16" t="str">
        <x:v>Cladding and framing</x:v>
      </x:c>
      <x:c r="E72" s="16" t="str">
        <x:v>SRC-004</x:v>
      </x:c>
      <x:c r="F72" s="16" t="str">
        <x:v>OBS-0049</x:v>
      </x:c>
      <x:c r="G72" s="16" t="str">
        <x:v>正式报告</x:v>
      </x:c>
      <x:c r="H72" s="19" t="n">
        <x:v>5</x:v>
      </x:c>
      <x:c r="I72" s="19" t="n">
        <x:v>8</x:v>
      </x:c>
      <x:c r="J72" s="19" t="n">
        <x:v>1</x:v>
      </x:c>
      <x:c r="K72" s="16" t="str">
        <x:v>1. New with no visible defects/damage</x:v>
      </x:c>
      <x:c r="L72" s="16" t="str">
        <x:v>Very unlikely</x:v>
      </x:c>
      <x:c r="M72" s="16" t="str">
        <x:v>Negligible</x:v>
      </x:c>
      <x:c r="N72" s="16" t="str">
        <x:v>Low</x:v>
      </x:c>
    </x:row>
    <x:row r="73" ht="41" customHeight="1">
      <x:c r="A73" s="16" t="str">
        <x:v>RAW-00067</x:v>
      </x:c>
      <x:c r="B73" s="16" t="str">
        <x:v>Recommendation</x:v>
      </x:c>
      <x:c r="C73" s="16" t="str">
        <x:v>– None.</x:v>
      </x:c>
      <x:c r="D73" s="16" t="str">
        <x:v>Cladding and framing</x:v>
      </x:c>
      <x:c r="E73" s="16" t="str">
        <x:v>SRC-004</x:v>
      </x:c>
      <x:c r="F73" s="16" t="str">
        <x:v>REC-0003</x:v>
      </x:c>
      <x:c r="G73" s="16" t="str">
        <x:v>正式报告</x:v>
      </x:c>
      <x:c r="H73" s="19" t="n">
        <x:v>5</x:v>
      </x:c>
      <x:c r="I73" s="19" t="n">
        <x:v>8</x:v>
      </x:c>
      <x:c r="J73" s="19" t="n">
        <x:v>1</x:v>
      </x:c>
      <x:c r="K73" s="16" t="str">
        <x:v>1. New with no visible defects/damage</x:v>
      </x:c>
      <x:c r="L73" s="16" t="str">
        <x:v>Very unlikely</x:v>
      </x:c>
      <x:c r="M73" s="16" t="str">
        <x:v>Negligible</x:v>
      </x:c>
      <x:c r="N73" s="16" t="str">
        <x:v>Low</x:v>
      </x:c>
    </x:row>
    <x:row r="74" ht="37" customHeight="1">
      <x:c r="A74" s="16" t="str">
        <x:v>RAW-00068</x:v>
      </x:c>
      <x:c r="B74" s="16" t="str">
        <x:v>Observation</x:v>
      </x:c>
      <x:c r="C74" s="16" t="str">
        <x:v>– Overview of carport.</x:v>
      </x:c>
      <x:c r="D74" s="16" t="str">
        <x:v>Beams</x:v>
      </x:c>
      <x:c r="E74" s="16" t="str">
        <x:v>SRC-005</x:v>
      </x:c>
      <x:c r="F74" s="16" t="str">
        <x:v>OBS-0072</x:v>
      </x:c>
      <x:c r="G74" s="16" t="str">
        <x:v>正式报告</x:v>
      </x:c>
      <x:c r="H74" s="19" t="n">
        <x:v>3</x:v>
      </x:c>
      <x:c r="I74" s="19" t="n">
        <x:v>6</x:v>
      </x:c>
      <x:c r="J74" s="19" t="n">
        <x:v>1</x:v>
      </x:c>
      <x:c r="K74" s="16" t="str">
        <x:v>2. New with slight deterioration</x:v>
      </x:c>
      <x:c r="L74" s="16" t="str">
        <x:v>Very unlikely</x:v>
      </x:c>
      <x:c r="M74" s="16" t="str">
        <x:v>Significant</x:v>
      </x:c>
      <x:c r="N74" s="16" t="str">
        <x:v>Low</x:v>
      </x:c>
    </x:row>
    <x:row r="75" ht="37" customHeight="1">
      <x:c r="A75" s="16" t="str">
        <x:v>RAW-00069</x:v>
      </x:c>
      <x:c r="B75" s="16" t="str">
        <x:v>Observation</x:v>
      </x:c>
      <x:c r="C75" s="16" t="str">
        <x:v>– Carport. Minor corrosion in areas where hot-dip galvanised coating has been damaged.</x:v>
      </x:c>
      <x:c r="D75" s="16" t="str">
        <x:v>Beams</x:v>
      </x:c>
      <x:c r="E75" s="16" t="str">
        <x:v>SRC-005</x:v>
      </x:c>
      <x:c r="F75" s="16" t="str">
        <x:v>OBS-0041</x:v>
      </x:c>
      <x:c r="G75" s="16" t="str">
        <x:v>正式报告</x:v>
      </x:c>
      <x:c r="H75" s="19" t="n">
        <x:v>3</x:v>
      </x:c>
      <x:c r="I75" s="19" t="n">
        <x:v>7</x:v>
      </x:c>
      <x:c r="J75" s="19" t="n">
        <x:v>2</x:v>
      </x:c>
      <x:c r="K75" s="16" t="str">
        <x:v>2. New with slight deterioration</x:v>
      </x:c>
      <x:c r="L75" s="16" t="str">
        <x:v>Very unlikely</x:v>
      </x:c>
      <x:c r="M75" s="16" t="str">
        <x:v>Significant</x:v>
      </x:c>
      <x:c r="N75" s="16" t="str">
        <x:v>Low</x:v>
      </x:c>
    </x:row>
    <x:row r="76" ht="37" customHeight="1">
      <x:c r="A76" s="16" t="str">
        <x:v>RAW-00070</x:v>
      </x:c>
      <x:c r="B76" s="16" t="str">
        <x:v>Recommendation</x:v>
      </x:c>
      <x:c r="C76" s="16" t="str">
        <x:v>– Clean off salt staining. Wire brush and apply cold galvanising paint all areas with surface corrosion.</x:v>
      </x:c>
      <x:c r="D76" s="16" t="str">
        <x:v>Beams</x:v>
      </x:c>
      <x:c r="E76" s="16" t="str">
        <x:v>SRC-005</x:v>
      </x:c>
      <x:c r="F76" s="16" t="str">
        <x:v>REC-0023</x:v>
      </x:c>
      <x:c r="G76" s="16" t="str">
        <x:v>正式报告</x:v>
      </x:c>
      <x:c r="H76" s="19" t="n">
        <x:v>3</x:v>
      </x:c>
      <x:c r="I76" s="19" t="n">
        <x:v>7</x:v>
      </x:c>
      <x:c r="J76" s="19" t="n">
        <x:v>2</x:v>
      </x:c>
      <x:c r="K76" s="16" t="str">
        <x:v>2. New with slight deterioration</x:v>
      </x:c>
      <x:c r="L76" s="16" t="str">
        <x:v>Very unlikely</x:v>
      </x:c>
      <x:c r="M76" s="16" t="str">
        <x:v>Significant</x:v>
      </x:c>
      <x:c r="N76" s="16" t="str">
        <x:v>Low</x:v>
      </x:c>
    </x:row>
    <x:row r="77" ht="37" customHeight="1">
      <x:c r="A77" s="16" t="str">
        <x:v>RAW-00071</x:v>
      </x:c>
      <x:c r="B77" s="16" t="str">
        <x:v>Observation</x:v>
      </x:c>
      <x:c r="C77" s="16" t="str">
        <x:v>– Carport column.</x:v>
      </x:c>
      <x:c r="D77" s="16" t="str">
        <x:v>Columns</x:v>
      </x:c>
      <x:c r="E77" s="16" t="str">
        <x:v>SRC-005</x:v>
      </x:c>
      <x:c r="F77" s="16" t="str">
        <x:v>OBS-0154</x:v>
      </x:c>
      <x:c r="G77" s="16" t="str">
        <x:v>正式报告</x:v>
      </x:c>
      <x:c r="H77" s="19" t="n">
        <x:v>4</x:v>
      </x:c>
      <x:c r="I77" s="19" t="n">
        <x:v>6</x:v>
      </x:c>
      <x:c r="J77" s="19" t="n">
        <x:v>1</x:v>
      </x:c>
      <x:c r="K77" s="16" t="str">
        <x:v>2. New with slight deterioration</x:v>
      </x:c>
      <x:c r="L77" s="16" t="str">
        <x:v>Very unlikely</x:v>
      </x:c>
      <x:c r="M77" s="16" t="str">
        <x:v>Negligible</x:v>
      </x:c>
      <x:c r="N77" s="16" t="str">
        <x:v>Low</x:v>
      </x:c>
    </x:row>
    <x:row r="78" ht="37" customHeight="1">
      <x:c r="A78" s="16" t="str">
        <x:v>RAW-00072</x:v>
      </x:c>
      <x:c r="B78" s="16" t="str">
        <x:v>Observation</x:v>
      </x:c>
      <x:c r="C78" s="16" t="str">
        <x:v>– Gutter above column. Column is more likely to corrode due to the flow of water from gutter.</x:v>
      </x:c>
      <x:c r="D78" s="16" t="str">
        <x:v>Columns</x:v>
      </x:c>
      <x:c r="E78" s="16" t="str">
        <x:v>SRC-005</x:v>
      </x:c>
      <x:c r="F78" s="16" t="str">
        <x:v>OBS-0322</x:v>
      </x:c>
      <x:c r="G78" s="16" t="str">
        <x:v>正式报告</x:v>
      </x:c>
      <x:c r="H78" s="19" t="n">
        <x:v>4</x:v>
      </x:c>
      <x:c r="I78" s="19" t="n">
        <x:v>7</x:v>
      </x:c>
      <x:c r="J78" s="19" t="n">
        <x:v>1</x:v>
      </x:c>
      <x:c r="K78" s="16" t="str">
        <x:v>2. New with slight deterioration</x:v>
      </x:c>
      <x:c r="L78" s="16" t="str">
        <x:v>Very unlikely</x:v>
      </x:c>
      <x:c r="M78" s="16" t="str">
        <x:v>Negligible</x:v>
      </x:c>
      <x:c r="N78" s="16" t="str">
        <x:v>Low</x:v>
      </x:c>
    </x:row>
    <x:row r="79" ht="37" customHeight="1">
      <x:c r="A79" s="16" t="str">
        <x:v>RAW-00073</x:v>
      </x:c>
      <x:c r="B79" s="16" t="str">
        <x:v>Observation</x:v>
      </x:c>
      <x:c r="C79" s="16" t="str">
        <x:v>– Salt staining at lower portion of the column.</x:v>
      </x:c>
      <x:c r="D79" s="16" t="str">
        <x:v>Columns</x:v>
      </x:c>
      <x:c r="E79" s="16" t="str">
        <x:v>SRC-005</x:v>
      </x:c>
      <x:c r="F79" s="16" t="str">
        <x:v>OBS-0548</x:v>
      </x:c>
      <x:c r="G79" s="16" t="str">
        <x:v>正式报告</x:v>
      </x:c>
      <x:c r="H79" s="19" t="n">
        <x:v>4</x:v>
      </x:c>
      <x:c r="I79" s="19" t="n">
        <x:v>8</x:v>
      </x:c>
      <x:c r="J79" s="19" t="n">
        <x:v>1</x:v>
      </x:c>
      <x:c r="K79" s="16" t="str">
        <x:v>2. New with slight deterioration</x:v>
      </x:c>
      <x:c r="L79" s="16" t="str">
        <x:v>Very unlikely</x:v>
      </x:c>
      <x:c r="M79" s="16" t="str">
        <x:v>Negligible</x:v>
      </x:c>
      <x:c r="N79" s="16" t="str">
        <x:v>Low</x:v>
      </x:c>
    </x:row>
    <x:row r="80" ht="37" customHeight="1">
      <x:c r="A80" s="16" t="str">
        <x:v>RAW-00074</x:v>
      </x:c>
      <x:c r="B80" s="16" t="str">
        <x:v>Recommendation</x:v>
      </x:c>
      <x:c r="C80" s="16" t="str">
        <x:v>– Remove salt staining.</x:v>
      </x:c>
      <x:c r="D80" s="16" t="str">
        <x:v>Columns</x:v>
      </x:c>
      <x:c r="E80" s="16" t="str">
        <x:v>SRC-005</x:v>
      </x:c>
      <x:c r="F80" s="16" t="str">
        <x:v>REC-0004</x:v>
      </x:c>
      <x:c r="G80" s="16" t="str">
        <x:v>正式报告</x:v>
      </x:c>
      <x:c r="H80" s="19" t="n">
        <x:v>4</x:v>
      </x:c>
      <x:c r="I80" s="19" t="n">
        <x:v>8</x:v>
      </x:c>
      <x:c r="J80" s="19" t="n">
        <x:v>1</x:v>
      </x:c>
      <x:c r="K80" s="16" t="str">
        <x:v>2. New with slight deterioration</x:v>
      </x:c>
      <x:c r="L80" s="16" t="str">
        <x:v>Very unlikely</x:v>
      </x:c>
      <x:c r="M80" s="16" t="str">
        <x:v>Negligible</x:v>
      </x:c>
      <x:c r="N80" s="16" t="str">
        <x:v>Low</x:v>
      </x:c>
    </x:row>
    <x:row r="81" ht="37" customHeight="1">
      <x:c r="A81" s="16" t="str">
        <x:v>RAW-00075</x:v>
      </x:c>
      <x:c r="B81" s="16" t="str">
        <x:v>Observation</x:v>
      </x:c>
      <x:c r="C81" s="16" t="str">
        <x:v>– Salt staining at connection of balcony column.</x:v>
      </x:c>
      <x:c r="D81" s="16" t="str">
        <x:v>Columns</x:v>
      </x:c>
      <x:c r="E81" s="16" t="str">
        <x:v>SRC-005</x:v>
      </x:c>
      <x:c r="F81" s="16" t="str">
        <x:v>OBS-0546</x:v>
      </x:c>
      <x:c r="G81" s="16" t="str">
        <x:v>正式报告</x:v>
      </x:c>
      <x:c r="H81" s="19" t="n">
        <x:v>4</x:v>
      </x:c>
      <x:c r="I81" s="19" t="n">
        <x:v>9</x:v>
      </x:c>
      <x:c r="J81" s="19" t="n">
        <x:v>1</x:v>
      </x:c>
      <x:c r="K81" s="16" t="str">
        <x:v>2. New with slight deterioration</x:v>
      </x:c>
      <x:c r="L81" s="16" t="str">
        <x:v>Very unlikely</x:v>
      </x:c>
      <x:c r="M81" s="16" t="str">
        <x:v>Negligible</x:v>
      </x:c>
      <x:c r="N81" s="16" t="str">
        <x:v>Low</x:v>
      </x:c>
    </x:row>
    <x:row r="82" ht="37" customHeight="1">
      <x:c r="A82" s="16" t="str">
        <x:v>RAW-00076</x:v>
      </x:c>
      <x:c r="B82" s="16" t="str">
        <x:v>Recommendation</x:v>
      </x:c>
      <x:c r="C82" s="16" t="str">
        <x:v>– Remove salt staining.</x:v>
      </x:c>
      <x:c r="D82" s="16" t="str">
        <x:v>Columns</x:v>
      </x:c>
      <x:c r="E82" s="16" t="str">
        <x:v>SRC-005</x:v>
      </x:c>
      <x:c r="F82" s="16" t="str">
        <x:v>REC-0004</x:v>
      </x:c>
      <x:c r="G82" s="16" t="str">
        <x:v>正式报告</x:v>
      </x:c>
      <x:c r="H82" s="19" t="n">
        <x:v>4</x:v>
      </x:c>
      <x:c r="I82" s="19" t="n">
        <x:v>9</x:v>
      </x:c>
      <x:c r="J82" s="19" t="n">
        <x:v>1</x:v>
      </x:c>
      <x:c r="K82" s="16" t="str">
        <x:v>2. New with slight deterioration</x:v>
      </x:c>
      <x:c r="L82" s="16" t="str">
        <x:v>Very unlikely</x:v>
      </x:c>
      <x:c r="M82" s="16" t="str">
        <x:v>Negligible</x:v>
      </x:c>
      <x:c r="N82" s="16" t="str">
        <x:v>Low</x:v>
      </x:c>
    </x:row>
    <x:row r="83" ht="37" customHeight="1">
      <x:c r="A83" s="16" t="str">
        <x:v>RAW-00077</x:v>
      </x:c>
      <x:c r="B83" s="16" t="str">
        <x:v>Observation</x:v>
      </x:c>
      <x:c r="C83" s="16" t="str">
        <x:v>– Front of property. Cladding and framing in good condition. Salt staining at the corner.</x:v>
      </x:c>
      <x:c r="D83" s="16" t="str">
        <x:v>Cladding and framing</x:v>
      </x:c>
      <x:c r="E83" s="16" t="str">
        <x:v>SRC-005</x:v>
      </x:c>
      <x:c r="F83" s="16" t="str">
        <x:v>OBS-0277</x:v>
      </x:c>
      <x:c r="G83" s="16" t="str">
        <x:v>正式报告</x:v>
      </x:c>
      <x:c r="H83" s="19" t="n">
        <x:v>5</x:v>
      </x:c>
      <x:c r="I83" s="19" t="n">
        <x:v>6</x:v>
      </x:c>
      <x:c r="J83" s="19" t="n">
        <x:v>1</x:v>
      </x:c>
      <x:c r="K83" s="16" t="str">
        <x:v>2. New with slight deterioration</x:v>
      </x:c>
      <x:c r="L83" s="16" t="str">
        <x:v>Very unlikely</x:v>
      </x:c>
      <x:c r="M83" s="16" t="str">
        <x:v>Negligible</x:v>
      </x:c>
      <x:c r="N83" s="16" t="str">
        <x:v>Low</x:v>
      </x:c>
    </x:row>
    <x:row r="84" ht="37" customHeight="1">
      <x:c r="A84" s="16" t="str">
        <x:v>RAW-00078</x:v>
      </x:c>
      <x:c r="B84" s="16" t="str">
        <x:v>Observation</x:v>
      </x:c>
      <x:c r="C84" s="16" t="str">
        <x:v>– Window adjacent to front entrance. Cladding in good and framing condition.</x:v>
      </x:c>
      <x:c r="D84" s="16" t="str">
        <x:v>Cladding and framing</x:v>
      </x:c>
      <x:c r="E84" s="16" t="str">
        <x:v>SRC-005</x:v>
      </x:c>
      <x:c r="F84" s="16" t="str">
        <x:v>OBS-0031</x:v>
      </x:c>
      <x:c r="G84" s="16" t="str">
        <x:v>正式报告</x:v>
      </x:c>
      <x:c r="H84" s="19" t="n">
        <x:v>5</x:v>
      </x:c>
      <x:c r="I84" s="19" t="n">
        <x:v>7</x:v>
      </x:c>
      <x:c r="J84" s="19" t="n">
        <x:v>1</x:v>
      </x:c>
      <x:c r="K84" s="16" t="str">
        <x:v>2. New with slight deterioration</x:v>
      </x:c>
      <x:c r="L84" s="16" t="str">
        <x:v>Very unlikely</x:v>
      </x:c>
      <x:c r="M84" s="16" t="str">
        <x:v>Negligible</x:v>
      </x:c>
      <x:c r="N84" s="16" t="str">
        <x:v>Low</x:v>
      </x:c>
    </x:row>
    <x:row r="85" ht="37" customHeight="1">
      <x:c r="A85" s="16" t="str">
        <x:v>RAW-00079</x:v>
      </x:c>
      <x:c r="B85" s="16" t="str">
        <x:v>Observation</x:v>
      </x:c>
      <x:c r="C85" s="16" t="str">
        <x:v>– Front of property. Cladding in good and framing condition.</x:v>
      </x:c>
      <x:c r="D85" s="16" t="str">
        <x:v>Cladding and framing</x:v>
      </x:c>
      <x:c r="E85" s="16" t="str">
        <x:v>SRC-005</x:v>
      </x:c>
      <x:c r="F85" s="16" t="str">
        <x:v>OBS-0049</x:v>
      </x:c>
      <x:c r="G85" s="16" t="str">
        <x:v>正式报告</x:v>
      </x:c>
      <x:c r="H85" s="19" t="n">
        <x:v>5</x:v>
      </x:c>
      <x:c r="I85" s="19" t="n">
        <x:v>8</x:v>
      </x:c>
      <x:c r="J85" s="19" t="n">
        <x:v>1</x:v>
      </x:c>
      <x:c r="K85" s="16" t="str">
        <x:v>2. New with slight deterioration</x:v>
      </x:c>
      <x:c r="L85" s="16" t="str">
        <x:v>Very unlikely</x:v>
      </x:c>
      <x:c r="M85" s="16" t="str">
        <x:v>Negligible</x:v>
      </x:c>
      <x:c r="N85" s="16" t="str">
        <x:v>Low</x:v>
      </x:c>
    </x:row>
    <x:row r="86" ht="37" customHeight="1">
      <x:c r="A86" s="16" t="str">
        <x:v>RAW-00080</x:v>
      </x:c>
      <x:c r="B86" s="16" t="str">
        <x:v>Recommendation</x:v>
      </x:c>
      <x:c r="C86" s="16" t="str">
        <x:v>– None.</x:v>
      </x:c>
      <x:c r="D86" s="16" t="str">
        <x:v>Cladding and framing</x:v>
      </x:c>
      <x:c r="E86" s="16" t="str">
        <x:v>SRC-005</x:v>
      </x:c>
      <x:c r="F86" s="16" t="str">
        <x:v>REC-0003</x:v>
      </x:c>
      <x:c r="G86" s="16" t="str">
        <x:v>正式报告</x:v>
      </x:c>
      <x:c r="H86" s="19" t="n">
        <x:v>5</x:v>
      </x:c>
      <x:c r="I86" s="19" t="n">
        <x:v>8</x:v>
      </x:c>
      <x:c r="J86" s="19" t="n">
        <x:v>1</x:v>
      </x:c>
      <x:c r="K86" s="16" t="str">
        <x:v>2. New with slight deterioration</x:v>
      </x:c>
      <x:c r="L86" s="16" t="str">
        <x:v>Very unlikely</x:v>
      </x:c>
      <x:c r="M86" s="16" t="str">
        <x:v>Negligible</x:v>
      </x:c>
      <x:c r="N86" s="16" t="str">
        <x:v>Low</x:v>
      </x:c>
    </x:row>
    <x:row r="87" ht="41" customHeight="1">
      <x:c r="A87" s="16" t="str">
        <x:v>RAW-00081</x:v>
      </x:c>
      <x:c r="B87" s="16" t="str">
        <x:v>Observation</x:v>
      </x:c>
      <x:c r="C87" s="16" t="str">
        <x:v>– Right hand side column facing the front of the house. Holes and flaking towards the lower section of the column.</x:v>
      </x:c>
      <x:c r="D87" s="16" t="str">
        <x:v>Verandah column</x:v>
      </x:c>
      <x:c r="E87" s="16" t="str">
        <x:v>SRC-006</x:v>
      </x:c>
      <x:c r="F87" s="16" t="str">
        <x:v>OBS-0477</x:v>
      </x:c>
      <x:c r="G87" s="16" t="str">
        <x:v>正式报告</x:v>
      </x:c>
      <x:c r="H87" s="19" t="n">
        <x:v>3</x:v>
      </x:c>
      <x:c r="I87" s="19" t="n">
        <x:v>6</x:v>
      </x:c>
      <x:c r="J87" s="19" t="n">
        <x:v>2</x:v>
      </x:c>
      <x:c r="K87" s="16" t="str">
        <x:v>7. Very severe deterioration</x:v>
      </x:c>
      <x:c r="L87" s="16" t="str">
        <x:v>Very likely</x:v>
      </x:c>
      <x:c r="M87" s="16" t="str">
        <x:v>Significant</x:v>
      </x:c>
      <x:c r="N87" s="16" t="str">
        <x:v>Urgent</x:v>
      </x:c>
    </x:row>
    <x:row r="88" ht="37" customHeight="1">
      <x:c r="A88" s="16" t="str">
        <x:v>RAW-00082</x:v>
      </x:c>
      <x:c r="B88" s="16" t="str">
        <x:v>Recommendation</x:v>
      </x:c>
      <x:c r="C88" s="16" t="str">
        <x:v>– Replace column.</x:v>
      </x:c>
      <x:c r="D88" s="16" t="str">
        <x:v>Verandah column</x:v>
      </x:c>
      <x:c r="E88" s="16" t="str">
        <x:v>SRC-006</x:v>
      </x:c>
      <x:c r="F88" s="16" t="str">
        <x:v>REC-0007</x:v>
      </x:c>
      <x:c r="G88" s="16" t="str">
        <x:v>正式报告</x:v>
      </x:c>
      <x:c r="H88" s="19" t="n">
        <x:v>3</x:v>
      </x:c>
      <x:c r="I88" s="19" t="n">
        <x:v>6</x:v>
      </x:c>
      <x:c r="J88" s="19" t="n">
        <x:v>2</x:v>
      </x:c>
      <x:c r="K88" s="16" t="str">
        <x:v>7. Very severe deterioration</x:v>
      </x:c>
      <x:c r="L88" s="16" t="str">
        <x:v>Very likely</x:v>
      </x:c>
      <x:c r="M88" s="16" t="str">
        <x:v>Significant</x:v>
      </x:c>
      <x:c r="N88" s="16" t="str">
        <x:v>Urgent</x:v>
      </x:c>
    </x:row>
    <x:row r="89" ht="37" customHeight="1">
      <x:c r="A89" s="16" t="str">
        <x:v>RAW-00083</x:v>
      </x:c>
      <x:c r="B89" s="16" t="str">
        <x:v>Observation</x:v>
      </x:c>
      <x:c r="C89" s="16" t="str">
        <x:v>– Rafter at Brick Pier 1. Severe corrosion on the end of the rafter beam.</x:v>
      </x:c>
      <x:c r="D89" s="16" t="str">
        <x:v>Rafters</x:v>
      </x:c>
      <x:c r="E89" s="16" t="str">
        <x:v>SRC-006</x:v>
      </x:c>
      <x:c r="F89" s="16" t="str">
        <x:v>OBS-0473</x:v>
      </x:c>
      <x:c r="G89" s="16" t="str">
        <x:v>正式报告</x:v>
      </x:c>
      <x:c r="H89" s="19" t="n">
        <x:v>4</x:v>
      </x:c>
      <x:c r="I89" s="19" t="n">
        <x:v>6</x:v>
      </x:c>
      <x:c r="J89" s="19" t="n">
        <x:v>2</x:v>
      </x:c>
      <x:c r="K89" s="16" t="str">
        <x:v>5. Major deterioration</x:v>
      </x:c>
      <x:c r="L89" s="16" t="str">
        <x:v>Likely</x:v>
      </x:c>
      <x:c r="M89" s="16" t="str">
        <x:v>Significant</x:v>
      </x:c>
      <x:c r="N89" s="16" t="str">
        <x:v>Critical</x:v>
      </x:c>
    </x:row>
    <x:row r="90" ht="37" customHeight="1">
      <x:c r="A90" s="16" t="str">
        <x:v>RAW-00084</x:v>
      </x:c>
      <x:c r="B90" s="16" t="str">
        <x:v>Recommendation</x:v>
      </x:c>
      <x:c r="C90" s="16" t="str">
        <x:v>– Replace rafter.</x:v>
      </x:c>
      <x:c r="D90" s="16" t="str">
        <x:v>Rafters</x:v>
      </x:c>
      <x:c r="E90" s="16" t="str">
        <x:v>SRC-006</x:v>
      </x:c>
      <x:c r="F90" s="16" t="str">
        <x:v>REC-0151</x:v>
      </x:c>
      <x:c r="G90" s="16" t="str">
        <x:v>正式报告</x:v>
      </x:c>
      <x:c r="H90" s="19" t="n">
        <x:v>4</x:v>
      </x:c>
      <x:c r="I90" s="19" t="n">
        <x:v>6</x:v>
      </x:c>
      <x:c r="J90" s="19" t="n">
        <x:v>2</x:v>
      </x:c>
      <x:c r="K90" s="16" t="str">
        <x:v>5. Major deterioration</x:v>
      </x:c>
      <x:c r="L90" s="16" t="str">
        <x:v>Likely</x:v>
      </x:c>
      <x:c r="M90" s="16" t="str">
        <x:v>Significant</x:v>
      </x:c>
      <x:c r="N90" s="16" t="str">
        <x:v>Critical</x:v>
      </x:c>
    </x:row>
    <x:row r="91" ht="37" customHeight="1">
      <x:c r="A91" s="16" t="str">
        <x:v>RAW-00085</x:v>
      </x:c>
      <x:c r="B91" s="16" t="str">
        <x:v>Observation</x:v>
      </x:c>
      <x:c r="C91" s="16" t="str">
        <x:v>– Pier 4.</x:v>
      </x:c>
      <x:c r="D91" s="16" t="str">
        <x:v>Rafters</x:v>
      </x:c>
      <x:c r="E91" s="16" t="str">
        <x:v>SRC-006</x:v>
      </x:c>
      <x:c r="F91" s="16" t="str">
        <x:v>OBS-0454</x:v>
      </x:c>
      <x:c r="G91" s="16" t="str">
        <x:v>正式报告</x:v>
      </x:c>
      <x:c r="H91" s="19" t="n">
        <x:v>4</x:v>
      </x:c>
      <x:c r="I91" s="19" t="n">
        <x:v>7</x:v>
      </x:c>
      <x:c r="J91" s="19" t="n">
        <x:v>1</x:v>
      </x:c>
      <x:c r="K91" s="16" t="str">
        <x:v>5. Major deterioration</x:v>
      </x:c>
      <x:c r="L91" s="16" t="str">
        <x:v>Likely</x:v>
      </x:c>
      <x:c r="M91" s="16" t="str">
        <x:v>Significant</x:v>
      </x:c>
      <x:c r="N91" s="16" t="str">
        <x:v>Critical</x:v>
      </x:c>
    </x:row>
    <x:row r="92" ht="37" customHeight="1">
      <x:c r="A92" s="16" t="str">
        <x:v>RAW-00086</x:v>
      </x:c>
      <x:c r="B92" s="16" t="str">
        <x:v>Recommendation</x:v>
      </x:c>
      <x:c r="C92" s="16" t="str">
        <x:v>– None.</x:v>
      </x:c>
      <x:c r="D92" s="16" t="str">
        <x:v>Rafters</x:v>
      </x:c>
      <x:c r="E92" s="16" t="str">
        <x:v>SRC-006</x:v>
      </x:c>
      <x:c r="F92" s="16" t="str">
        <x:v>REC-0003</x:v>
      </x:c>
      <x:c r="G92" s="16" t="str">
        <x:v>正式报告</x:v>
      </x:c>
      <x:c r="H92" s="19" t="n">
        <x:v>4</x:v>
      </x:c>
      <x:c r="I92" s="19" t="n">
        <x:v>7</x:v>
      </x:c>
      <x:c r="J92" s="19" t="n">
        <x:v>1</x:v>
      </x:c>
      <x:c r="K92" s="16" t="str">
        <x:v>5. Major deterioration</x:v>
      </x:c>
      <x:c r="L92" s="16" t="str">
        <x:v>Likely</x:v>
      </x:c>
      <x:c r="M92" s="16" t="str">
        <x:v>Significant</x:v>
      </x:c>
      <x:c r="N92" s="16" t="str">
        <x:v>Critical</x:v>
      </x:c>
    </x:row>
    <x:row r="93" ht="41" customHeight="1">
      <x:c r="A93" s="16" t="str">
        <x:v>RAW-00087</x:v>
      </x:c>
      <x:c r="B93" s="16" t="str">
        <x:v>Observation</x:v>
      </x:c>
      <x:c r="C93" s="16" t="str">
        <x:v>– Rafter at the top of pier 5. Severe corrosion at support location. Expansion of steel due to corrosion causing the brickwork to crack.</x:v>
      </x:c>
      <x:c r="D93" s="16" t="str">
        <x:v>Rafters</x:v>
      </x:c>
      <x:c r="E93" s="16" t="str">
        <x:v>SRC-006</x:v>
      </x:c>
      <x:c r="F93" s="16" t="str">
        <x:v>OBS-0475</x:v>
      </x:c>
      <x:c r="G93" s="16" t="str">
        <x:v>正式报告</x:v>
      </x:c>
      <x:c r="H93" s="19" t="n">
        <x:v>4</x:v>
      </x:c>
      <x:c r="I93" s="19" t="n">
        <x:v>8</x:v>
      </x:c>
      <x:c r="J93" s="19" t="n">
        <x:v>1</x:v>
      </x:c>
      <x:c r="K93" s="16" t="str">
        <x:v>5. Major deterioration</x:v>
      </x:c>
      <x:c r="L93" s="16" t="str">
        <x:v>Likely</x:v>
      </x:c>
      <x:c r="M93" s="16" t="str">
        <x:v>Significant</x:v>
      </x:c>
      <x:c r="N93" s="16" t="str">
        <x:v>Critical</x:v>
      </x:c>
    </x:row>
    <x:row r="94" ht="37" customHeight="1">
      <x:c r="A94" s="16" t="str">
        <x:v>RAW-00088</x:v>
      </x:c>
      <x:c r="B94" s="16" t="str">
        <x:v>Recommendation</x:v>
      </x:c>
      <x:c r="C94" s="16" t="str">
        <x:v>– Replace the rafter and cracked bricks.</x:v>
      </x:c>
      <x:c r="D94" s="16" t="str">
        <x:v>Rafters</x:v>
      </x:c>
      <x:c r="E94" s="16" t="str">
        <x:v>SRC-006</x:v>
      </x:c>
      <x:c r="F94" s="16" t="str">
        <x:v>REC-0012</x:v>
      </x:c>
      <x:c r="G94" s="16" t="str">
        <x:v>正式报告</x:v>
      </x:c>
      <x:c r="H94" s="19" t="n">
        <x:v>4</x:v>
      </x:c>
      <x:c r="I94" s="19" t="n">
        <x:v>8</x:v>
      </x:c>
      <x:c r="J94" s="19" t="n">
        <x:v>1</x:v>
      </x:c>
      <x:c r="K94" s="16" t="str">
        <x:v>5. Major deterioration</x:v>
      </x:c>
      <x:c r="L94" s="16" t="str">
        <x:v>Likely</x:v>
      </x:c>
      <x:c r="M94" s="16" t="str">
        <x:v>Significant</x:v>
      </x:c>
      <x:c r="N94" s="16" t="str">
        <x:v>Critical</x:v>
      </x:c>
    </x:row>
    <x:row r="95" ht="41" customHeight="1">
      <x:c r="A95" s="16" t="str">
        <x:v>RAW-00089</x:v>
      </x:c>
      <x:c r="B95" s="16" t="str">
        <x:v>Observation</x:v>
      </x:c>
      <x:c r="C95" s="16" t="str">
        <x:v>– Rafter at the top of Pier 6. Severe corrosion at support location. Expansion of steel rafter due to corrosion causing brickwork to crack</x:v>
      </x:c>
      <x:c r="D95" s="16" t="str">
        <x:v>Rafters</x:v>
      </x:c>
      <x:c r="E95" s="16" t="str">
        <x:v>SRC-006</x:v>
      </x:c>
      <x:c r="F95" s="16" t="str">
        <x:v>OBS-0474</x:v>
      </x:c>
      <x:c r="G95" s="16" t="str">
        <x:v>正式报告</x:v>
      </x:c>
      <x:c r="H95" s="19" t="n">
        <x:v>4</x:v>
      </x:c>
      <x:c r="I95" s="19" t="n">
        <x:v>9</x:v>
      </x:c>
      <x:c r="J95" s="19" t="n">
        <x:v>1</x:v>
      </x:c>
      <x:c r="K95" s="16" t="str">
        <x:v>5. Major deterioration</x:v>
      </x:c>
      <x:c r="L95" s="16" t="str">
        <x:v>Likely</x:v>
      </x:c>
      <x:c r="M95" s="16" t="str">
        <x:v>Significant</x:v>
      </x:c>
      <x:c r="N95" s="16" t="str">
        <x:v>Critical</x:v>
      </x:c>
    </x:row>
    <x:row r="96" ht="37" customHeight="1">
      <x:c r="A96" s="16" t="str">
        <x:v>RAW-00090</x:v>
      </x:c>
      <x:c r="B96" s="16" t="str">
        <x:v>Recommendation</x:v>
      </x:c>
      <x:c r="C96" s="16" t="str">
        <x:v>– Replace rafter and cracked bricks.</x:v>
      </x:c>
      <x:c r="D96" s="16" t="str">
        <x:v>Rafters</x:v>
      </x:c>
      <x:c r="E96" s="16" t="str">
        <x:v>SRC-006</x:v>
      </x:c>
      <x:c r="F96" s="16" t="str">
        <x:v>REC-0150</x:v>
      </x:c>
      <x:c r="G96" s="16" t="str">
        <x:v>正式报告</x:v>
      </x:c>
      <x:c r="H96" s="19" t="n">
        <x:v>4</x:v>
      </x:c>
      <x:c r="I96" s="19" t="n">
        <x:v>9</x:v>
      </x:c>
      <x:c r="J96" s="19" t="n">
        <x:v>1</x:v>
      </x:c>
      <x:c r="K96" s="16" t="str">
        <x:v>5. Major deterioration</x:v>
      </x:c>
      <x:c r="L96" s="16" t="str">
        <x:v>Likely</x:v>
      </x:c>
      <x:c r="M96" s="16" t="str">
        <x:v>Significant</x:v>
      </x:c>
      <x:c r="N96" s="16" t="str">
        <x:v>Critical</x:v>
      </x:c>
    </x:row>
    <x:row r="97" ht="41" customHeight="1">
      <x:c r="A97" s="16" t="str">
        <x:v>RAW-00091</x:v>
      </x:c>
      <x:c r="B97" s="16" t="str">
        <x:v>Observation</x:v>
      </x:c>
      <x:c r="C97" s="16" t="str">
        <x:v>– Pier 7. Severe corrosion at support location. Expansion of steel due to corrosion causing brickwork to crack.</x:v>
      </x:c>
      <x:c r="D97" s="16" t="str">
        <x:v>Rafters</x:v>
      </x:c>
      <x:c r="E97" s="16" t="str">
        <x:v>SRC-006</x:v>
      </x:c>
      <x:c r="F97" s="16" t="str">
        <x:v>OBS-0457</x:v>
      </x:c>
      <x:c r="G97" s="16" t="str">
        <x:v>正式报告</x:v>
      </x:c>
      <x:c r="H97" s="19" t="n">
        <x:v>4</x:v>
      </x:c>
      <x:c r="I97" s="19" t="n">
        <x:v>10</x:v>
      </x:c>
      <x:c r="J97" s="19" t="n">
        <x:v>1</x:v>
      </x:c>
      <x:c r="K97" s="16" t="str">
        <x:v>5. Major deterioration</x:v>
      </x:c>
      <x:c r="L97" s="16" t="str">
        <x:v>Likely</x:v>
      </x:c>
      <x:c r="M97" s="16" t="str">
        <x:v>Significant</x:v>
      </x:c>
      <x:c r="N97" s="16" t="str">
        <x:v>Critical</x:v>
      </x:c>
    </x:row>
    <x:row r="98" ht="37" customHeight="1">
      <x:c r="A98" s="16" t="str">
        <x:v>RAW-00092</x:v>
      </x:c>
      <x:c r="B98" s="16" t="str">
        <x:v>Recommendation</x:v>
      </x:c>
      <x:c r="C98" s="16" t="str">
        <x:v>– Replace the rafter and cracked bricks.</x:v>
      </x:c>
      <x:c r="D98" s="16" t="str">
        <x:v>Rafters</x:v>
      </x:c>
      <x:c r="E98" s="16" t="str">
        <x:v>SRC-006</x:v>
      </x:c>
      <x:c r="F98" s="16" t="str">
        <x:v>REC-0012</x:v>
      </x:c>
      <x:c r="G98" s="16" t="str">
        <x:v>正式报告</x:v>
      </x:c>
      <x:c r="H98" s="19" t="n">
        <x:v>4</x:v>
      </x:c>
      <x:c r="I98" s="19" t="n">
        <x:v>10</x:v>
      </x:c>
      <x:c r="J98" s="19" t="n">
        <x:v>1</x:v>
      </x:c>
      <x:c r="K98" s="16" t="str">
        <x:v>5. Major deterioration</x:v>
      </x:c>
      <x:c r="L98" s="16" t="str">
        <x:v>Likely</x:v>
      </x:c>
      <x:c r="M98" s="16" t="str">
        <x:v>Significant</x:v>
      </x:c>
      <x:c r="N98" s="16" t="str">
        <x:v>Critical</x:v>
      </x:c>
    </x:row>
    <x:row r="99" ht="41" customHeight="1">
      <x:c r="A99" s="16" t="str">
        <x:v>RAW-00093</x:v>
      </x:c>
      <x:c r="B99" s="16" t="str">
        <x:v>Observation</x:v>
      </x:c>
      <x:c r="C99" s="16" t="str">
        <x:v>– Pier 8. Severe corrosion at support location. Expansion of steel due to corrosion causing brickwork to crack.</x:v>
      </x:c>
      <x:c r="D99" s="16" t="str">
        <x:v>Rafters</x:v>
      </x:c>
      <x:c r="E99" s="16" t="str">
        <x:v>SRC-006</x:v>
      </x:c>
      <x:c r="F99" s="16" t="str">
        <x:v>OBS-0459</x:v>
      </x:c>
      <x:c r="G99" s="16" t="str">
        <x:v>正式报告</x:v>
      </x:c>
      <x:c r="H99" s="19" t="n">
        <x:v>4</x:v>
      </x:c>
      <x:c r="I99" s="19" t="n">
        <x:v>11</x:v>
      </x:c>
      <x:c r="J99" s="19" t="n">
        <x:v>1</x:v>
      </x:c>
      <x:c r="K99" s="16" t="str">
        <x:v>5. Major deterioration</x:v>
      </x:c>
      <x:c r="L99" s="16" t="str">
        <x:v>Likely</x:v>
      </x:c>
      <x:c r="M99" s="16" t="str">
        <x:v>Significant</x:v>
      </x:c>
      <x:c r="N99" s="16" t="str">
        <x:v>Critical</x:v>
      </x:c>
    </x:row>
    <x:row r="100" ht="37" customHeight="1">
      <x:c r="A100" s="16" t="str">
        <x:v>RAW-00094</x:v>
      </x:c>
      <x:c r="B100" s="16" t="str">
        <x:v>Recommendation</x:v>
      </x:c>
      <x:c r="C100" s="16" t="str">
        <x:v>– Replace the rafter and cracked bricks</x:v>
      </x:c>
      <x:c r="D100" s="16" t="str">
        <x:v>Rafters</x:v>
      </x:c>
      <x:c r="E100" s="16" t="str">
        <x:v>SRC-006</x:v>
      </x:c>
      <x:c r="F100" s="16" t="str">
        <x:v>REC-0012</x:v>
      </x:c>
      <x:c r="G100" s="16" t="str">
        <x:v>正式报告</x:v>
      </x:c>
      <x:c r="H100" s="19" t="n">
        <x:v>4</x:v>
      </x:c>
      <x:c r="I100" s="19" t="n">
        <x:v>11</x:v>
      </x:c>
      <x:c r="J100" s="19" t="n">
        <x:v>1</x:v>
      </x:c>
      <x:c r="K100" s="16" t="str">
        <x:v>5. Major deterioration</x:v>
      </x:c>
      <x:c r="L100" s="16" t="str">
        <x:v>Likely</x:v>
      </x:c>
      <x:c r="M100" s="16" t="str">
        <x:v>Significant</x:v>
      </x:c>
      <x:c r="N100" s="16" t="str">
        <x:v>Critical</x:v>
      </x:c>
    </x:row>
    <x:row r="101" ht="37" customHeight="1">
      <x:c r="A101" s="16" t="str">
        <x:v>RAW-00095</x:v>
      </x:c>
      <x:c r="B101" s="16" t="str">
        <x:v>Observation</x:v>
      </x:c>
      <x:c r="C101" s="16" t="str">
        <x:v>– Pier 9. Corrosion causes separation between brickwork and rafter.</x:v>
      </x:c>
      <x:c r="D101" s="16" t="str">
        <x:v>Rafters</x:v>
      </x:c>
      <x:c r="E101" s="16" t="str">
        <x:v>SRC-006</x:v>
      </x:c>
      <x:c r="F101" s="16" t="str">
        <x:v>OBS-0461</x:v>
      </x:c>
      <x:c r="G101" s="16" t="str">
        <x:v>正式报告</x:v>
      </x:c>
      <x:c r="H101" s="19" t="n">
        <x:v>4</x:v>
      </x:c>
      <x:c r="I101" s="19" t="n">
        <x:v>12</x:v>
      </x:c>
      <x:c r="J101" s="19" t="n">
        <x:v>1</x:v>
      </x:c>
      <x:c r="K101" s="16" t="str">
        <x:v>5. Major deterioration</x:v>
      </x:c>
      <x:c r="L101" s="16" t="str">
        <x:v>Likely</x:v>
      </x:c>
      <x:c r="M101" s="16" t="str">
        <x:v>Significant</x:v>
      </x:c>
      <x:c r="N101" s="16" t="str">
        <x:v>Critical</x:v>
      </x:c>
    </x:row>
    <x:row r="102" ht="37" customHeight="1">
      <x:c r="A102" s="16" t="str">
        <x:v>RAW-00096</x:v>
      </x:c>
      <x:c r="B102" s="16" t="str">
        <x:v>Recommendation</x:v>
      </x:c>
      <x:c r="C102" s="16" t="str">
        <x:v>– Replace the rafter and cracked bricks</x:v>
      </x:c>
      <x:c r="D102" s="16" t="str">
        <x:v>Rafters</x:v>
      </x:c>
      <x:c r="E102" s="16" t="str">
        <x:v>SRC-006</x:v>
      </x:c>
      <x:c r="F102" s="16" t="str">
        <x:v>REC-0012</x:v>
      </x:c>
      <x:c r="G102" s="16" t="str">
        <x:v>正式报告</x:v>
      </x:c>
      <x:c r="H102" s="19" t="n">
        <x:v>4</x:v>
      </x:c>
      <x:c r="I102" s="19" t="n">
        <x:v>12</x:v>
      </x:c>
      <x:c r="J102" s="19" t="n">
        <x:v>1</x:v>
      </x:c>
      <x:c r="K102" s="16" t="str">
        <x:v>5. Major deterioration</x:v>
      </x:c>
      <x:c r="L102" s="16" t="str">
        <x:v>Likely</x:v>
      </x:c>
      <x:c r="M102" s="16" t="str">
        <x:v>Significant</x:v>
      </x:c>
      <x:c r="N102" s="16" t="str">
        <x:v>Critical</x:v>
      </x:c>
    </x:row>
    <x:row r="103" ht="37" customHeight="1">
      <x:c r="A103" s="16" t="str">
        <x:v>RAW-00097</x:v>
      </x:c>
      <x:c r="B103" s="16" t="str">
        <x:v>Observation</x:v>
      </x:c>
      <x:c r="C103" s="16" t="str">
        <x:v>– Pier 10. Corrosion at support location. Expansion of steel due to corrosion causing brickwork to crack.</x:v>
      </x:c>
      <x:c r="D103" s="16" t="str">
        <x:v>Rafters</x:v>
      </x:c>
      <x:c r="E103" s="16" t="str">
        <x:v>SRC-006</x:v>
      </x:c>
      <x:c r="F103" s="16" t="str">
        <x:v>OBS-0453</x:v>
      </x:c>
      <x:c r="G103" s="16" t="str">
        <x:v>正式报告</x:v>
      </x:c>
      <x:c r="H103" s="19" t="n">
        <x:v>4</x:v>
      </x:c>
      <x:c r="I103" s="19" t="n">
        <x:v>13</x:v>
      </x:c>
      <x:c r="J103" s="19" t="n">
        <x:v>1</x:v>
      </x:c>
      <x:c r="K103" s="16" t="str">
        <x:v>5. Major deterioration</x:v>
      </x:c>
      <x:c r="L103" s="16" t="str">
        <x:v>Likely</x:v>
      </x:c>
      <x:c r="M103" s="16" t="str">
        <x:v>Significant</x:v>
      </x:c>
      <x:c r="N103" s="16" t="str">
        <x:v>Critical</x:v>
      </x:c>
    </x:row>
    <x:row r="104" ht="37" customHeight="1">
      <x:c r="A104" s="16" t="str">
        <x:v>RAW-00098</x:v>
      </x:c>
      <x:c r="B104" s="16" t="str">
        <x:v>Recommendation</x:v>
      </x:c>
      <x:c r="C104" s="16" t="str">
        <x:v>– Replace the rafter and cracked bricks.</x:v>
      </x:c>
      <x:c r="D104" s="16" t="str">
        <x:v>Rafters</x:v>
      </x:c>
      <x:c r="E104" s="16" t="str">
        <x:v>SRC-006</x:v>
      </x:c>
      <x:c r="F104" s="16" t="str">
        <x:v>REC-0012</x:v>
      </x:c>
      <x:c r="G104" s="16" t="str">
        <x:v>正式报告</x:v>
      </x:c>
      <x:c r="H104" s="19" t="n">
        <x:v>4</x:v>
      </x:c>
      <x:c r="I104" s="19" t="n">
        <x:v>13</x:v>
      </x:c>
      <x:c r="J104" s="19" t="n">
        <x:v>1</x:v>
      </x:c>
      <x:c r="K104" s="16" t="str">
        <x:v>5. Major deterioration</x:v>
      </x:c>
      <x:c r="L104" s="16" t="str">
        <x:v>Likely</x:v>
      </x:c>
      <x:c r="M104" s="16" t="str">
        <x:v>Significant</x:v>
      </x:c>
      <x:c r="N104" s="16" t="str">
        <x:v>Critical</x:v>
      </x:c>
    </x:row>
    <x:row r="105" ht="37" customHeight="1">
      <x:c r="A105" s="16" t="str">
        <x:v>RAW-00099</x:v>
      </x:c>
      <x:c r="B105" s="16" t="str">
        <x:v>Observation</x:v>
      </x:c>
      <x:c r="C105" s="16" t="str">
        <x:v>– Overview.</x:v>
      </x:c>
      <x:c r="D105" s="16" t="str">
        <x:v>Back verandah Brick piers</x:v>
      </x:c>
      <x:c r="E105" s="16" t="str">
        <x:v>SRC-006</x:v>
      </x:c>
      <x:c r="F105" s="16" t="str">
        <x:v>OBS-0002</x:v>
      </x:c>
      <x:c r="G105" s="16" t="str">
        <x:v>正式报告</x:v>
      </x:c>
      <x:c r="H105" s="19" t="n">
        <x:v>5</x:v>
      </x:c>
      <x:c r="I105" s="19" t="n">
        <x:v>6</x:v>
      </x:c>
      <x:c r="J105" s="19" t="n">
        <x:v>1</x:v>
      </x:c>
      <x:c r="K105" s="16" t="str">
        <x:v>4. Moderate deterioration</x:v>
      </x:c>
      <x:c r="L105" s="16" t="str">
        <x:v>Possible</x:v>
      </x:c>
      <x:c r="M105" s="16" t="str">
        <x:v>Moderate</x:v>
      </x:c>
      <x:c r="N105" s="16" t="str">
        <x:v>High</x:v>
      </x:c>
    </x:row>
    <x:row r="106" ht="37" customHeight="1">
      <x:c r="A106" s="16" t="str">
        <x:v>RAW-00100</x:v>
      </x:c>
      <x:c r="B106" s="16" t="str">
        <x:v>Observation</x:v>
      </x:c>
      <x:c r="C106" s="16" t="str">
        <x:v>– Pier 9. Vertical crack at lower section.</x:v>
      </x:c>
      <x:c r="D106" s="16" t="str">
        <x:v>Back verandah Brick piers</x:v>
      </x:c>
      <x:c r="E106" s="16" t="str">
        <x:v>SRC-006</x:v>
      </x:c>
      <x:c r="F106" s="16" t="str">
        <x:v>OBS-0462</x:v>
      </x:c>
      <x:c r="G106" s="16" t="str">
        <x:v>正式报告</x:v>
      </x:c>
      <x:c r="H106" s="19" t="n">
        <x:v>5</x:v>
      </x:c>
      <x:c r="I106" s="19" t="n">
        <x:v>7</x:v>
      </x:c>
      <x:c r="J106" s="19" t="n">
        <x:v>1</x:v>
      </x:c>
      <x:c r="K106" s="16" t="str">
        <x:v>4. Moderate deterioration</x:v>
      </x:c>
      <x:c r="L106" s="16" t="str">
        <x:v>Possible</x:v>
      </x:c>
      <x:c r="M106" s="16" t="str">
        <x:v>Moderate</x:v>
      </x:c>
      <x:c r="N106" s="16" t="str">
        <x:v>High</x:v>
      </x:c>
    </x:row>
    <x:row r="107" ht="41" customHeight="1">
      <x:c r="A107" s="16" t="str">
        <x:v>RAW-00101</x:v>
      </x:c>
      <x:c r="B107" s="16" t="str">
        <x:v>Recommendation</x:v>
      </x:c>
      <x:c r="C107" s="16" t="str">
        <x:v>- Cut and remove brickwork locally to investigate the cause. Repair by Helifix stainless products to stabilise cracked bricks.</x:v>
      </x:c>
      <x:c r="D107" s="16" t="str">
        <x:v>Back verandah Brick piers</x:v>
      </x:c>
      <x:c r="E107" s="16" t="str">
        <x:v>SRC-006</x:v>
      </x:c>
      <x:c r="F107" s="16" t="str">
        <x:v>REC-0087</x:v>
      </x:c>
      <x:c r="G107" s="16" t="str">
        <x:v>正式报告</x:v>
      </x:c>
      <x:c r="H107" s="19" t="n">
        <x:v>5</x:v>
      </x:c>
      <x:c r="I107" s="19" t="n">
        <x:v>7</x:v>
      </x:c>
      <x:c r="J107" s="19" t="n">
        <x:v>1</x:v>
      </x:c>
      <x:c r="K107" s="16" t="str">
        <x:v>4. Moderate deterioration</x:v>
      </x:c>
      <x:c r="L107" s="16" t="str">
        <x:v>Possible</x:v>
      </x:c>
      <x:c r="M107" s="16" t="str">
        <x:v>Moderate</x:v>
      </x:c>
      <x:c r="N107" s="16" t="str">
        <x:v>High</x:v>
      </x:c>
    </x:row>
    <x:row r="108" ht="37" customHeight="1">
      <x:c r="A108" s="16" t="str">
        <x:v>RAW-00102</x:v>
      </x:c>
      <x:c r="B108" s="16" t="str">
        <x:v>Observation</x:v>
      </x:c>
      <x:c r="C108" s="16" t="str">
        <x:v>– Pier 8. Vertical crack at lower section.</x:v>
      </x:c>
      <x:c r="D108" s="16" t="str">
        <x:v>Back verandah Brick piers</x:v>
      </x:c>
      <x:c r="E108" s="16" t="str">
        <x:v>SRC-006</x:v>
      </x:c>
      <x:c r="F108" s="16" t="str">
        <x:v>OBS-0460</x:v>
      </x:c>
      <x:c r="G108" s="16" t="str">
        <x:v>正式报告</x:v>
      </x:c>
      <x:c r="H108" s="19" t="n">
        <x:v>5</x:v>
      </x:c>
      <x:c r="I108" s="19" t="n">
        <x:v>8</x:v>
      </x:c>
      <x:c r="J108" s="19" t="n">
        <x:v>1</x:v>
      </x:c>
      <x:c r="K108" s="16" t="str">
        <x:v>4. Moderate deterioration</x:v>
      </x:c>
      <x:c r="L108" s="16" t="str">
        <x:v>Possible</x:v>
      </x:c>
      <x:c r="M108" s="16" t="str">
        <x:v>Moderate</x:v>
      </x:c>
      <x:c r="N108" s="16" t="str">
        <x:v>High</x:v>
      </x:c>
    </x:row>
    <x:row r="109" ht="37" customHeight="1">
      <x:c r="A109" s="16" t="str">
        <x:v>RAW-00103</x:v>
      </x:c>
      <x:c r="B109" s="16" t="str">
        <x:v>Recommendation</x:v>
      </x:c>
      <x:c r="C109" s="16" t="str">
        <x:v>– Repair by Helifix stainless products to stabilise cracked bricks.</x:v>
      </x:c>
      <x:c r="D109" s="16" t="str">
        <x:v>Back verandah Brick piers</x:v>
      </x:c>
      <x:c r="E109" s="16" t="str">
        <x:v>SRC-006</x:v>
      </x:c>
      <x:c r="F109" s="16" t="str">
        <x:v>REC-0016</x:v>
      </x:c>
      <x:c r="G109" s="16" t="str">
        <x:v>正式报告</x:v>
      </x:c>
      <x:c r="H109" s="19" t="n">
        <x:v>5</x:v>
      </x:c>
      <x:c r="I109" s="19" t="n">
        <x:v>8</x:v>
      </x:c>
      <x:c r="J109" s="19" t="n">
        <x:v>1</x:v>
      </x:c>
      <x:c r="K109" s="16" t="str">
        <x:v>4. Moderate deterioration</x:v>
      </x:c>
      <x:c r="L109" s="16" t="str">
        <x:v>Possible</x:v>
      </x:c>
      <x:c r="M109" s="16" t="str">
        <x:v>Moderate</x:v>
      </x:c>
      <x:c r="N109" s="16" t="str">
        <x:v>High</x:v>
      </x:c>
    </x:row>
    <x:row r="110" ht="37" customHeight="1">
      <x:c r="A110" s="16" t="str">
        <x:v>RAW-00104</x:v>
      </x:c>
      <x:c r="B110" s="16" t="str">
        <x:v>Observation</x:v>
      </x:c>
      <x:c r="C110" s="16" t="str">
        <x:v>– Pier 7. Vertical crack at lower section.</x:v>
      </x:c>
      <x:c r="D110" s="16" t="str">
        <x:v>Back verandah Brick piers</x:v>
      </x:c>
      <x:c r="E110" s="16" t="str">
        <x:v>SRC-006</x:v>
      </x:c>
      <x:c r="F110" s="16" t="str">
        <x:v>OBS-0458</x:v>
      </x:c>
      <x:c r="G110" s="16" t="str">
        <x:v>正式报告</x:v>
      </x:c>
      <x:c r="H110" s="19" t="n">
        <x:v>5</x:v>
      </x:c>
      <x:c r="I110" s="19" t="n">
        <x:v>9</x:v>
      </x:c>
      <x:c r="J110" s="19" t="n">
        <x:v>1</x:v>
      </x:c>
      <x:c r="K110" s="16" t="str">
        <x:v>4. Moderate deterioration</x:v>
      </x:c>
      <x:c r="L110" s="16" t="str">
        <x:v>Possible</x:v>
      </x:c>
      <x:c r="M110" s="16" t="str">
        <x:v>Moderate</x:v>
      </x:c>
      <x:c r="N110" s="16" t="str">
        <x:v>High</x:v>
      </x:c>
    </x:row>
    <x:row r="111" ht="37" customHeight="1">
      <x:c r="A111" s="16" t="str">
        <x:v>RAW-00105</x:v>
      </x:c>
      <x:c r="B111" s="16" t="str">
        <x:v>Recommendation</x:v>
      </x:c>
      <x:c r="C111" s="16" t="str">
        <x:v>– Repair by Helifix stainless products to stabilise cracked bricks.</x:v>
      </x:c>
      <x:c r="D111" s="16" t="str">
        <x:v>Back verandah Brick piers</x:v>
      </x:c>
      <x:c r="E111" s="16" t="str">
        <x:v>SRC-006</x:v>
      </x:c>
      <x:c r="F111" s="16" t="str">
        <x:v>REC-0016</x:v>
      </x:c>
      <x:c r="G111" s="16" t="str">
        <x:v>正式报告</x:v>
      </x:c>
      <x:c r="H111" s="19" t="n">
        <x:v>5</x:v>
      </x:c>
      <x:c r="I111" s="19" t="n">
        <x:v>9</x:v>
      </x:c>
      <x:c r="J111" s="19" t="n">
        <x:v>1</x:v>
      </x:c>
      <x:c r="K111" s="16" t="str">
        <x:v>4. Moderate deterioration</x:v>
      </x:c>
      <x:c r="L111" s="16" t="str">
        <x:v>Possible</x:v>
      </x:c>
      <x:c r="M111" s="16" t="str">
        <x:v>Moderate</x:v>
      </x:c>
      <x:c r="N111" s="16" t="str">
        <x:v>High</x:v>
      </x:c>
    </x:row>
    <x:row r="112" ht="37" customHeight="1">
      <x:c r="A112" s="16" t="str">
        <x:v>RAW-00106</x:v>
      </x:c>
      <x:c r="B112" s="16" t="str">
        <x:v>Observation</x:v>
      </x:c>
      <x:c r="C112" s="16" t="str">
        <x:v>– Pier 6. Vertical crack at lower section. Uneven surface at crack location showing signs of settlement.</x:v>
      </x:c>
      <x:c r="D112" s="16" t="str">
        <x:v>Back verandah Brick piers</x:v>
      </x:c>
      <x:c r="E112" s="16" t="str">
        <x:v>SRC-006</x:v>
      </x:c>
      <x:c r="F112" s="16" t="str">
        <x:v>OBS-0456</x:v>
      </x:c>
      <x:c r="G112" s="16" t="str">
        <x:v>正式报告</x:v>
      </x:c>
      <x:c r="H112" s="19" t="n">
        <x:v>5</x:v>
      </x:c>
      <x:c r="I112" s="19" t="n">
        <x:v>10</x:v>
      </x:c>
      <x:c r="J112" s="19" t="n">
        <x:v>1</x:v>
      </x:c>
      <x:c r="K112" s="16" t="str">
        <x:v>4. Moderate deterioration</x:v>
      </x:c>
      <x:c r="L112" s="16" t="str">
        <x:v>Possible</x:v>
      </x:c>
      <x:c r="M112" s="16" t="str">
        <x:v>Moderate</x:v>
      </x:c>
      <x:c r="N112" s="16" t="str">
        <x:v>High</x:v>
      </x:c>
    </x:row>
    <x:row r="113" ht="37" customHeight="1">
      <x:c r="A113" s="16" t="str">
        <x:v>RAW-00107</x:v>
      </x:c>
      <x:c r="B113" s="16" t="str">
        <x:v>Recommendation</x:v>
      </x:c>
      <x:c r="C113" s="16" t="str">
        <x:v>– Repair by Helifix stainless products to stabilise cracked bricks.</x:v>
      </x:c>
      <x:c r="D113" s="16" t="str">
        <x:v>Back verandah Brick piers</x:v>
      </x:c>
      <x:c r="E113" s="16" t="str">
        <x:v>SRC-006</x:v>
      </x:c>
      <x:c r="F113" s="16" t="str">
        <x:v>REC-0016</x:v>
      </x:c>
      <x:c r="G113" s="16" t="str">
        <x:v>正式报告</x:v>
      </x:c>
      <x:c r="H113" s="19" t="n">
        <x:v>5</x:v>
      </x:c>
      <x:c r="I113" s="19" t="n">
        <x:v>10</x:v>
      </x:c>
      <x:c r="J113" s="19" t="n">
        <x:v>1</x:v>
      </x:c>
      <x:c r="K113" s="16" t="str">
        <x:v>4. Moderate deterioration</x:v>
      </x:c>
      <x:c r="L113" s="16" t="str">
        <x:v>Possible</x:v>
      </x:c>
      <x:c r="M113" s="16" t="str">
        <x:v>Moderate</x:v>
      </x:c>
      <x:c r="N113" s="16" t="str">
        <x:v>High</x:v>
      </x:c>
    </x:row>
    <x:row r="114" ht="37" customHeight="1">
      <x:c r="A114" s="16" t="str">
        <x:v>RAW-00108</x:v>
      </x:c>
      <x:c r="B114" s="16" t="str">
        <x:v>Observation</x:v>
      </x:c>
      <x:c r="C114" s="16" t="str">
        <x:v>– Pier 5. Cracking at lower section of column. Settlement of paving observed at this location.</x:v>
      </x:c>
      <x:c r="D114" s="16" t="str">
        <x:v>Back verandah Brick piers</x:v>
      </x:c>
      <x:c r="E114" s="16" t="str">
        <x:v>SRC-006</x:v>
      </x:c>
      <x:c r="F114" s="16" t="str">
        <x:v>OBS-0455</x:v>
      </x:c>
      <x:c r="G114" s="16" t="str">
        <x:v>正式报告</x:v>
      </x:c>
      <x:c r="H114" s="19" t="n">
        <x:v>5</x:v>
      </x:c>
      <x:c r="I114" s="19" t="n">
        <x:v>11</x:v>
      </x:c>
      <x:c r="J114" s="19" t="n">
        <x:v>1</x:v>
      </x:c>
      <x:c r="K114" s="16" t="str">
        <x:v>4. Moderate deterioration</x:v>
      </x:c>
      <x:c r="L114" s="16" t="str">
        <x:v>Possible</x:v>
      </x:c>
      <x:c r="M114" s="16" t="str">
        <x:v>Moderate</x:v>
      </x:c>
      <x:c r="N114" s="16" t="str">
        <x:v>High</x:v>
      </x:c>
    </x:row>
    <x:row r="115" ht="37" customHeight="1">
      <x:c r="A115" s="16" t="str">
        <x:v>RAW-00109</x:v>
      </x:c>
      <x:c r="B115" s="16" t="str">
        <x:v>Recommendation</x:v>
      </x:c>
      <x:c r="C115" s="16" t="str">
        <x:v>– Repair by Helifix stainless products to stabilise cracked bricks.</x:v>
      </x:c>
      <x:c r="D115" s="16" t="str">
        <x:v>Back verandah Brick piers</x:v>
      </x:c>
      <x:c r="E115" s="16" t="str">
        <x:v>SRC-006</x:v>
      </x:c>
      <x:c r="F115" s="16" t="str">
        <x:v>REC-0016</x:v>
      </x:c>
      <x:c r="G115" s="16" t="str">
        <x:v>正式报告</x:v>
      </x:c>
      <x:c r="H115" s="19" t="n">
        <x:v>5</x:v>
      </x:c>
      <x:c r="I115" s="19" t="n">
        <x:v>11</x:v>
      </x:c>
      <x:c r="J115" s="19" t="n">
        <x:v>1</x:v>
      </x:c>
      <x:c r="K115" s="16" t="str">
        <x:v>4. Moderate deterioration</x:v>
      </x:c>
      <x:c r="L115" s="16" t="str">
        <x:v>Possible</x:v>
      </x:c>
      <x:c r="M115" s="16" t="str">
        <x:v>Moderate</x:v>
      </x:c>
      <x:c r="N115" s="16" t="str">
        <x:v>High</x:v>
      </x:c>
    </x:row>
    <x:row r="116" ht="37" customHeight="1">
      <x:c r="A116" s="16" t="str">
        <x:v>RAW-00110</x:v>
      </x:c>
      <x:c r="B116" s="16" t="str">
        <x:v>Observation</x:v>
      </x:c>
      <x:c r="C116" s="16" t="str">
        <x:v>– Left hand side facing front of the house. The supporting foundation has been displaced due to erosion.</x:v>
      </x:c>
      <x:c r="D116" s="16" t="str">
        <x:v>Concrete footpath</x:v>
      </x:c>
      <x:c r="E116" s="16" t="str">
        <x:v>SRC-006</x:v>
      </x:c>
      <x:c r="F116" s="16" t="str">
        <x:v>OBS-0341</x:v>
      </x:c>
      <x:c r="G116" s="16" t="str">
        <x:v>正式报告</x:v>
      </x:c>
      <x:c r="H116" s="19" t="n">
        <x:v>6</x:v>
      </x:c>
      <x:c r="I116" s="19" t="n">
        <x:v>6</x:v>
      </x:c>
      <x:c r="J116" s="19" t="n">
        <x:v>1</x:v>
      </x:c>
      <x:c r="K116" s="16" t="str">
        <x:v>5. Major deterioration</x:v>
      </x:c>
      <x:c r="L116" s="16" t="str">
        <x:v>Likely</x:v>
      </x:c>
      <x:c r="M116" s="16" t="str">
        <x:v>Minor</x:v>
      </x:c>
      <x:c r="N116" s="16" t="str">
        <x:v>Moderate</x:v>
      </x:c>
    </x:row>
    <x:row r="117" ht="41" customHeight="1">
      <x:c r="A117" s="16" t="str">
        <x:v>RAW-00111</x:v>
      </x:c>
      <x:c r="B117" s="16" t="str">
        <x:v>Recommendation</x:v>
      </x:c>
      <x:c r="C117" s="16" t="str">
        <x:v>– Remove the footpath and construct new path. Raise ground level to a minimum 100mm above the bottom of the slab to protect the new slab.</x:v>
      </x:c>
      <x:c r="D117" s="16" t="str">
        <x:v>Concrete footpath</x:v>
      </x:c>
      <x:c r="E117" s="16" t="str">
        <x:v>SRC-006</x:v>
      </x:c>
      <x:c r="F117" s="16" t="str">
        <x:v>REC-0134</x:v>
      </x:c>
      <x:c r="G117" s="16" t="str">
        <x:v>正式报告</x:v>
      </x:c>
      <x:c r="H117" s="19" t="n">
        <x:v>6</x:v>
      </x:c>
      <x:c r="I117" s="19" t="n">
        <x:v>6</x:v>
      </x:c>
      <x:c r="J117" s="19" t="n">
        <x:v>1</x:v>
      </x:c>
      <x:c r="K117" s="16" t="str">
        <x:v>5. Major deterioration</x:v>
      </x:c>
      <x:c r="L117" s="16" t="str">
        <x:v>Likely</x:v>
      </x:c>
      <x:c r="M117" s="16" t="str">
        <x:v>Minor</x:v>
      </x:c>
      <x:c r="N117" s="16" t="str">
        <x:v>Moderate</x:v>
      </x:c>
    </x:row>
    <x:row r="118" ht="37" customHeight="1">
      <x:c r="A118" s="16" t="str">
        <x:v>RAW-00112</x:v>
      </x:c>
      <x:c r="B118" s="16" t="str">
        <x:v>Observation</x:v>
      </x:c>
      <x:c r="C118" s="16" t="str">
        <x:v>– Honeycombing and loss of material towards lower section of slab.</x:v>
      </x:c>
      <x:c r="D118" s="16" t="str">
        <x:v>Slab</x:v>
      </x:c>
      <x:c r="E118" s="16" t="str">
        <x:v>SRC-006</x:v>
      </x:c>
      <x:c r="F118" s="16" t="str">
        <x:v>OBS-0331</x:v>
      </x:c>
      <x:c r="G118" s="16" t="str">
        <x:v>正式报告</x:v>
      </x:c>
      <x:c r="H118" s="19" t="n">
        <x:v>7</x:v>
      </x:c>
      <x:c r="I118" s="19" t="n">
        <x:v>6</x:v>
      </x:c>
      <x:c r="J118" s="19" t="n">
        <x:v>1</x:v>
      </x:c>
      <x:c r="K118" s="16" t="str">
        <x:v>3. Minor deterioration</x:v>
      </x:c>
      <x:c r="L118" s="16" t="str">
        <x:v>Unlikely</x:v>
      </x:c>
      <x:c r="M118" s="16" t="str">
        <x:v>Significant</x:v>
      </x:c>
      <x:c r="N118" s="16" t="str">
        <x:v>Moderate</x:v>
      </x:c>
    </x:row>
    <x:row r="119" ht="41" customHeight="1">
      <x:c r="A119" s="16" t="str">
        <x:v>RAW-00113</x:v>
      </x:c>
      <x:c r="B119" s="16" t="str">
        <x:v>Recommendation</x:v>
      </x:c>
      <x:c r="C119" s="16" t="str">
        <x:v>– Patch it up and make it good.
Raise ground level to a minimum 100mm above the bottom of the slab to protect the new slab.</x:v>
      </x:c>
      <x:c r="D119" s="16" t="str">
        <x:v>Slab</x:v>
      </x:c>
      <x:c r="E119" s="16" t="str">
        <x:v>SRC-006</x:v>
      </x:c>
      <x:c r="F119" s="16" t="str">
        <x:v>REC-0115</x:v>
      </x:c>
      <x:c r="G119" s="16" t="str">
        <x:v>正式报告</x:v>
      </x:c>
      <x:c r="H119" s="19" t="n">
        <x:v>7</x:v>
      </x:c>
      <x:c r="I119" s="19" t="n">
        <x:v>6</x:v>
      </x:c>
      <x:c r="J119" s="19" t="n">
        <x:v>1</x:v>
      </x:c>
      <x:c r="K119" s="16" t="str">
        <x:v>3. Minor deterioration</x:v>
      </x:c>
      <x:c r="L119" s="16" t="str">
        <x:v>Unlikely</x:v>
      </x:c>
      <x:c r="M119" s="16" t="str">
        <x:v>Significant</x:v>
      </x:c>
      <x:c r="N119" s="16" t="str">
        <x:v>Moderate</x:v>
      </x:c>
    </x:row>
    <x:row r="120" ht="37" customHeight="1">
      <x:c r="A120" s="16" t="str">
        <x:v>RAW-00114</x:v>
      </x:c>
      <x:c r="B120" s="16" t="str">
        <x:v>Observation</x:v>
      </x:c>
      <x:c r="C120" s="16" t="str">
        <x:v>– Cracking on brickwork to full height. The crack widens at the bottom and tapers towards the top.</x:v>
      </x:c>
      <x:c r="D120" s="16" t="str">
        <x:v>Brick wall</x:v>
      </x:c>
      <x:c r="E120" s="16" t="str">
        <x:v>SRC-006</x:v>
      </x:c>
      <x:c r="F120" s="16" t="str">
        <x:v>OBS-0241</x:v>
      </x:c>
      <x:c r="G120" s="16" t="str">
        <x:v>正式报告</x:v>
      </x:c>
      <x:c r="H120" s="19" t="n">
        <x:v>8</x:v>
      </x:c>
      <x:c r="I120" s="19" t="n">
        <x:v>6</x:v>
      </x:c>
      <x:c r="J120" s="19" t="n">
        <x:v>2</x:v>
      </x:c>
      <x:c r="K120" s="16" t="str">
        <x:v>3. Minor deterioration</x:v>
      </x:c>
      <x:c r="L120" s="16" t="str">
        <x:v>Unlikely</x:v>
      </x:c>
      <x:c r="M120" s="16" t="str">
        <x:v>Significant</x:v>
      </x:c>
      <x:c r="N120" s="16" t="str">
        <x:v>Moderate</x:v>
      </x:c>
    </x:row>
    <x:row r="121" ht="37" customHeight="1">
      <x:c r="A121" s="16" t="str">
        <x:v>RAW-00115</x:v>
      </x:c>
      <x:c r="B121" s="16" t="str">
        <x:v>Recommendation</x:v>
      </x:c>
      <x:c r="C121" s="16" t="str">
        <x:v>– Monitor the crack width using Avongard crack width gauge.</x:v>
      </x:c>
      <x:c r="D121" s="16" t="str">
        <x:v>Brick wall</x:v>
      </x:c>
      <x:c r="E121" s="16" t="str">
        <x:v>SRC-006</x:v>
      </x:c>
      <x:c r="F121" s="16" t="str">
        <x:v>REC-0113</x:v>
      </x:c>
      <x:c r="G121" s="16" t="str">
        <x:v>正式报告</x:v>
      </x:c>
      <x:c r="H121" s="19" t="n">
        <x:v>8</x:v>
      </x:c>
      <x:c r="I121" s="19" t="n">
        <x:v>6</x:v>
      </x:c>
      <x:c r="J121" s="19" t="n">
        <x:v>2</x:v>
      </x:c>
      <x:c r="K121" s="16" t="str">
        <x:v>3. Minor deterioration</x:v>
      </x:c>
      <x:c r="L121" s="16" t="str">
        <x:v>Unlikely</x:v>
      </x:c>
      <x:c r="M121" s="16" t="str">
        <x:v>Significant</x:v>
      </x:c>
      <x:c r="N121" s="16" t="str">
        <x:v>Moderate</x:v>
      </x:c>
    </x:row>
    <x:row r="122" ht="37" customHeight="1">
      <x:c r="A122" s="16" t="str">
        <x:v>RAW-00116</x:v>
      </x:c>
      <x:c r="B122" s="16" t="str">
        <x:v>Observation</x:v>
      </x:c>
      <x:c r="C122" s="16" t="str">
        <x:v>– Right hand side facing front of house. Timber fascia board splitting.</x:v>
      </x:c>
      <x:c r="D122" s="16" t="str">
        <x:v>Fascia board</x:v>
      </x:c>
      <x:c r="E122" s="16" t="str">
        <x:v>SRC-006</x:v>
      </x:c>
      <x:c r="F122" s="16" t="str">
        <x:v>OBS-0482</x:v>
      </x:c>
      <x:c r="G122" s="16" t="str">
        <x:v>正式报告</x:v>
      </x:c>
      <x:c r="H122" s="19" t="n">
        <x:v>9</x:v>
      </x:c>
      <x:c r="I122" s="19" t="n">
        <x:v>6</x:v>
      </x:c>
      <x:c r="J122" s="19" t="n">
        <x:v>1</x:v>
      </x:c>
      <x:c r="K122" s="16" t="str">
        <x:v>5. Major deterioration</x:v>
      </x:c>
      <x:c r="L122" s="16" t="str">
        <x:v>Likely</x:v>
      </x:c>
      <x:c r="M122" s="16" t="str">
        <x:v>Negligible</x:v>
      </x:c>
      <x:c r="N122" s="16" t="str">
        <x:v>Low</x:v>
      </x:c>
    </x:row>
    <x:row r="123" ht="37" customHeight="1">
      <x:c r="A123" s="16" t="str">
        <x:v>RAW-00117</x:v>
      </x:c>
      <x:c r="B123" s="16" t="str">
        <x:v>Recommendation</x:v>
      </x:c>
      <x:c r="C123" s="16" t="str">
        <x:v>– Replace fascia board.</x:v>
      </x:c>
      <x:c r="D123" s="16" t="str">
        <x:v>Fascia board</x:v>
      </x:c>
      <x:c r="E123" s="16" t="str">
        <x:v>SRC-006</x:v>
      </x:c>
      <x:c r="F123" s="16" t="str">
        <x:v>REC-0041</x:v>
      </x:c>
      <x:c r="G123" s="16" t="str">
        <x:v>正式报告</x:v>
      </x:c>
      <x:c r="H123" s="19" t="n">
        <x:v>9</x:v>
      </x:c>
      <x:c r="I123" s="19" t="n">
        <x:v>6</x:v>
      </x:c>
      <x:c r="J123" s="19" t="n">
        <x:v>1</x:v>
      </x:c>
      <x:c r="K123" s="16" t="str">
        <x:v>5. Major deterioration</x:v>
      </x:c>
      <x:c r="L123" s="16" t="str">
        <x:v>Likely</x:v>
      </x:c>
      <x:c r="M123" s="16" t="str">
        <x:v>Negligible</x:v>
      </x:c>
      <x:c r="N123" s="16" t="str">
        <x:v>Low</x:v>
      </x:c>
    </x:row>
    <x:row r="124" ht="37" customHeight="1">
      <x:c r="A124" s="16" t="str">
        <x:v>RAW-00118</x:v>
      </x:c>
      <x:c r="B124" s="16" t="str">
        <x:v>Observation</x:v>
      </x:c>
      <x:c r="C124" s="16" t="str">
        <x:v>– Right hand side facing front of house. Left hand side of front verandah. Hole in fascia board.</x:v>
      </x:c>
      <x:c r="D124" s="16" t="str">
        <x:v>Fascia board</x:v>
      </x:c>
      <x:c r="E124" s="16" t="str">
        <x:v>SRC-006</x:v>
      </x:c>
      <x:c r="F124" s="16" t="str">
        <x:v>OBS-0481</x:v>
      </x:c>
      <x:c r="G124" s="16" t="str">
        <x:v>正式报告</x:v>
      </x:c>
      <x:c r="H124" s="19" t="n">
        <x:v>9</x:v>
      </x:c>
      <x:c r="I124" s="19" t="n">
        <x:v>7</x:v>
      </x:c>
      <x:c r="J124" s="19" t="n">
        <x:v>1</x:v>
      </x:c>
      <x:c r="K124" s="16" t="str">
        <x:v>5. Major deterioration</x:v>
      </x:c>
      <x:c r="L124" s="16" t="str">
        <x:v>Likely</x:v>
      </x:c>
      <x:c r="M124" s="16" t="str">
        <x:v>Negligible</x:v>
      </x:c>
      <x:c r="N124" s="16" t="str">
        <x:v>Low</x:v>
      </x:c>
    </x:row>
    <x:row r="125" ht="37" customHeight="1">
      <x:c r="A125" s="16" t="str">
        <x:v>RAW-00119</x:v>
      </x:c>
      <x:c r="B125" s="16" t="str">
        <x:v>Recommendation</x:v>
      </x:c>
      <x:c r="C125" s="16" t="str">
        <x:v>– Replace fascia board.</x:v>
      </x:c>
      <x:c r="D125" s="16" t="str">
        <x:v>Fascia board</x:v>
      </x:c>
      <x:c r="E125" s="16" t="str">
        <x:v>SRC-006</x:v>
      </x:c>
      <x:c r="F125" s="16" t="str">
        <x:v>REC-0041</x:v>
      </x:c>
      <x:c r="G125" s="16" t="str">
        <x:v>正式报告</x:v>
      </x:c>
      <x:c r="H125" s="19" t="n">
        <x:v>9</x:v>
      </x:c>
      <x:c r="I125" s="19" t="n">
        <x:v>7</x:v>
      </x:c>
      <x:c r="J125" s="19" t="n">
        <x:v>1</x:v>
      </x:c>
      <x:c r="K125" s="16" t="str">
        <x:v>5. Major deterioration</x:v>
      </x:c>
      <x:c r="L125" s="16" t="str">
        <x:v>Likely</x:v>
      </x:c>
      <x:c r="M125" s="16" t="str">
        <x:v>Negligible</x:v>
      </x:c>
      <x:c r="N125" s="16" t="str">
        <x:v>Low</x:v>
      </x:c>
    </x:row>
    <x:row r="126" ht="41" customHeight="1">
      <x:c r="A126" s="16" t="str">
        <x:v>RAW-00120</x:v>
      </x:c>
      <x:c r="B126" s="16" t="str">
        <x:v>Observation</x:v>
      </x:c>
      <x:c r="C126" s="16" t="str">
        <x:v>– Corrosion on damp proof coursing at front of house. Typical corrosion to all damp proof coursing around house.</x:v>
      </x:c>
      <x:c r="D126" s="16" t="str">
        <x:v>Damp proof coursing</x:v>
      </x:c>
      <x:c r="E126" s="16" t="str">
        <x:v>SRC-006</x:v>
      </x:c>
      <x:c r="F126" s="16" t="str">
        <x:v>OBS-0232</x:v>
      </x:c>
      <x:c r="G126" s="16" t="str">
        <x:v>正式报告</x:v>
      </x:c>
      <x:c r="H126" s="19" t="n">
        <x:v>10</x:v>
      </x:c>
      <x:c r="I126" s="19" t="n">
        <x:v>6</x:v>
      </x:c>
      <x:c r="J126" s="19" t="n">
        <x:v>2</x:v>
      </x:c>
      <x:c r="K126" s="16" t="str">
        <x:v>4. Moderate condition</x:v>
      </x:c>
      <x:c r="L126" s="16" t="str">
        <x:v>Possible</x:v>
      </x:c>
      <x:c r="M126" s="16" t="str">
        <x:v>Minor</x:v>
      </x:c>
      <x:c r="N126" s="16" t="str">
        <x:v>Moderate</x:v>
      </x:c>
    </x:row>
    <x:row r="127" ht="37" customHeight="1">
      <x:c r="A127" s="16" t="str">
        <x:v>RAW-00121</x:v>
      </x:c>
      <x:c r="B127" s="16" t="str">
        <x:v>Recommendation</x:v>
      </x:c>
      <x:c r="C127" s="16" t="str">
        <x:v>– Remove corroded section and seal.</x:v>
      </x:c>
      <x:c r="D127" s="16" t="str">
        <x:v>Damp proof coursing</x:v>
      </x:c>
      <x:c r="E127" s="16" t="str">
        <x:v>SRC-006</x:v>
      </x:c>
      <x:c r="F127" s="16" t="str">
        <x:v>REC-0126</x:v>
      </x:c>
      <x:c r="G127" s="16" t="str">
        <x:v>正式报告</x:v>
      </x:c>
      <x:c r="H127" s="19" t="n">
        <x:v>10</x:v>
      </x:c>
      <x:c r="I127" s="19" t="n">
        <x:v>6</x:v>
      </x:c>
      <x:c r="J127" s="19" t="n">
        <x:v>2</x:v>
      </x:c>
      <x:c r="K127" s="16" t="str">
        <x:v>4. Moderate condition</x:v>
      </x:c>
      <x:c r="L127" s="16" t="str">
        <x:v>Possible</x:v>
      </x:c>
      <x:c r="M127" s="16" t="str">
        <x:v>Minor</x:v>
      </x:c>
      <x:c r="N127" s="16" t="str">
        <x:v>Moderate</x:v>
      </x:c>
    </x:row>
    <x:row r="128" ht="37" customHeight="1">
      <x:c r="A128" s="16" t="str">
        <x:v>RAW-00122</x:v>
      </x:c>
      <x:c r="B128" s="16" t="str">
        <x:v>Observation</x:v>
      </x:c>
      <x:c r="C128" s="16" t="str">
        <x:v>– Back wall of house.</x:v>
      </x:c>
      <x:c r="D128" s="16" t="str">
        <x:v>Roof sheeting</x:v>
      </x:c>
      <x:c r="E128" s="16" t="str">
        <x:v>SRC-006</x:v>
      </x:c>
      <x:c r="F128" s="16" t="str">
        <x:v>OBS-0123</x:v>
      </x:c>
      <x:c r="G128" s="16" t="str">
        <x:v>正式报告</x:v>
      </x:c>
      <x:c r="H128" s="19" t="n">
        <x:v>11</x:v>
      </x:c>
      <x:c r="I128" s="19" t="n">
        <x:v>6</x:v>
      </x:c>
      <x:c r="J128" s="19" t="n">
        <x:v>1</x:v>
      </x:c>
      <x:c r="K128" s="16" t="str">
        <x:v>3. Minor deterioration</x:v>
      </x:c>
      <x:c r="L128" s="16" t="str">
        <x:v>Unlikely</x:v>
      </x:c>
      <x:c r="M128" s="16" t="str">
        <x:v>Minor</x:v>
      </x:c>
      <x:c r="N128" s="16" t="str">
        <x:v>Low</x:v>
      </x:c>
    </x:row>
    <x:row r="129" ht="37" customHeight="1">
      <x:c r="A129" s="16" t="str">
        <x:v>RAW-00123</x:v>
      </x:c>
      <x:c r="B129" s="16" t="str">
        <x:v>Observation</x:v>
      </x:c>
      <x:c r="C129" s="16" t="str">
        <x:v>– Back wall. Corroded roof sheeting.</x:v>
      </x:c>
      <x:c r="D129" s="16" t="str">
        <x:v>Roof sheeting</x:v>
      </x:c>
      <x:c r="E129" s="16" t="str">
        <x:v>SRC-006</x:v>
      </x:c>
      <x:c r="F129" s="16" t="str">
        <x:v>OBS-0034</x:v>
      </x:c>
      <x:c r="G129" s="16" t="str">
        <x:v>正式报告</x:v>
      </x:c>
      <x:c r="H129" s="19" t="n">
        <x:v>11</x:v>
      </x:c>
      <x:c r="I129" s="19" t="n">
        <x:v>7</x:v>
      </x:c>
      <x:c r="J129" s="19" t="n">
        <x:v>1</x:v>
      </x:c>
      <x:c r="K129" s="16" t="str">
        <x:v>3. Minor deterioration</x:v>
      </x:c>
      <x:c r="L129" s="16" t="str">
        <x:v>Unlikely</x:v>
      </x:c>
      <x:c r="M129" s="16" t="str">
        <x:v>Minor</x:v>
      </x:c>
      <x:c r="N129" s="16" t="str">
        <x:v>Low</x:v>
      </x:c>
    </x:row>
    <x:row r="130" ht="37" customHeight="1">
      <x:c r="A130" s="16" t="str">
        <x:v>RAW-00124</x:v>
      </x:c>
      <x:c r="B130" s="16" t="str">
        <x:v>Recommendation</x:v>
      </x:c>
      <x:c r="C130" s="16" t="str">
        <x:v>– Clean, remove corrosion and repaint.</x:v>
      </x:c>
      <x:c r="D130" s="16" t="str">
        <x:v>Roof sheeting</x:v>
      </x:c>
      <x:c r="E130" s="16" t="str">
        <x:v>SRC-006</x:v>
      </x:c>
      <x:c r="F130" s="16" t="str">
        <x:v>REC-0002</x:v>
      </x:c>
      <x:c r="G130" s="16" t="str">
        <x:v>正式报告</x:v>
      </x:c>
      <x:c r="H130" s="19" t="n">
        <x:v>11</x:v>
      </x:c>
      <x:c r="I130" s="19" t="n">
        <x:v>7</x:v>
      </x:c>
      <x:c r="J130" s="19" t="n">
        <x:v>1</x:v>
      </x:c>
      <x:c r="K130" s="16" t="str">
        <x:v>3. Minor deterioration</x:v>
      </x:c>
      <x:c r="L130" s="16" t="str">
        <x:v>Unlikely</x:v>
      </x:c>
      <x:c r="M130" s="16" t="str">
        <x:v>Minor</x:v>
      </x:c>
      <x:c r="N130" s="16" t="str">
        <x:v>Low</x:v>
      </x:c>
    </x:row>
    <x:row r="131" ht="37" customHeight="1">
      <x:c r="A131" s="16" t="str">
        <x:v>RAW-00125</x:v>
      </x:c>
      <x:c r="B131" s="16" t="str">
        <x:v>Observation</x:v>
      </x:c>
      <x:c r="C131" s="16" t="str">
        <x:v>– Back wall. Corroded roof sheeting.</x:v>
      </x:c>
      <x:c r="D131" s="16" t="str">
        <x:v>Roof sheeting</x:v>
      </x:c>
      <x:c r="E131" s="16" t="str">
        <x:v>SRC-006</x:v>
      </x:c>
      <x:c r="F131" s="16" t="str">
        <x:v>OBS-0034</x:v>
      </x:c>
      <x:c r="G131" s="16" t="str">
        <x:v>正式报告</x:v>
      </x:c>
      <x:c r="H131" s="19" t="n">
        <x:v>11</x:v>
      </x:c>
      <x:c r="I131" s="19" t="n">
        <x:v>8</x:v>
      </x:c>
      <x:c r="J131" s="19" t="n">
        <x:v>1</x:v>
      </x:c>
      <x:c r="K131" s="16" t="str">
        <x:v>3. Minor deterioration</x:v>
      </x:c>
      <x:c r="L131" s="16" t="str">
        <x:v>Unlikely</x:v>
      </x:c>
      <x:c r="M131" s="16" t="str">
        <x:v>Minor</x:v>
      </x:c>
      <x:c r="N131" s="16" t="str">
        <x:v>Low</x:v>
      </x:c>
    </x:row>
    <x:row r="132" ht="37" customHeight="1">
      <x:c r="A132" s="16" t="str">
        <x:v>RAW-00126</x:v>
      </x:c>
      <x:c r="B132" s="16" t="str">
        <x:v>Recommendation</x:v>
      </x:c>
      <x:c r="C132" s="16" t="str">
        <x:v>– Clean, remove corrosion and repaint.</x:v>
      </x:c>
      <x:c r="D132" s="16" t="str">
        <x:v>Roof sheeting</x:v>
      </x:c>
      <x:c r="E132" s="16" t="str">
        <x:v>SRC-006</x:v>
      </x:c>
      <x:c r="F132" s="16" t="str">
        <x:v>REC-0002</x:v>
      </x:c>
      <x:c r="G132" s="16" t="str">
        <x:v>正式报告</x:v>
      </x:c>
      <x:c r="H132" s="19" t="n">
        <x:v>11</x:v>
      </x:c>
      <x:c r="I132" s="19" t="n">
        <x:v>8</x:v>
      </x:c>
      <x:c r="J132" s="19" t="n">
        <x:v>1</x:v>
      </x:c>
      <x:c r="K132" s="16" t="str">
        <x:v>3. Minor deterioration</x:v>
      </x:c>
      <x:c r="L132" s="16" t="str">
        <x:v>Unlikely</x:v>
      </x:c>
      <x:c r="M132" s="16" t="str">
        <x:v>Minor</x:v>
      </x:c>
      <x:c r="N132" s="16" t="str">
        <x:v>Low</x:v>
      </x:c>
    </x:row>
    <x:row r="133" ht="37" customHeight="1">
      <x:c r="A133" s="16" t="str">
        <x:v>RAW-00127</x:v>
      </x:c>
      <x:c r="B133" s="16" t="str">
        <x:v>Observation</x:v>
      </x:c>
      <x:c r="C133" s="16" t="str">
        <x:v>– Garage overview.</x:v>
      </x:c>
      <x:c r="D133" s="16" t="str">
        <x:v>Garage</x:v>
      </x:c>
      <x:c r="E133" s="16" t="str">
        <x:v>SRC-006</x:v>
      </x:c>
      <x:c r="F133" s="16" t="str">
        <x:v>OBS-0318</x:v>
      </x:c>
      <x:c r="G133" s="16" t="str">
        <x:v>正式报告</x:v>
      </x:c>
      <x:c r="H133" s="19" t="n">
        <x:v>12</x:v>
      </x:c>
      <x:c r="I133" s="19" t="n">
        <x:v>6</x:v>
      </x:c>
      <x:c r="J133" s="19" t="n">
        <x:v>1</x:v>
      </x:c>
      <x:c r="K133" s="16" t="str">
        <x:v>2. New with slight deterioration</x:v>
      </x:c>
      <x:c r="L133" s="16" t="str">
        <x:v>Very unlikely</x:v>
      </x:c>
      <x:c r="M133" s="16" t="str">
        <x:v>Moderate</x:v>
      </x:c>
      <x:c r="N133" s="16" t="str">
        <x:v>Low</x:v>
      </x:c>
    </x:row>
    <x:row r="134" ht="37" customHeight="1">
      <x:c r="A134" s="16" t="str">
        <x:v>RAW-00128</x:v>
      </x:c>
      <x:c r="B134" s="16" t="str">
        <x:v>Observation</x:v>
      </x:c>
      <x:c r="C134" s="16" t="str">
        <x:v>– Corrosion on steel column.</x:v>
      </x:c>
      <x:c r="D134" s="16" t="str">
        <x:v>Garage</x:v>
      </x:c>
      <x:c r="E134" s="16" t="str">
        <x:v>SRC-006</x:v>
      </x:c>
      <x:c r="F134" s="16" t="str">
        <x:v>OBS-0234</x:v>
      </x:c>
      <x:c r="G134" s="16" t="str">
        <x:v>正式报告</x:v>
      </x:c>
      <x:c r="H134" s="19" t="n">
        <x:v>12</x:v>
      </x:c>
      <x:c r="I134" s="19" t="n">
        <x:v>7</x:v>
      </x:c>
      <x:c r="J134" s="19" t="n">
        <x:v>1</x:v>
      </x:c>
      <x:c r="K134" s="16" t="str">
        <x:v>2. New with slight deterioration</x:v>
      </x:c>
      <x:c r="L134" s="16" t="str">
        <x:v>Very unlikely</x:v>
      </x:c>
      <x:c r="M134" s="16" t="str">
        <x:v>Moderate</x:v>
      </x:c>
      <x:c r="N134" s="16" t="str">
        <x:v>Low</x:v>
      </x:c>
    </x:row>
    <x:row r="135" ht="37" customHeight="1">
      <x:c r="A135" s="16" t="str">
        <x:v>RAW-00129</x:v>
      </x:c>
      <x:c r="B135" s="16" t="str">
        <x:v>Recommendation</x:v>
      </x:c>
      <x:c r="C135" s="16" t="str">
        <x:v>– Clean, remove corrosion and repaint.</x:v>
      </x:c>
      <x:c r="D135" s="16" t="str">
        <x:v>Garage</x:v>
      </x:c>
      <x:c r="E135" s="16" t="str">
        <x:v>SRC-006</x:v>
      </x:c>
      <x:c r="F135" s="16" t="str">
        <x:v>REC-0002</x:v>
      </x:c>
      <x:c r="G135" s="16" t="str">
        <x:v>正式报告</x:v>
      </x:c>
      <x:c r="H135" s="19" t="n">
        <x:v>12</x:v>
      </x:c>
      <x:c r="I135" s="19" t="n">
        <x:v>7</x:v>
      </x:c>
      <x:c r="J135" s="19" t="n">
        <x:v>1</x:v>
      </x:c>
      <x:c r="K135" s="16" t="str">
        <x:v>2. New with slight deterioration</x:v>
      </x:c>
      <x:c r="L135" s="16" t="str">
        <x:v>Very unlikely</x:v>
      </x:c>
      <x:c r="M135" s="16" t="str">
        <x:v>Moderate</x:v>
      </x:c>
      <x:c r="N135" s="16" t="str">
        <x:v>Low</x:v>
      </x:c>
    </x:row>
    <x:row r="136" ht="37" customHeight="1">
      <x:c r="A136" s="16" t="str">
        <x:v>RAW-00130</x:v>
      </x:c>
      <x:c r="B136" s="16" t="str">
        <x:v>Observation</x:v>
      </x:c>
      <x:c r="C136" s="16" t="str">
        <x:v>– steel sheeting attached to lintel is deformed.</x:v>
      </x:c>
      <x:c r="D136" s="16" t="str">
        <x:v>Garage</x:v>
      </x:c>
      <x:c r="E136" s="16" t="str">
        <x:v>SRC-006</x:v>
      </x:c>
      <x:c r="F136" s="16" t="str">
        <x:v>OBS-0622</x:v>
      </x:c>
      <x:c r="G136" s="16" t="str">
        <x:v>正式报告</x:v>
      </x:c>
      <x:c r="H136" s="19" t="n">
        <x:v>12</x:v>
      </x:c>
      <x:c r="I136" s="19" t="n">
        <x:v>8</x:v>
      </x:c>
      <x:c r="J136" s="19" t="n">
        <x:v>1</x:v>
      </x:c>
      <x:c r="K136" s="16" t="str">
        <x:v>2. New with slight deterioration</x:v>
      </x:c>
      <x:c r="L136" s="16" t="str">
        <x:v>Very unlikely</x:v>
      </x:c>
      <x:c r="M136" s="16" t="str">
        <x:v>Moderate</x:v>
      </x:c>
      <x:c r="N136" s="16" t="str">
        <x:v>Low</x:v>
      </x:c>
    </x:row>
    <x:row r="137" ht="37" customHeight="1">
      <x:c r="A137" s="16" t="str">
        <x:v>RAW-00131</x:v>
      </x:c>
      <x:c r="B137" s="16" t="str">
        <x:v>Recommendation</x:v>
      </x:c>
      <x:c r="C137" s="16" t="str">
        <x:v>– None.</x:v>
      </x:c>
      <x:c r="D137" s="16" t="str">
        <x:v>Garage</x:v>
      </x:c>
      <x:c r="E137" s="16" t="str">
        <x:v>SRC-006</x:v>
      </x:c>
      <x:c r="F137" s="16" t="str">
        <x:v>REC-0003</x:v>
      </x:c>
      <x:c r="G137" s="16" t="str">
        <x:v>正式报告</x:v>
      </x:c>
      <x:c r="H137" s="19" t="n">
        <x:v>12</x:v>
      </x:c>
      <x:c r="I137" s="19" t="n">
        <x:v>8</x:v>
      </x:c>
      <x:c r="J137" s="19" t="n">
        <x:v>1</x:v>
      </x:c>
      <x:c r="K137" s="16" t="str">
        <x:v>2. New with slight deterioration</x:v>
      </x:c>
      <x:c r="L137" s="16" t="str">
        <x:v>Very unlikely</x:v>
      </x:c>
      <x:c r="M137" s="16" t="str">
        <x:v>Moderate</x:v>
      </x:c>
      <x:c r="N137" s="16" t="str">
        <x:v>Low</x:v>
      </x:c>
    </x:row>
    <x:row r="138" ht="37" customHeight="1">
      <x:c r="A138" s="16" t="str">
        <x:v>RAW-00132</x:v>
      </x:c>
      <x:c r="B138" s="16" t="str">
        <x:v>Observation</x:v>
      </x:c>
      <x:c r="C138" s="16" t="str">
        <x:v>– Corroded bolt causing cracking in brickwork.</x:v>
      </x:c>
      <x:c r="D138" s="16" t="str">
        <x:v>Garage</x:v>
      </x:c>
      <x:c r="E138" s="16" t="str">
        <x:v>SRC-006</x:v>
      </x:c>
      <x:c r="F138" s="16" t="str">
        <x:v>OBS-0221</x:v>
      </x:c>
      <x:c r="G138" s="16" t="str">
        <x:v>正式报告</x:v>
      </x:c>
      <x:c r="H138" s="19" t="n">
        <x:v>12</x:v>
      </x:c>
      <x:c r="I138" s="19" t="n">
        <x:v>9</x:v>
      </x:c>
      <x:c r="J138" s="19" t="n">
        <x:v>1</x:v>
      </x:c>
      <x:c r="K138" s="16" t="str">
        <x:v>2. New with slight deterioration</x:v>
      </x:c>
      <x:c r="L138" s="16" t="str">
        <x:v>Very unlikely</x:v>
      </x:c>
      <x:c r="M138" s="16" t="str">
        <x:v>Moderate</x:v>
      </x:c>
      <x:c r="N138" s="16" t="str">
        <x:v>Low</x:v>
      </x:c>
    </x:row>
    <x:row r="139" ht="37" customHeight="1">
      <x:c r="A139" s="16" t="str">
        <x:v>RAW-00133</x:v>
      </x:c>
      <x:c r="B139" s="16" t="str">
        <x:v>Recommendation</x:v>
      </x:c>
      <x:c r="C139" s="16" t="str">
        <x:v>– Remove bolt and fill void if the bolt has been redundant.</x:v>
      </x:c>
      <x:c r="D139" s="16" t="str">
        <x:v>Garage</x:v>
      </x:c>
      <x:c r="E139" s="16" t="str">
        <x:v>SRC-006</x:v>
      </x:c>
      <x:c r="F139" s="16" t="str">
        <x:v>REC-0125</x:v>
      </x:c>
      <x:c r="G139" s="16" t="str">
        <x:v>正式报告</x:v>
      </x:c>
      <x:c r="H139" s="19" t="n">
        <x:v>12</x:v>
      </x:c>
      <x:c r="I139" s="19" t="n">
        <x:v>9</x:v>
      </x:c>
      <x:c r="J139" s="19" t="n">
        <x:v>1</x:v>
      </x:c>
      <x:c r="K139" s="16" t="str">
        <x:v>2. New with slight deterioration</x:v>
      </x:c>
      <x:c r="L139" s="16" t="str">
        <x:v>Very unlikely</x:v>
      </x:c>
      <x:c r="M139" s="16" t="str">
        <x:v>Moderate</x:v>
      </x:c>
      <x:c r="N139" s="16" t="str">
        <x:v>Low</x:v>
      </x:c>
    </x:row>
    <x:row r="140" ht="37" customHeight="1">
      <x:c r="A140" s="16" t="str">
        <x:v>RAW-00134</x:v>
      </x:c>
      <x:c r="B140" s="16" t="str">
        <x:v>Observation</x:v>
      </x:c>
      <x:c r="C140" s="16" t="str">
        <x:v>– Corroded steel casing for light.</x:v>
      </x:c>
      <x:c r="D140" s="16" t="str">
        <x:v>Lighting</x:v>
      </x:c>
      <x:c r="E140" s="16" t="str">
        <x:v>SRC-006</x:v>
      </x:c>
      <x:c r="F140" s="16" t="str">
        <x:v>OBS-0044</x:v>
      </x:c>
      <x:c r="G140" s="16" t="str">
        <x:v>正式报告</x:v>
      </x:c>
      <x:c r="H140" s="19" t="n">
        <x:v>13</x:v>
      </x:c>
      <x:c r="I140" s="19" t="n">
        <x:v>6</x:v>
      </x:c>
      <x:c r="J140" s="19" t="n">
        <x:v>1</x:v>
      </x:c>
      <x:c r="K140" s="16" t="str">
        <x:v>2. New with slight deterioration</x:v>
      </x:c>
      <x:c r="L140" s="16" t="str">
        <x:v>Very unlikely</x:v>
      </x:c>
      <x:c r="M140" s="16" t="str">
        <x:v>Minor</x:v>
      </x:c>
      <x:c r="N140" s="16" t="str">
        <x:v>Low</x:v>
      </x:c>
    </x:row>
    <x:row r="141" ht="37" customHeight="1">
      <x:c r="A141" s="16" t="str">
        <x:v>RAW-00135</x:v>
      </x:c>
      <x:c r="B141" s="16" t="str">
        <x:v>Recommendation</x:v>
      </x:c>
      <x:c r="C141" s="16" t="str">
        <x:v>– Clean, remove corrosion and repaint.</x:v>
      </x:c>
      <x:c r="D141" s="16" t="str">
        <x:v>Lighting</x:v>
      </x:c>
      <x:c r="E141" s="16" t="str">
        <x:v>SRC-006</x:v>
      </x:c>
      <x:c r="F141" s="16" t="str">
        <x:v>REC-0002</x:v>
      </x:c>
      <x:c r="G141" s="16" t="str">
        <x:v>正式报告</x:v>
      </x:c>
      <x:c r="H141" s="19" t="n">
        <x:v>13</x:v>
      </x:c>
      <x:c r="I141" s="19" t="n">
        <x:v>6</x:v>
      </x:c>
      <x:c r="J141" s="19" t="n">
        <x:v>1</x:v>
      </x:c>
      <x:c r="K141" s="16" t="str">
        <x:v>2. New with slight deterioration</x:v>
      </x:c>
      <x:c r="L141" s="16" t="str">
        <x:v>Very unlikely</x:v>
      </x:c>
      <x:c r="M141" s="16" t="str">
        <x:v>Minor</x:v>
      </x:c>
      <x:c r="N141" s="16" t="str">
        <x:v>Low</x:v>
      </x:c>
    </x:row>
    <x:row r="142" ht="37" customHeight="1">
      <x:c r="A142" s="16" t="str">
        <x:v>RAW-00136</x:v>
      </x:c>
      <x:c r="B142" s="16" t="str">
        <x:v>Observation</x:v>
      </x:c>
      <x:c r="C142" s="16" t="str">
        <x:v>– Corroded steel casing for light.</x:v>
      </x:c>
      <x:c r="D142" s="16" t="str">
        <x:v>Lighting</x:v>
      </x:c>
      <x:c r="E142" s="16" t="str">
        <x:v>SRC-006</x:v>
      </x:c>
      <x:c r="F142" s="16" t="str">
        <x:v>OBS-0044</x:v>
      </x:c>
      <x:c r="G142" s="16" t="str">
        <x:v>正式报告</x:v>
      </x:c>
      <x:c r="H142" s="19" t="n">
        <x:v>13</x:v>
      </x:c>
      <x:c r="I142" s="19" t="n">
        <x:v>7</x:v>
      </x:c>
      <x:c r="J142" s="19" t="n">
        <x:v>1</x:v>
      </x:c>
      <x:c r="K142" s="16" t="str">
        <x:v>2. New with slight deterioration</x:v>
      </x:c>
      <x:c r="L142" s="16" t="str">
        <x:v>Very unlikely</x:v>
      </x:c>
      <x:c r="M142" s="16" t="str">
        <x:v>Minor</x:v>
      </x:c>
      <x:c r="N142" s="16" t="str">
        <x:v>Low</x:v>
      </x:c>
    </x:row>
    <x:row r="143" ht="37" customHeight="1">
      <x:c r="A143" s="16" t="str">
        <x:v>RAW-00137</x:v>
      </x:c>
      <x:c r="B143" s="16" t="str">
        <x:v>Recommendation</x:v>
      </x:c>
      <x:c r="C143" s="16" t="str">
        <x:v>– Clean, remove corrosion and repaint.</x:v>
      </x:c>
      <x:c r="D143" s="16" t="str">
        <x:v>Lighting</x:v>
      </x:c>
      <x:c r="E143" s="16" t="str">
        <x:v>SRC-006</x:v>
      </x:c>
      <x:c r="F143" s="16" t="str">
        <x:v>REC-0002</x:v>
      </x:c>
      <x:c r="G143" s="16" t="str">
        <x:v>正式报告</x:v>
      </x:c>
      <x:c r="H143" s="19" t="n">
        <x:v>13</x:v>
      </x:c>
      <x:c r="I143" s="19" t="n">
        <x:v>7</x:v>
      </x:c>
      <x:c r="J143" s="19" t="n">
        <x:v>1</x:v>
      </x:c>
      <x:c r="K143" s="16" t="str">
        <x:v>2. New with slight deterioration</x:v>
      </x:c>
      <x:c r="L143" s="16" t="str">
        <x:v>Very unlikely</x:v>
      </x:c>
      <x:c r="M143" s="16" t="str">
        <x:v>Minor</x:v>
      </x:c>
      <x:c r="N143" s="16" t="str">
        <x:v>Low</x:v>
      </x:c>
    </x:row>
    <x:row r="144" ht="37" customHeight="1">
      <x:c r="A144" s="16" t="str">
        <x:v>RAW-00138</x:v>
      </x:c>
      <x:c r="B144" s="16" t="str">
        <x:v>Observation</x:v>
      </x:c>
      <x:c r="C144" s="16" t="str">
        <x:v>– Front fence.</x:v>
      </x:c>
      <x:c r="D144" s="16" t="str">
        <x:v>Fencing posts</x:v>
      </x:c>
      <x:c r="E144" s="16" t="str">
        <x:v>SRC-006</x:v>
      </x:c>
      <x:c r="F144" s="16" t="str">
        <x:v>OBS-0272</x:v>
      </x:c>
      <x:c r="G144" s="16" t="str">
        <x:v>正式报告</x:v>
      </x:c>
      <x:c r="H144" s="19" t="n">
        <x:v>14</x:v>
      </x:c>
      <x:c r="I144" s="19" t="n">
        <x:v>6</x:v>
      </x:c>
      <x:c r="J144" s="19" t="n">
        <x:v>1</x:v>
      </x:c>
      <x:c r="K144" s="16" t="str">
        <x:v>5. Major deterioration</x:v>
      </x:c>
      <x:c r="L144" s="16" t="str">
        <x:v>Likely</x:v>
      </x:c>
      <x:c r="M144" s="16" t="str">
        <x:v>Moderate</x:v>
      </x:c>
      <x:c r="N144" s="16" t="str">
        <x:v>High</x:v>
      </x:c>
    </x:row>
    <x:row r="145" ht="37" customHeight="1">
      <x:c r="A145" s="16" t="str">
        <x:v>RAW-00139</x:v>
      </x:c>
      <x:c r="B145" s="16" t="str">
        <x:v>Observation</x:v>
      </x:c>
      <x:c r="C145" s="16" t="str">
        <x:v>– Front fence. Flaking corrosion on fencing post.</x:v>
      </x:c>
      <x:c r="D145" s="16" t="str">
        <x:v>Fencing posts</x:v>
      </x:c>
      <x:c r="E145" s="16" t="str">
        <x:v>SRC-006</x:v>
      </x:c>
      <x:c r="F145" s="16" t="str">
        <x:v>OBS-0273</x:v>
      </x:c>
      <x:c r="G145" s="16" t="str">
        <x:v>正式报告</x:v>
      </x:c>
      <x:c r="H145" s="19" t="n">
        <x:v>14</x:v>
      </x:c>
      <x:c r="I145" s="19" t="n">
        <x:v>7</x:v>
      </x:c>
      <x:c r="J145" s="19" t="n">
        <x:v>1</x:v>
      </x:c>
      <x:c r="K145" s="16" t="str">
        <x:v>5. Major deterioration</x:v>
      </x:c>
      <x:c r="L145" s="16" t="str">
        <x:v>Likely</x:v>
      </x:c>
      <x:c r="M145" s="16" t="str">
        <x:v>Moderate</x:v>
      </x:c>
      <x:c r="N145" s="16" t="str">
        <x:v>High</x:v>
      </x:c>
    </x:row>
    <x:row r="146" ht="37" customHeight="1">
      <x:c r="A146" s="16" t="str">
        <x:v>RAW-00140</x:v>
      </x:c>
      <x:c r="B146" s="16" t="str">
        <x:v>Recommendation</x:v>
      </x:c>
      <x:c r="C146" s="16" t="str">
        <x:v>– Clean, remove corrosion. Replace the post if the post base has been rusted through.</x:v>
      </x:c>
      <x:c r="D146" s="16" t="str">
        <x:v>Fencing posts</x:v>
      </x:c>
      <x:c r="E146" s="16" t="str">
        <x:v>SRC-006</x:v>
      </x:c>
      <x:c r="F146" s="16" t="str">
        <x:v>REC-0071</x:v>
      </x:c>
      <x:c r="G146" s="16" t="str">
        <x:v>正式报告</x:v>
      </x:c>
      <x:c r="H146" s="19" t="n">
        <x:v>14</x:v>
      </x:c>
      <x:c r="I146" s="19" t="n">
        <x:v>7</x:v>
      </x:c>
      <x:c r="J146" s="19" t="n">
        <x:v>1</x:v>
      </x:c>
      <x:c r="K146" s="16" t="str">
        <x:v>5. Major deterioration</x:v>
      </x:c>
      <x:c r="L146" s="16" t="str">
        <x:v>Likely</x:v>
      </x:c>
      <x:c r="M146" s="16" t="str">
        <x:v>Moderate</x:v>
      </x:c>
      <x:c r="N146" s="16" t="str">
        <x:v>High</x:v>
      </x:c>
    </x:row>
    <x:row r="147" ht="37" customHeight="1">
      <x:c r="A147" s="16" t="str">
        <x:v>RAW-00141</x:v>
      </x:c>
      <x:c r="B147" s="16" t="str">
        <x:v>Observation</x:v>
      </x:c>
      <x:c r="C147" s="16" t="str">
        <x:v>– Right hand side column facing the front of the house.</x:v>
      </x:c>
      <x:c r="D147" s="16" t="str">
        <x:v>Verandah column</x:v>
      </x:c>
      <x:c r="E147" s="16" t="str">
        <x:v>SRC-007</x:v>
      </x:c>
      <x:c r="F147" s="16" t="str"/>
      <x:c r="G147" s="16" t="str">
        <x:v>审阅或辅助文档</x:v>
      </x:c>
      <x:c r="H147" s="19" t="n">
        <x:v>3</x:v>
      </x:c>
      <x:c r="I147" s="19" t="n">
        <x:v>6</x:v>
      </x:c>
      <x:c r="J147" s="19" t="n">
        <x:v>1</x:v>
      </x:c>
      <x:c r="K147" s="16" t="str">
        <x:v>7. Very severe deterioration</x:v>
      </x:c>
      <x:c r="L147" s="16" t="str">
        <x:v>Very likely</x:v>
      </x:c>
      <x:c r="M147" s="16" t="str">
        <x:v>Significant</x:v>
      </x:c>
      <x:c r="N147" s="16" t="str">
        <x:v>Urgent</x:v>
      </x:c>
    </x:row>
    <x:row r="148" ht="37" customHeight="1">
      <x:c r="A148" s="16" t="str">
        <x:v>RAW-00142</x:v>
      </x:c>
      <x:c r="B148" s="16" t="str">
        <x:v>Observation</x:v>
      </x:c>
      <x:c r="C148" s="16" t="str">
        <x:v>– Holes and flaking towards the lower section of the column.</x:v>
      </x:c>
      <x:c r="D148" s="16" t="str">
        <x:v>Verandah column</x:v>
      </x:c>
      <x:c r="E148" s="16" t="str">
        <x:v>SRC-007</x:v>
      </x:c>
      <x:c r="F148" s="16" t="str"/>
      <x:c r="G148" s="16" t="str">
        <x:v>审阅或辅助文档</x:v>
      </x:c>
      <x:c r="H148" s="19" t="n">
        <x:v>3</x:v>
      </x:c>
      <x:c r="I148" s="19" t="n">
        <x:v>7</x:v>
      </x:c>
      <x:c r="J148" s="19" t="n">
        <x:v>1</x:v>
      </x:c>
      <x:c r="K148" s="16" t="str">
        <x:v>7. Very severe deterioration</x:v>
      </x:c>
      <x:c r="L148" s="16" t="str">
        <x:v>Very likely</x:v>
      </x:c>
      <x:c r="M148" s="16" t="str">
        <x:v>Significant</x:v>
      </x:c>
      <x:c r="N148" s="16" t="str">
        <x:v>Urgent</x:v>
      </x:c>
    </x:row>
    <x:row r="149" ht="37" customHeight="1">
      <x:c r="A149" s="16" t="str">
        <x:v>RAW-00143</x:v>
      </x:c>
      <x:c r="B149" s="16" t="str">
        <x:v>Recommendation</x:v>
      </x:c>
      <x:c r="C149" s="16" t="str">
        <x:v>– Replace column.</x:v>
      </x:c>
      <x:c r="D149" s="16" t="str">
        <x:v>Verandah column</x:v>
      </x:c>
      <x:c r="E149" s="16" t="str">
        <x:v>SRC-007</x:v>
      </x:c>
      <x:c r="F149" s="16" t="str">
        <x:v>REC-0007</x:v>
      </x:c>
      <x:c r="G149" s="16" t="str">
        <x:v>审阅或辅助文档</x:v>
      </x:c>
      <x:c r="H149" s="19" t="n">
        <x:v>3</x:v>
      </x:c>
      <x:c r="I149" s="19" t="n">
        <x:v>7</x:v>
      </x:c>
      <x:c r="J149" s="19" t="n">
        <x:v>1</x:v>
      </x:c>
      <x:c r="K149" s="16" t="str">
        <x:v>7. Very severe deterioration</x:v>
      </x:c>
      <x:c r="L149" s="16" t="str">
        <x:v>Very likely</x:v>
      </x:c>
      <x:c r="M149" s="16" t="str">
        <x:v>Significant</x:v>
      </x:c>
      <x:c r="N149" s="16" t="str">
        <x:v>Urgent</x:v>
      </x:c>
    </x:row>
    <x:row r="150" ht="37" customHeight="1">
      <x:c r="A150" s="16" t="str">
        <x:v>RAW-00144</x:v>
      </x:c>
      <x:c r="B150" s="16" t="str">
        <x:v>Observation</x:v>
      </x:c>
      <x:c r="C150" s="16" t="str">
        <x:v>– Holes and flaking towards the lower section of the column.</x:v>
      </x:c>
      <x:c r="D150" s="16" t="str">
        <x:v>Verandah column</x:v>
      </x:c>
      <x:c r="E150" s="16" t="str">
        <x:v>SRC-007</x:v>
      </x:c>
      <x:c r="F150" s="16" t="str"/>
      <x:c r="G150" s="16" t="str">
        <x:v>审阅或辅助文档</x:v>
      </x:c>
      <x:c r="H150" s="19" t="n">
        <x:v>3</x:v>
      </x:c>
      <x:c r="I150" s="19" t="n">
        <x:v>8</x:v>
      </x:c>
      <x:c r="J150" s="19" t="n">
        <x:v>1</x:v>
      </x:c>
      <x:c r="K150" s="16" t="str">
        <x:v>7. Very severe deterioration</x:v>
      </x:c>
      <x:c r="L150" s="16" t="str">
        <x:v>Very likely</x:v>
      </x:c>
      <x:c r="M150" s="16" t="str">
        <x:v>Significant</x:v>
      </x:c>
      <x:c r="N150" s="16" t="str">
        <x:v>Urgent</x:v>
      </x:c>
    </x:row>
    <x:row r="151" ht="37" customHeight="1">
      <x:c r="A151" s="16" t="str">
        <x:v>RAW-00145</x:v>
      </x:c>
      <x:c r="B151" s="16" t="str">
        <x:v>Recommendation</x:v>
      </x:c>
      <x:c r="C151" s="16" t="str">
        <x:v>– Replace column.</x:v>
      </x:c>
      <x:c r="D151" s="16" t="str">
        <x:v>Verandah column</x:v>
      </x:c>
      <x:c r="E151" s="16" t="str">
        <x:v>SRC-007</x:v>
      </x:c>
      <x:c r="F151" s="16" t="str">
        <x:v>REC-0007</x:v>
      </x:c>
      <x:c r="G151" s="16" t="str">
        <x:v>审阅或辅助文档</x:v>
      </x:c>
      <x:c r="H151" s="19" t="n">
        <x:v>3</x:v>
      </x:c>
      <x:c r="I151" s="19" t="n">
        <x:v>8</x:v>
      </x:c>
      <x:c r="J151" s="19" t="n">
        <x:v>1</x:v>
      </x:c>
      <x:c r="K151" s="16" t="str">
        <x:v>7. Very severe deterioration</x:v>
      </x:c>
      <x:c r="L151" s="16" t="str">
        <x:v>Very likely</x:v>
      </x:c>
      <x:c r="M151" s="16" t="str">
        <x:v>Significant</x:v>
      </x:c>
      <x:c r="N151" s="16" t="str">
        <x:v>Urgent</x:v>
      </x:c>
    </x:row>
    <x:row r="152" ht="37" customHeight="1">
      <x:c r="A152" s="16" t="str">
        <x:v>RAW-00146</x:v>
      </x:c>
      <x:c r="B152" s="16" t="str">
        <x:v>Observation</x:v>
      </x:c>
      <x:c r="C152" s="16" t="str">
        <x:v>– Holes and flaking towards the lower section of the column.</x:v>
      </x:c>
      <x:c r="D152" s="16" t="str">
        <x:v>Verandah column</x:v>
      </x:c>
      <x:c r="E152" s="16" t="str">
        <x:v>SRC-007</x:v>
      </x:c>
      <x:c r="F152" s="16" t="str"/>
      <x:c r="G152" s="16" t="str">
        <x:v>审阅或辅助文档</x:v>
      </x:c>
      <x:c r="H152" s="19" t="n">
        <x:v>3</x:v>
      </x:c>
      <x:c r="I152" s="19" t="n">
        <x:v>9</x:v>
      </x:c>
      <x:c r="J152" s="19" t="n">
        <x:v>1</x:v>
      </x:c>
      <x:c r="K152" s="16" t="str">
        <x:v>7. Very severe deterioration</x:v>
      </x:c>
      <x:c r="L152" s="16" t="str">
        <x:v>Very likely</x:v>
      </x:c>
      <x:c r="M152" s="16" t="str">
        <x:v>Significant</x:v>
      </x:c>
      <x:c r="N152" s="16" t="str">
        <x:v>Urgent</x:v>
      </x:c>
    </x:row>
    <x:row r="153" ht="37" customHeight="1">
      <x:c r="A153" s="16" t="str">
        <x:v>RAW-00147</x:v>
      </x:c>
      <x:c r="B153" s="16" t="str">
        <x:v>Recommendation</x:v>
      </x:c>
      <x:c r="C153" s="16" t="str">
        <x:v>– Replace column.</x:v>
      </x:c>
      <x:c r="D153" s="16" t="str">
        <x:v>Verandah column</x:v>
      </x:c>
      <x:c r="E153" s="16" t="str">
        <x:v>SRC-007</x:v>
      </x:c>
      <x:c r="F153" s="16" t="str">
        <x:v>REC-0007</x:v>
      </x:c>
      <x:c r="G153" s="16" t="str">
        <x:v>审阅或辅助文档</x:v>
      </x:c>
      <x:c r="H153" s="19" t="n">
        <x:v>3</x:v>
      </x:c>
      <x:c r="I153" s="19" t="n">
        <x:v>9</x:v>
      </x:c>
      <x:c r="J153" s="19" t="n">
        <x:v>1</x:v>
      </x:c>
      <x:c r="K153" s="16" t="str">
        <x:v>7. Very severe deterioration</x:v>
      </x:c>
      <x:c r="L153" s="16" t="str">
        <x:v>Very likely</x:v>
      </x:c>
      <x:c r="M153" s="16" t="str">
        <x:v>Significant</x:v>
      </x:c>
      <x:c r="N153" s="16" t="str">
        <x:v>Urgent</x:v>
      </x:c>
    </x:row>
    <x:row r="154" ht="37" customHeight="1">
      <x:c r="A154" s="16" t="str">
        <x:v>RAW-00148</x:v>
      </x:c>
      <x:c r="B154" s="16" t="str">
        <x:v>Observation</x:v>
      </x:c>
      <x:c r="C154" s="16" t="str">
        <x:v>– Column 1.</x:v>
      </x:c>
      <x:c r="D154" s="16" t="str">
        <x:v>Rafters</x:v>
      </x:c>
      <x:c r="E154" s="16" t="str">
        <x:v>SRC-007</x:v>
      </x:c>
      <x:c r="F154" s="16" t="str"/>
      <x:c r="G154" s="16" t="str">
        <x:v>审阅或辅助文档</x:v>
      </x:c>
      <x:c r="H154" s="19" t="n">
        <x:v>4</x:v>
      </x:c>
      <x:c r="I154" s="19" t="n">
        <x:v>6</x:v>
      </x:c>
      <x:c r="J154" s="19" t="n">
        <x:v>1</x:v>
      </x:c>
      <x:c r="K154" s="16" t="str">
        <x:v>5. Major deterioration</x:v>
      </x:c>
      <x:c r="L154" s="16" t="str">
        <x:v>Likely</x:v>
      </x:c>
      <x:c r="M154" s="16" t="str">
        <x:v>Significant</x:v>
      </x:c>
      <x:c r="N154" s="16" t="str">
        <x:v>Critical</x:v>
      </x:c>
    </x:row>
    <x:row r="155" ht="37" customHeight="1">
      <x:c r="A155" s="16" t="str">
        <x:v>RAW-00149</x:v>
      </x:c>
      <x:c r="B155" s="16" t="str">
        <x:v>Observation</x:v>
      </x:c>
      <x:c r="C155" s="16" t="str">
        <x:v>– Column 1. Flaking corrosion at column support where water ponding has occurred.</x:v>
      </x:c>
      <x:c r="D155" s="16" t="str">
        <x:v>Rafters</x:v>
      </x:c>
      <x:c r="E155" s="16" t="str">
        <x:v>SRC-007</x:v>
      </x:c>
      <x:c r="F155" s="16" t="str"/>
      <x:c r="G155" s="16" t="str">
        <x:v>审阅或辅助文档</x:v>
      </x:c>
      <x:c r="H155" s="19" t="n">
        <x:v>4</x:v>
      </x:c>
      <x:c r="I155" s="19" t="n">
        <x:v>7</x:v>
      </x:c>
      <x:c r="J155" s="19" t="n">
        <x:v>1</x:v>
      </x:c>
      <x:c r="K155" s="16" t="str">
        <x:v>5. Major deterioration</x:v>
      </x:c>
      <x:c r="L155" s="16" t="str">
        <x:v>Likely</x:v>
      </x:c>
      <x:c r="M155" s="16" t="str">
        <x:v>Significant</x:v>
      </x:c>
      <x:c r="N155" s="16" t="str">
        <x:v>Critical</x:v>
      </x:c>
    </x:row>
    <x:row r="156" ht="37" customHeight="1">
      <x:c r="A156" s="16" t="str">
        <x:v>RAW-00150</x:v>
      </x:c>
      <x:c r="B156" s="16" t="str">
        <x:v>Recommendation</x:v>
      </x:c>
      <x:c r="C156" s="16" t="str">
        <x:v>–</x:v>
      </x:c>
      <x:c r="D156" s="16" t="str">
        <x:v>Rafters</x:v>
      </x:c>
      <x:c r="E156" s="16" t="str">
        <x:v>SRC-007</x:v>
      </x:c>
      <x:c r="F156" s="16" t="str"/>
      <x:c r="G156" s="16" t="str">
        <x:v>审阅或辅助文档</x:v>
      </x:c>
      <x:c r="H156" s="19" t="n">
        <x:v>4</x:v>
      </x:c>
      <x:c r="I156" s="19" t="n">
        <x:v>7</x:v>
      </x:c>
      <x:c r="J156" s="19" t="n">
        <x:v>1</x:v>
      </x:c>
      <x:c r="K156" s="16" t="str">
        <x:v>5. Major deterioration</x:v>
      </x:c>
      <x:c r="L156" s="16" t="str">
        <x:v>Likely</x:v>
      </x:c>
      <x:c r="M156" s="16" t="str">
        <x:v>Significant</x:v>
      </x:c>
      <x:c r="N156" s="16" t="str">
        <x:v>Critical</x:v>
      </x:c>
    </x:row>
    <x:row r="157" ht="37" customHeight="1">
      <x:c r="A157" s="16" t="str">
        <x:v>RAW-00151</x:v>
      </x:c>
      <x:c r="B157" s="16" t="str">
        <x:v>Observation</x:v>
      </x:c>
      <x:c r="C157" s="16" t="str">
        <x:v>– Column 1. Flaking corrosion at column support where water ponding has occurred.</x:v>
      </x:c>
      <x:c r="D157" s="16" t="str">
        <x:v>Rafters</x:v>
      </x:c>
      <x:c r="E157" s="16" t="str">
        <x:v>SRC-007</x:v>
      </x:c>
      <x:c r="F157" s="16" t="str"/>
      <x:c r="G157" s="16" t="str">
        <x:v>审阅或辅助文档</x:v>
      </x:c>
      <x:c r="H157" s="19" t="n">
        <x:v>4</x:v>
      </x:c>
      <x:c r="I157" s="19" t="n">
        <x:v>8</x:v>
      </x:c>
      <x:c r="J157" s="19" t="n">
        <x:v>1</x:v>
      </x:c>
      <x:c r="K157" s="16" t="str">
        <x:v>5. Major deterioration</x:v>
      </x:c>
      <x:c r="L157" s="16" t="str">
        <x:v>Likely</x:v>
      </x:c>
      <x:c r="M157" s="16" t="str">
        <x:v>Significant</x:v>
      </x:c>
      <x:c r="N157" s="16" t="str">
        <x:v>Critical</x:v>
      </x:c>
    </x:row>
    <x:row r="158" ht="37" customHeight="1">
      <x:c r="A158" s="16" t="str">
        <x:v>RAW-00152</x:v>
      </x:c>
      <x:c r="B158" s="16" t="str">
        <x:v>Observation</x:v>
      </x:c>
      <x:c r="C158" s="16" t="str">
        <x:v>– Column 1. Flaking corrosion at column support where water ponding has occurred.</x:v>
      </x:c>
      <x:c r="D158" s="16" t="str">
        <x:v>Rafters</x:v>
      </x:c>
      <x:c r="E158" s="16" t="str">
        <x:v>SRC-007</x:v>
      </x:c>
      <x:c r="F158" s="16" t="str"/>
      <x:c r="G158" s="16" t="str">
        <x:v>审阅或辅助文档</x:v>
      </x:c>
      <x:c r="H158" s="19" t="n">
        <x:v>4</x:v>
      </x:c>
      <x:c r="I158" s="19" t="n">
        <x:v>9</x:v>
      </x:c>
      <x:c r="J158" s="19" t="n">
        <x:v>1</x:v>
      </x:c>
      <x:c r="K158" s="16" t="str">
        <x:v>5. Major deterioration</x:v>
      </x:c>
      <x:c r="L158" s="16" t="str">
        <x:v>Likely</x:v>
      </x:c>
      <x:c r="M158" s="16" t="str">
        <x:v>Significant</x:v>
      </x:c>
      <x:c r="N158" s="16" t="str">
        <x:v>Critical</x:v>
      </x:c>
    </x:row>
    <x:row r="159" ht="37" customHeight="1">
      <x:c r="A159" s="16" t="str">
        <x:v>RAW-00153</x:v>
      </x:c>
      <x:c r="B159" s="16" t="str">
        <x:v>Observation</x:v>
      </x:c>
      <x:c r="C159" s="16" t="str">
        <x:v>– Column 4.</x:v>
      </x:c>
      <x:c r="D159" s="16" t="str">
        <x:v>Rafters</x:v>
      </x:c>
      <x:c r="E159" s="16" t="str">
        <x:v>SRC-007</x:v>
      </x:c>
      <x:c r="F159" s="16" t="str"/>
      <x:c r="G159" s="16" t="str">
        <x:v>审阅或辅助文档</x:v>
      </x:c>
      <x:c r="H159" s="19" t="n">
        <x:v>4</x:v>
      </x:c>
      <x:c r="I159" s="19" t="n">
        <x:v>10</x:v>
      </x:c>
      <x:c r="J159" s="19" t="n">
        <x:v>1</x:v>
      </x:c>
      <x:c r="K159" s="16" t="str">
        <x:v>5. Major deterioration</x:v>
      </x:c>
      <x:c r="L159" s="16" t="str">
        <x:v>Likely</x:v>
      </x:c>
      <x:c r="M159" s="16" t="str">
        <x:v>Significant</x:v>
      </x:c>
      <x:c r="N159" s="16" t="str">
        <x:v>Critical</x:v>
      </x:c>
    </x:row>
    <x:row r="160" ht="37" customHeight="1">
      <x:c r="A160" s="16" t="str">
        <x:v>RAW-00154</x:v>
      </x:c>
      <x:c r="B160" s="16" t="str">
        <x:v>Recommendation</x:v>
      </x:c>
      <x:c r="C160" s="16" t="str">
        <x:v>– None.</x:v>
      </x:c>
      <x:c r="D160" s="16" t="str">
        <x:v>Rafters</x:v>
      </x:c>
      <x:c r="E160" s="16" t="str">
        <x:v>SRC-007</x:v>
      </x:c>
      <x:c r="F160" s="16" t="str">
        <x:v>REC-0003</x:v>
      </x:c>
      <x:c r="G160" s="16" t="str">
        <x:v>审阅或辅助文档</x:v>
      </x:c>
      <x:c r="H160" s="19" t="n">
        <x:v>4</x:v>
      </x:c>
      <x:c r="I160" s="19" t="n">
        <x:v>10</x:v>
      </x:c>
      <x:c r="J160" s="19" t="n">
        <x:v>1</x:v>
      </x:c>
      <x:c r="K160" s="16" t="str">
        <x:v>5. Major deterioration</x:v>
      </x:c>
      <x:c r="L160" s="16" t="str">
        <x:v>Likely</x:v>
      </x:c>
      <x:c r="M160" s="16" t="str">
        <x:v>Significant</x:v>
      </x:c>
      <x:c r="N160" s="16" t="str">
        <x:v>Critical</x:v>
      </x:c>
    </x:row>
    <x:row r="161" ht="41" customHeight="1">
      <x:c r="A161" s="16" t="str">
        <x:v>RAW-00155</x:v>
      </x:c>
      <x:c r="B161" s="16" t="str">
        <x:v>Observation</x:v>
      </x:c>
      <x:c r="C161" s="16" t="str">
        <x:v>– Column 5. Flaking corrosion at support location. Expansion of steel due to corrosion causing brickwork to crack.</x:v>
      </x:c>
      <x:c r="D161" s="16" t="str">
        <x:v>Rafters</x:v>
      </x:c>
      <x:c r="E161" s="16" t="str">
        <x:v>SRC-007</x:v>
      </x:c>
      <x:c r="F161" s="16" t="str"/>
      <x:c r="G161" s="16" t="str">
        <x:v>审阅或辅助文档</x:v>
      </x:c>
      <x:c r="H161" s="19" t="n">
        <x:v>4</x:v>
      </x:c>
      <x:c r="I161" s="19" t="n">
        <x:v>11</x:v>
      </x:c>
      <x:c r="J161" s="19" t="n">
        <x:v>1</x:v>
      </x:c>
      <x:c r="K161" s="16" t="str">
        <x:v>5. Major deterioration</x:v>
      </x:c>
      <x:c r="L161" s="16" t="str">
        <x:v>Likely</x:v>
      </x:c>
      <x:c r="M161" s="16" t="str">
        <x:v>Significant</x:v>
      </x:c>
      <x:c r="N161" s="16" t="str">
        <x:v>Critical</x:v>
      </x:c>
    </x:row>
    <x:row r="162" ht="37" customHeight="1">
      <x:c r="A162" s="16" t="str">
        <x:v>RAW-00156</x:v>
      </x:c>
      <x:c r="B162" s="16" t="str">
        <x:v>Recommendation</x:v>
      </x:c>
      <x:c r="C162" s="16" t="str">
        <x:v>– Clean, remove corrosion and repaint rafter. Replace brickwork.</x:v>
      </x:c>
      <x:c r="D162" s="16" t="str">
        <x:v>Rafters</x:v>
      </x:c>
      <x:c r="E162" s="16" t="str">
        <x:v>SRC-007</x:v>
      </x:c>
      <x:c r="F162" s="16" t="str"/>
      <x:c r="G162" s="16" t="str">
        <x:v>审阅或辅助文档</x:v>
      </x:c>
      <x:c r="H162" s="19" t="n">
        <x:v>4</x:v>
      </x:c>
      <x:c r="I162" s="19" t="n">
        <x:v>11</x:v>
      </x:c>
      <x:c r="J162" s="19" t="n">
        <x:v>1</x:v>
      </x:c>
      <x:c r="K162" s="16" t="str">
        <x:v>5. Major deterioration</x:v>
      </x:c>
      <x:c r="L162" s="16" t="str">
        <x:v>Likely</x:v>
      </x:c>
      <x:c r="M162" s="16" t="str">
        <x:v>Significant</x:v>
      </x:c>
      <x:c r="N162" s="16" t="str">
        <x:v>Critical</x:v>
      </x:c>
    </x:row>
    <x:row r="163" ht="41" customHeight="1">
      <x:c r="A163" s="16" t="str">
        <x:v>RAW-00157</x:v>
      </x:c>
      <x:c r="B163" s="16" t="str">
        <x:v>Observation</x:v>
      </x:c>
      <x:c r="C163" s="16" t="str">
        <x:v>– Column 6. Flaking corrosion at support location. Expansion of steel due to corrosion causing brickwork to crack. Minor corrosion on rafter.</x:v>
      </x:c>
      <x:c r="D163" s="16" t="str">
        <x:v>Rafters</x:v>
      </x:c>
      <x:c r="E163" s="16" t="str">
        <x:v>SRC-007</x:v>
      </x:c>
      <x:c r="F163" s="16" t="str"/>
      <x:c r="G163" s="16" t="str">
        <x:v>审阅或辅助文档</x:v>
      </x:c>
      <x:c r="H163" s="19" t="n">
        <x:v>4</x:v>
      </x:c>
      <x:c r="I163" s="19" t="n">
        <x:v>12</x:v>
      </x:c>
      <x:c r="J163" s="19" t="n">
        <x:v>1</x:v>
      </x:c>
      <x:c r="K163" s="16" t="str">
        <x:v>5. Major deterioration</x:v>
      </x:c>
      <x:c r="L163" s="16" t="str">
        <x:v>Likely</x:v>
      </x:c>
      <x:c r="M163" s="16" t="str">
        <x:v>Significant</x:v>
      </x:c>
      <x:c r="N163" s="16" t="str">
        <x:v>Critical</x:v>
      </x:c>
    </x:row>
    <x:row r="164" ht="37" customHeight="1">
      <x:c r="A164" s="16" t="str">
        <x:v>RAW-00158</x:v>
      </x:c>
      <x:c r="B164" s="16" t="str">
        <x:v>Recommendation</x:v>
      </x:c>
      <x:c r="C164" s="16" t="str">
        <x:v>– Clean, remove corrosion and repaint rafter. Replace brickwork.</x:v>
      </x:c>
      <x:c r="D164" s="16" t="str">
        <x:v>Rafters</x:v>
      </x:c>
      <x:c r="E164" s="16" t="str">
        <x:v>SRC-007</x:v>
      </x:c>
      <x:c r="F164" s="16" t="str"/>
      <x:c r="G164" s="16" t="str">
        <x:v>审阅或辅助文档</x:v>
      </x:c>
      <x:c r="H164" s="19" t="n">
        <x:v>4</x:v>
      </x:c>
      <x:c r="I164" s="19" t="n">
        <x:v>12</x:v>
      </x:c>
      <x:c r="J164" s="19" t="n">
        <x:v>1</x:v>
      </x:c>
      <x:c r="K164" s="16" t="str">
        <x:v>5. Major deterioration</x:v>
      </x:c>
      <x:c r="L164" s="16" t="str">
        <x:v>Likely</x:v>
      </x:c>
      <x:c r="M164" s="16" t="str">
        <x:v>Significant</x:v>
      </x:c>
      <x:c r="N164" s="16" t="str">
        <x:v>Critical</x:v>
      </x:c>
    </x:row>
    <x:row r="165" ht="41" customHeight="1">
      <x:c r="A165" s="16" t="str">
        <x:v>RAW-00159</x:v>
      </x:c>
      <x:c r="B165" s="16" t="str">
        <x:v>Observation</x:v>
      </x:c>
      <x:c r="C165" s="16" t="str">
        <x:v>– Column 7. Flaking corrosion at support location. Expansion of steel due to corrosion causing brickwork to crack. Minor corrosion on rafter.</x:v>
      </x:c>
      <x:c r="D165" s="16" t="str">
        <x:v>Rafters</x:v>
      </x:c>
      <x:c r="E165" s="16" t="str">
        <x:v>SRC-007</x:v>
      </x:c>
      <x:c r="F165" s="16" t="str"/>
      <x:c r="G165" s="16" t="str">
        <x:v>审阅或辅助文档</x:v>
      </x:c>
      <x:c r="H165" s="19" t="n">
        <x:v>4</x:v>
      </x:c>
      <x:c r="I165" s="19" t="n">
        <x:v>13</x:v>
      </x:c>
      <x:c r="J165" s="19" t="n">
        <x:v>1</x:v>
      </x:c>
      <x:c r="K165" s="16" t="str">
        <x:v>5. Major deterioration</x:v>
      </x:c>
      <x:c r="L165" s="16" t="str">
        <x:v>Likely</x:v>
      </x:c>
      <x:c r="M165" s="16" t="str">
        <x:v>Significant</x:v>
      </x:c>
      <x:c r="N165" s="16" t="str">
        <x:v>Critical</x:v>
      </x:c>
    </x:row>
    <x:row r="166" ht="37" customHeight="1">
      <x:c r="A166" s="16" t="str">
        <x:v>RAW-00160</x:v>
      </x:c>
      <x:c r="B166" s="16" t="str">
        <x:v>Recommendation</x:v>
      </x:c>
      <x:c r="C166" s="16" t="str">
        <x:v>– Clean, remove corrosion and repaint rafter. Replace brickwork.</x:v>
      </x:c>
      <x:c r="D166" s="16" t="str">
        <x:v>Rafters</x:v>
      </x:c>
      <x:c r="E166" s="16" t="str">
        <x:v>SRC-007</x:v>
      </x:c>
      <x:c r="F166" s="16" t="str"/>
      <x:c r="G166" s="16" t="str">
        <x:v>审阅或辅助文档</x:v>
      </x:c>
      <x:c r="H166" s="19" t="n">
        <x:v>4</x:v>
      </x:c>
      <x:c r="I166" s="19" t="n">
        <x:v>13</x:v>
      </x:c>
      <x:c r="J166" s="19" t="n">
        <x:v>1</x:v>
      </x:c>
      <x:c r="K166" s="16" t="str">
        <x:v>5. Major deterioration</x:v>
      </x:c>
      <x:c r="L166" s="16" t="str">
        <x:v>Likely</x:v>
      </x:c>
      <x:c r="M166" s="16" t="str">
        <x:v>Significant</x:v>
      </x:c>
      <x:c r="N166" s="16" t="str">
        <x:v>Critical</x:v>
      </x:c>
    </x:row>
    <x:row r="167" ht="41" customHeight="1">
      <x:c r="A167" s="16" t="str">
        <x:v>RAW-00161</x:v>
      </x:c>
      <x:c r="B167" s="16" t="str">
        <x:v>Observation</x:v>
      </x:c>
      <x:c r="C167" s="16" t="str">
        <x:v>– Column 8. Flaking corrosion at support location. Expansion of steel due to corrosion causing brickwork to crack.</x:v>
      </x:c>
      <x:c r="D167" s="16" t="str">
        <x:v>Rafters</x:v>
      </x:c>
      <x:c r="E167" s="16" t="str">
        <x:v>SRC-007</x:v>
      </x:c>
      <x:c r="F167" s="16" t="str"/>
      <x:c r="G167" s="16" t="str">
        <x:v>审阅或辅助文档</x:v>
      </x:c>
      <x:c r="H167" s="19" t="n">
        <x:v>4</x:v>
      </x:c>
      <x:c r="I167" s="19" t="n">
        <x:v>14</x:v>
      </x:c>
      <x:c r="J167" s="19" t="n">
        <x:v>1</x:v>
      </x:c>
      <x:c r="K167" s="16" t="str">
        <x:v>5. Major deterioration</x:v>
      </x:c>
      <x:c r="L167" s="16" t="str">
        <x:v>Likely</x:v>
      </x:c>
      <x:c r="M167" s="16" t="str">
        <x:v>Significant</x:v>
      </x:c>
      <x:c r="N167" s="16" t="str">
        <x:v>Critical</x:v>
      </x:c>
    </x:row>
    <x:row r="168" ht="37" customHeight="1">
      <x:c r="A168" s="16" t="str">
        <x:v>RAW-00162</x:v>
      </x:c>
      <x:c r="B168" s="16" t="str">
        <x:v>Recommendation</x:v>
      </x:c>
      <x:c r="C168" s="16" t="str">
        <x:v>– Clean, remove corrosion and repaint rafter. Replace brickwork.</x:v>
      </x:c>
      <x:c r="D168" s="16" t="str">
        <x:v>Rafters</x:v>
      </x:c>
      <x:c r="E168" s="16" t="str">
        <x:v>SRC-007</x:v>
      </x:c>
      <x:c r="F168" s="16" t="str"/>
      <x:c r="G168" s="16" t="str">
        <x:v>审阅或辅助文档</x:v>
      </x:c>
      <x:c r="H168" s="19" t="n">
        <x:v>4</x:v>
      </x:c>
      <x:c r="I168" s="19" t="n">
        <x:v>14</x:v>
      </x:c>
      <x:c r="J168" s="19" t="n">
        <x:v>1</x:v>
      </x:c>
      <x:c r="K168" s="16" t="str">
        <x:v>5. Major deterioration</x:v>
      </x:c>
      <x:c r="L168" s="16" t="str">
        <x:v>Likely</x:v>
      </x:c>
      <x:c r="M168" s="16" t="str">
        <x:v>Significant</x:v>
      </x:c>
      <x:c r="N168" s="16" t="str">
        <x:v>Critical</x:v>
      </x:c>
    </x:row>
    <x:row r="169" ht="37" customHeight="1">
      <x:c r="A169" s="16" t="str">
        <x:v>RAW-00163</x:v>
      </x:c>
      <x:c r="B169" s="16" t="str">
        <x:v>Observation</x:v>
      </x:c>
      <x:c r="C169" s="16" t="str">
        <x:v>– Column 9. Possible flaking corrosion causing separation between brickwork and rafter.</x:v>
      </x:c>
      <x:c r="D169" s="16" t="str">
        <x:v>Rafters</x:v>
      </x:c>
      <x:c r="E169" s="16" t="str">
        <x:v>SRC-007</x:v>
      </x:c>
      <x:c r="F169" s="16" t="str"/>
      <x:c r="G169" s="16" t="str">
        <x:v>审阅或辅助文档</x:v>
      </x:c>
      <x:c r="H169" s="19" t="n">
        <x:v>4</x:v>
      </x:c>
      <x:c r="I169" s="19" t="n">
        <x:v>15</x:v>
      </x:c>
      <x:c r="J169" s="19" t="n">
        <x:v>1</x:v>
      </x:c>
      <x:c r="K169" s="16" t="str">
        <x:v>5. Major deterioration</x:v>
      </x:c>
      <x:c r="L169" s="16" t="str">
        <x:v>Likely</x:v>
      </x:c>
      <x:c r="M169" s="16" t="str">
        <x:v>Significant</x:v>
      </x:c>
      <x:c r="N169" s="16" t="str">
        <x:v>Critical</x:v>
      </x:c>
    </x:row>
    <x:row r="170" ht="37" customHeight="1">
      <x:c r="A170" s="16" t="str">
        <x:v>RAW-00164</x:v>
      </x:c>
      <x:c r="B170" s="16" t="str">
        <x:v>Recommendation</x:v>
      </x:c>
      <x:c r="C170" s="16" t="str">
        <x:v>– Clean, remove corrosion and repaint rafter. Replace brickwork.</x:v>
      </x:c>
      <x:c r="D170" s="16" t="str">
        <x:v>Rafters</x:v>
      </x:c>
      <x:c r="E170" s="16" t="str">
        <x:v>SRC-007</x:v>
      </x:c>
      <x:c r="F170" s="16" t="str"/>
      <x:c r="G170" s="16" t="str">
        <x:v>审阅或辅助文档</x:v>
      </x:c>
      <x:c r="H170" s="19" t="n">
        <x:v>4</x:v>
      </x:c>
      <x:c r="I170" s="19" t="n">
        <x:v>15</x:v>
      </x:c>
      <x:c r="J170" s="19" t="n">
        <x:v>1</x:v>
      </x:c>
      <x:c r="K170" s="16" t="str">
        <x:v>5. Major deterioration</x:v>
      </x:c>
      <x:c r="L170" s="16" t="str">
        <x:v>Likely</x:v>
      </x:c>
      <x:c r="M170" s="16" t="str">
        <x:v>Significant</x:v>
      </x:c>
      <x:c r="N170" s="16" t="str">
        <x:v>Critical</x:v>
      </x:c>
    </x:row>
    <x:row r="171" ht="41" customHeight="1">
      <x:c r="A171" s="16" t="str">
        <x:v>RAW-00165</x:v>
      </x:c>
      <x:c r="B171" s="16" t="str">
        <x:v>Observation</x:v>
      </x:c>
      <x:c r="C171" s="16" t="str">
        <x:v>– Column 10. Flaking corrosion at support location. Expansion of steel due to corrosion causing brickwork to crack.</x:v>
      </x:c>
      <x:c r="D171" s="16" t="str">
        <x:v>Rafters</x:v>
      </x:c>
      <x:c r="E171" s="16" t="str">
        <x:v>SRC-007</x:v>
      </x:c>
      <x:c r="F171" s="16" t="str"/>
      <x:c r="G171" s="16" t="str">
        <x:v>审阅或辅助文档</x:v>
      </x:c>
      <x:c r="H171" s="19" t="n">
        <x:v>4</x:v>
      </x:c>
      <x:c r="I171" s="19" t="n">
        <x:v>16</x:v>
      </x:c>
      <x:c r="J171" s="19" t="n">
        <x:v>1</x:v>
      </x:c>
      <x:c r="K171" s="16" t="str">
        <x:v>5. Major deterioration</x:v>
      </x:c>
      <x:c r="L171" s="16" t="str">
        <x:v>Likely</x:v>
      </x:c>
      <x:c r="M171" s="16" t="str">
        <x:v>Significant</x:v>
      </x:c>
      <x:c r="N171" s="16" t="str">
        <x:v>Critical</x:v>
      </x:c>
    </x:row>
    <x:row r="172" ht="37" customHeight="1">
      <x:c r="A172" s="16" t="str">
        <x:v>RAW-00166</x:v>
      </x:c>
      <x:c r="B172" s="16" t="str">
        <x:v>Recommendation</x:v>
      </x:c>
      <x:c r="C172" s="16" t="str">
        <x:v>– Clean, remove corrosion and repaint rafter. Replace brickwork.</x:v>
      </x:c>
      <x:c r="D172" s="16" t="str">
        <x:v>Rafters</x:v>
      </x:c>
      <x:c r="E172" s="16" t="str">
        <x:v>SRC-007</x:v>
      </x:c>
      <x:c r="F172" s="16" t="str"/>
      <x:c r="G172" s="16" t="str">
        <x:v>审阅或辅助文档</x:v>
      </x:c>
      <x:c r="H172" s="19" t="n">
        <x:v>4</x:v>
      </x:c>
      <x:c r="I172" s="19" t="n">
        <x:v>16</x:v>
      </x:c>
      <x:c r="J172" s="19" t="n">
        <x:v>1</x:v>
      </x:c>
      <x:c r="K172" s="16" t="str">
        <x:v>5. Major deterioration</x:v>
      </x:c>
      <x:c r="L172" s="16" t="str">
        <x:v>Likely</x:v>
      </x:c>
      <x:c r="M172" s="16" t="str">
        <x:v>Significant</x:v>
      </x:c>
      <x:c r="N172" s="16" t="str">
        <x:v>Critical</x:v>
      </x:c>
    </x:row>
    <x:row r="173" ht="37" customHeight="1">
      <x:c r="A173" s="16" t="str">
        <x:v>RAW-00167</x:v>
      </x:c>
      <x:c r="B173" s="16" t="str">
        <x:v>Observation</x:v>
      </x:c>
      <x:c r="C173" s="16" t="str">
        <x:v>– Column 8</x:v>
      </x:c>
      <x:c r="D173" s="16" t="str">
        <x:v>Rafters</x:v>
      </x:c>
      <x:c r="E173" s="16" t="str">
        <x:v>SRC-007</x:v>
      </x:c>
      <x:c r="F173" s="16" t="str"/>
      <x:c r="G173" s="16" t="str">
        <x:v>审阅或辅助文档</x:v>
      </x:c>
      <x:c r="H173" s="19" t="n">
        <x:v>4</x:v>
      </x:c>
      <x:c r="I173" s="19" t="n">
        <x:v>17</x:v>
      </x:c>
      <x:c r="J173" s="19" t="n">
        <x:v>1</x:v>
      </x:c>
      <x:c r="K173" s="16" t="str">
        <x:v>5. Major deterioration</x:v>
      </x:c>
      <x:c r="L173" s="16" t="str">
        <x:v>Likely</x:v>
      </x:c>
      <x:c r="M173" s="16" t="str">
        <x:v>Significant</x:v>
      </x:c>
      <x:c r="N173" s="16" t="str">
        <x:v>Critical</x:v>
      </x:c>
    </x:row>
    <x:row r="174" ht="37" customHeight="1">
      <x:c r="A174" s="16" t="str">
        <x:v>RAW-00168</x:v>
      </x:c>
      <x:c r="B174" s="16" t="str">
        <x:v>Recommendation</x:v>
      </x:c>
      <x:c r="C174" s="16" t="str">
        <x:v>– Clean, remove corrosion and repaint rafter. Replace brickwork.</x:v>
      </x:c>
      <x:c r="D174" s="16" t="str">
        <x:v>Rafters</x:v>
      </x:c>
      <x:c r="E174" s="16" t="str">
        <x:v>SRC-007</x:v>
      </x:c>
      <x:c r="F174" s="16" t="str"/>
      <x:c r="G174" s="16" t="str">
        <x:v>审阅或辅助文档</x:v>
      </x:c>
      <x:c r="H174" s="19" t="n">
        <x:v>4</x:v>
      </x:c>
      <x:c r="I174" s="19" t="n">
        <x:v>17</x:v>
      </x:c>
      <x:c r="J174" s="19" t="n">
        <x:v>1</x:v>
      </x:c>
      <x:c r="K174" s="16" t="str">
        <x:v>5. Major deterioration</x:v>
      </x:c>
      <x:c r="L174" s="16" t="str">
        <x:v>Likely</x:v>
      </x:c>
      <x:c r="M174" s="16" t="str">
        <x:v>Significant</x:v>
      </x:c>
      <x:c r="N174" s="16" t="str">
        <x:v>Critical</x:v>
      </x:c>
    </x:row>
    <x:row r="175" ht="37" customHeight="1">
      <x:c r="A175" s="16" t="str">
        <x:v>RAW-00169</x:v>
      </x:c>
      <x:c r="B175" s="16" t="str">
        <x:v>Observation</x:v>
      </x:c>
      <x:c r="C175" s="16" t="str">
        <x:v>– Front fence.</x:v>
      </x:c>
      <x:c r="D175" s="16" t="str">
        <x:v>Fencing posts</x:v>
      </x:c>
      <x:c r="E175" s="16" t="str">
        <x:v>SRC-007</x:v>
      </x:c>
      <x:c r="F175" s="16" t="str">
        <x:v>OBS-0272</x:v>
      </x:c>
      <x:c r="G175" s="16" t="str">
        <x:v>审阅或辅助文档</x:v>
      </x:c>
      <x:c r="H175" s="19" t="n">
        <x:v>5</x:v>
      </x:c>
      <x:c r="I175" s="19" t="n">
        <x:v>6</x:v>
      </x:c>
      <x:c r="J175" s="19" t="n">
        <x:v>1</x:v>
      </x:c>
      <x:c r="K175" s="16" t="str">
        <x:v>5. Major deterioration</x:v>
      </x:c>
      <x:c r="L175" s="16" t="str">
        <x:v>Likely</x:v>
      </x:c>
      <x:c r="M175" s="16" t="str">
        <x:v>Moderate</x:v>
      </x:c>
      <x:c r="N175" s="16" t="str">
        <x:v>High</x:v>
      </x:c>
    </x:row>
    <x:row r="176" ht="37" customHeight="1">
      <x:c r="A176" s="16" t="str">
        <x:v>RAW-00170</x:v>
      </x:c>
      <x:c r="B176" s="16" t="str">
        <x:v>Observation</x:v>
      </x:c>
      <x:c r="C176" s="16" t="str">
        <x:v>– Front fence. Flaking corrosion on fencing post.</x:v>
      </x:c>
      <x:c r="D176" s="16" t="str">
        <x:v>Fencing posts</x:v>
      </x:c>
      <x:c r="E176" s="16" t="str">
        <x:v>SRC-007</x:v>
      </x:c>
      <x:c r="F176" s="16" t="str">
        <x:v>OBS-0273</x:v>
      </x:c>
      <x:c r="G176" s="16" t="str">
        <x:v>审阅或辅助文档</x:v>
      </x:c>
      <x:c r="H176" s="19" t="n">
        <x:v>5</x:v>
      </x:c>
      <x:c r="I176" s="19" t="n">
        <x:v>7</x:v>
      </x:c>
      <x:c r="J176" s="19" t="n">
        <x:v>1</x:v>
      </x:c>
      <x:c r="K176" s="16" t="str">
        <x:v>5. Major deterioration</x:v>
      </x:c>
      <x:c r="L176" s="16" t="str">
        <x:v>Likely</x:v>
      </x:c>
      <x:c r="M176" s="16" t="str">
        <x:v>Moderate</x:v>
      </x:c>
      <x:c r="N176" s="16" t="str">
        <x:v>High</x:v>
      </x:c>
    </x:row>
    <x:row r="177" ht="37" customHeight="1">
      <x:c r="A177" s="16" t="str">
        <x:v>RAW-00171</x:v>
      </x:c>
      <x:c r="B177" s="16" t="str">
        <x:v>Recommendation</x:v>
      </x:c>
      <x:c r="C177" s="16" t="str">
        <x:v>– Clean, remove corrosion and repaint.</x:v>
      </x:c>
      <x:c r="D177" s="16" t="str">
        <x:v>Fencing posts</x:v>
      </x:c>
      <x:c r="E177" s="16" t="str">
        <x:v>SRC-007</x:v>
      </x:c>
      <x:c r="F177" s="16" t="str">
        <x:v>REC-0002</x:v>
      </x:c>
      <x:c r="G177" s="16" t="str">
        <x:v>审阅或辅助文档</x:v>
      </x:c>
      <x:c r="H177" s="19" t="n">
        <x:v>5</x:v>
      </x:c>
      <x:c r="I177" s="19" t="n">
        <x:v>7</x:v>
      </x:c>
      <x:c r="J177" s="19" t="n">
        <x:v>1</x:v>
      </x:c>
      <x:c r="K177" s="16" t="str">
        <x:v>5. Major deterioration</x:v>
      </x:c>
      <x:c r="L177" s="16" t="str">
        <x:v>Likely</x:v>
      </x:c>
      <x:c r="M177" s="16" t="str">
        <x:v>Moderate</x:v>
      </x:c>
      <x:c r="N177" s="16" t="str">
        <x:v>High</x:v>
      </x:c>
    </x:row>
    <x:row r="178" ht="37" customHeight="1">
      <x:c r="A178" s="16" t="str">
        <x:v>RAW-00172</x:v>
      </x:c>
      <x:c r="B178" s="16" t="str">
        <x:v>Observation</x:v>
      </x:c>
      <x:c r="C178" s="16" t="str">
        <x:v>– overview.</x:v>
      </x:c>
      <x:c r="D178" s="16" t="str">
        <x:v>Back verandah columns</x:v>
      </x:c>
      <x:c r="E178" s="16" t="str">
        <x:v>SRC-007</x:v>
      </x:c>
      <x:c r="F178" s="16" t="str">
        <x:v>OBS-0002</x:v>
      </x:c>
      <x:c r="G178" s="16" t="str">
        <x:v>审阅或辅助文档</x:v>
      </x:c>
      <x:c r="H178" s="19" t="n">
        <x:v>6</x:v>
      </x:c>
      <x:c r="I178" s="19" t="n">
        <x:v>6</x:v>
      </x:c>
      <x:c r="J178" s="19" t="n">
        <x:v>1</x:v>
      </x:c>
      <x:c r="K178" s="16" t="str">
        <x:v>4. Moderate deterioration</x:v>
      </x:c>
      <x:c r="L178" s="16" t="str">
        <x:v>Possible</x:v>
      </x:c>
      <x:c r="M178" s="16" t="str">
        <x:v>Moderate</x:v>
      </x:c>
      <x:c r="N178" s="16" t="str">
        <x:v>High</x:v>
      </x:c>
    </x:row>
    <x:row r="179" ht="37" customHeight="1">
      <x:c r="A179" s="16" t="str">
        <x:v>RAW-00173</x:v>
      </x:c>
      <x:c r="B179" s="16" t="str">
        <x:v>Observation</x:v>
      </x:c>
      <x:c r="C179" s="16" t="str">
        <x:v>– Column 9. Vertical crack at lower section. Uneven surface at crack location showing signs of movement.</x:v>
      </x:c>
      <x:c r="D179" s="16" t="str">
        <x:v>Back verandah columns</x:v>
      </x:c>
      <x:c r="E179" s="16" t="str">
        <x:v>SRC-007</x:v>
      </x:c>
      <x:c r="F179" s="16" t="str"/>
      <x:c r="G179" s="16" t="str">
        <x:v>审阅或辅助文档</x:v>
      </x:c>
      <x:c r="H179" s="19" t="n">
        <x:v>6</x:v>
      </x:c>
      <x:c r="I179" s="19" t="n">
        <x:v>7</x:v>
      </x:c>
      <x:c r="J179" s="19" t="n">
        <x:v>1</x:v>
      </x:c>
      <x:c r="K179" s="16" t="str">
        <x:v>4. Moderate deterioration</x:v>
      </x:c>
      <x:c r="L179" s="16" t="str">
        <x:v>Possible</x:v>
      </x:c>
      <x:c r="M179" s="16" t="str">
        <x:v>Moderate</x:v>
      </x:c>
      <x:c r="N179" s="16" t="str">
        <x:v>High</x:v>
      </x:c>
    </x:row>
    <x:row r="180" ht="37" customHeight="1">
      <x:c r="A180" s="16" t="str">
        <x:v>RAW-00174</x:v>
      </x:c>
      <x:c r="B180" s="16" t="str">
        <x:v>Recommendation</x:v>
      </x:c>
      <x:c r="C180" s="16" t="str">
        <x:v>– Monitor cracking. Seal top of column to prevent water ingress.</x:v>
      </x:c>
      <x:c r="D180" s="16" t="str">
        <x:v>Back verandah columns</x:v>
      </x:c>
      <x:c r="E180" s="16" t="str">
        <x:v>SRC-007</x:v>
      </x:c>
      <x:c r="F180" s="16" t="str"/>
      <x:c r="G180" s="16" t="str">
        <x:v>审阅或辅助文档</x:v>
      </x:c>
      <x:c r="H180" s="19" t="n">
        <x:v>6</x:v>
      </x:c>
      <x:c r="I180" s="19" t="n">
        <x:v>7</x:v>
      </x:c>
      <x:c r="J180" s="19" t="n">
        <x:v>1</x:v>
      </x:c>
      <x:c r="K180" s="16" t="str">
        <x:v>4. Moderate deterioration</x:v>
      </x:c>
      <x:c r="L180" s="16" t="str">
        <x:v>Possible</x:v>
      </x:c>
      <x:c r="M180" s="16" t="str">
        <x:v>Moderate</x:v>
      </x:c>
      <x:c r="N180" s="16" t="str">
        <x:v>High</x:v>
      </x:c>
    </x:row>
    <x:row r="181" ht="37" customHeight="1">
      <x:c r="A181" s="16" t="str">
        <x:v>RAW-00175</x:v>
      </x:c>
      <x:c r="B181" s="16" t="str">
        <x:v>Observation</x:v>
      </x:c>
      <x:c r="C181" s="16" t="str">
        <x:v>– Column 8. Vertical crack at lower section. Uneven surface at crack location showing signs of movement.</x:v>
      </x:c>
      <x:c r="D181" s="16" t="str">
        <x:v>Back verandah columns</x:v>
      </x:c>
      <x:c r="E181" s="16" t="str">
        <x:v>SRC-007</x:v>
      </x:c>
      <x:c r="F181" s="16" t="str"/>
      <x:c r="G181" s="16" t="str">
        <x:v>审阅或辅助文档</x:v>
      </x:c>
      <x:c r="H181" s="19" t="n">
        <x:v>6</x:v>
      </x:c>
      <x:c r="I181" s="19" t="n">
        <x:v>8</x:v>
      </x:c>
      <x:c r="J181" s="19" t="n">
        <x:v>1</x:v>
      </x:c>
      <x:c r="K181" s="16" t="str">
        <x:v>4. Moderate deterioration</x:v>
      </x:c>
      <x:c r="L181" s="16" t="str">
        <x:v>Possible</x:v>
      </x:c>
      <x:c r="M181" s="16" t="str">
        <x:v>Moderate</x:v>
      </x:c>
      <x:c r="N181" s="16" t="str">
        <x:v>High</x:v>
      </x:c>
    </x:row>
    <x:row r="182" ht="37" customHeight="1">
      <x:c r="A182" s="16" t="str">
        <x:v>RAW-00176</x:v>
      </x:c>
      <x:c r="B182" s="16" t="str">
        <x:v>Recommendation</x:v>
      </x:c>
      <x:c r="C182" s="16" t="str">
        <x:v>– Monitor cracking. Seal top of column to prevent water ingress.</x:v>
      </x:c>
      <x:c r="D182" s="16" t="str">
        <x:v>Back verandah columns</x:v>
      </x:c>
      <x:c r="E182" s="16" t="str">
        <x:v>SRC-007</x:v>
      </x:c>
      <x:c r="F182" s="16" t="str"/>
      <x:c r="G182" s="16" t="str">
        <x:v>审阅或辅助文档</x:v>
      </x:c>
      <x:c r="H182" s="19" t="n">
        <x:v>6</x:v>
      </x:c>
      <x:c r="I182" s="19" t="n">
        <x:v>8</x:v>
      </x:c>
      <x:c r="J182" s="19" t="n">
        <x:v>1</x:v>
      </x:c>
      <x:c r="K182" s="16" t="str">
        <x:v>4. Moderate deterioration</x:v>
      </x:c>
      <x:c r="L182" s="16" t="str">
        <x:v>Possible</x:v>
      </x:c>
      <x:c r="M182" s="16" t="str">
        <x:v>Moderate</x:v>
      </x:c>
      <x:c r="N182" s="16" t="str">
        <x:v>High</x:v>
      </x:c>
    </x:row>
    <x:row r="183" ht="37" customHeight="1">
      <x:c r="A183" s="16" t="str">
        <x:v>RAW-00177</x:v>
      </x:c>
      <x:c r="B183" s="16" t="str">
        <x:v>Observation</x:v>
      </x:c>
      <x:c r="C183" s="16" t="str">
        <x:v>– Column 7. Vertical crack at lower section. Uneven surface at crack location showing signs of movement.</x:v>
      </x:c>
      <x:c r="D183" s="16" t="str">
        <x:v>Back verandah columns</x:v>
      </x:c>
      <x:c r="E183" s="16" t="str">
        <x:v>SRC-007</x:v>
      </x:c>
      <x:c r="F183" s="16" t="str"/>
      <x:c r="G183" s="16" t="str">
        <x:v>审阅或辅助文档</x:v>
      </x:c>
      <x:c r="H183" s="19" t="n">
        <x:v>6</x:v>
      </x:c>
      <x:c r="I183" s="19" t="n">
        <x:v>9</x:v>
      </x:c>
      <x:c r="J183" s="19" t="n">
        <x:v>1</x:v>
      </x:c>
      <x:c r="K183" s="16" t="str">
        <x:v>4. Moderate deterioration</x:v>
      </x:c>
      <x:c r="L183" s="16" t="str">
        <x:v>Possible</x:v>
      </x:c>
      <x:c r="M183" s="16" t="str">
        <x:v>Moderate</x:v>
      </x:c>
      <x:c r="N183" s="16" t="str">
        <x:v>High</x:v>
      </x:c>
    </x:row>
    <x:row r="184" ht="37" customHeight="1">
      <x:c r="A184" s="16" t="str">
        <x:v>RAW-00178</x:v>
      </x:c>
      <x:c r="B184" s="16" t="str">
        <x:v>Recommendation</x:v>
      </x:c>
      <x:c r="C184" s="16" t="str">
        <x:v>– Monitor cracking. Seal top of column to prevent water ingress.</x:v>
      </x:c>
      <x:c r="D184" s="16" t="str">
        <x:v>Back verandah columns</x:v>
      </x:c>
      <x:c r="E184" s="16" t="str">
        <x:v>SRC-007</x:v>
      </x:c>
      <x:c r="F184" s="16" t="str"/>
      <x:c r="G184" s="16" t="str">
        <x:v>审阅或辅助文档</x:v>
      </x:c>
      <x:c r="H184" s="19" t="n">
        <x:v>6</x:v>
      </x:c>
      <x:c r="I184" s="19" t="n">
        <x:v>9</x:v>
      </x:c>
      <x:c r="J184" s="19" t="n">
        <x:v>1</x:v>
      </x:c>
      <x:c r="K184" s="16" t="str">
        <x:v>4. Moderate deterioration</x:v>
      </x:c>
      <x:c r="L184" s="16" t="str">
        <x:v>Possible</x:v>
      </x:c>
      <x:c r="M184" s="16" t="str">
        <x:v>Moderate</x:v>
      </x:c>
      <x:c r="N184" s="16" t="str">
        <x:v>High</x:v>
      </x:c>
    </x:row>
    <x:row r="185" ht="37" customHeight="1">
      <x:c r="A185" s="16" t="str">
        <x:v>RAW-00179</x:v>
      </x:c>
      <x:c r="B185" s="16" t="str">
        <x:v>Observation</x:v>
      </x:c>
      <x:c r="C185" s="16" t="str">
        <x:v>– Column 6. Settlement of concrete paving observed at this location.</x:v>
      </x:c>
      <x:c r="D185" s="16" t="str">
        <x:v>Back verandah columns</x:v>
      </x:c>
      <x:c r="E185" s="16" t="str">
        <x:v>SRC-007</x:v>
      </x:c>
      <x:c r="F185" s="16" t="str"/>
      <x:c r="G185" s="16" t="str">
        <x:v>审阅或辅助文档</x:v>
      </x:c>
      <x:c r="H185" s="19" t="n">
        <x:v>6</x:v>
      </x:c>
      <x:c r="I185" s="19" t="n">
        <x:v>10</x:v>
      </x:c>
      <x:c r="J185" s="19" t="n">
        <x:v>1</x:v>
      </x:c>
      <x:c r="K185" s="16" t="str">
        <x:v>4. Moderate deterioration</x:v>
      </x:c>
      <x:c r="L185" s="16" t="str">
        <x:v>Possible</x:v>
      </x:c>
      <x:c r="M185" s="16" t="str">
        <x:v>Moderate</x:v>
      </x:c>
      <x:c r="N185" s="16" t="str">
        <x:v>High</x:v>
      </x:c>
    </x:row>
    <x:row r="186" ht="37" customHeight="1">
      <x:c r="A186" s="16" t="str">
        <x:v>RAW-00180</x:v>
      </x:c>
      <x:c r="B186" s="16" t="str">
        <x:v>Recommendation</x:v>
      </x:c>
      <x:c r="C186" s="16" t="str">
        <x:v>– Monitor cracking. Seal top of column to prevent water ingress.</x:v>
      </x:c>
      <x:c r="D186" s="16" t="str">
        <x:v>Back verandah columns</x:v>
      </x:c>
      <x:c r="E186" s="16" t="str">
        <x:v>SRC-007</x:v>
      </x:c>
      <x:c r="F186" s="16" t="str"/>
      <x:c r="G186" s="16" t="str">
        <x:v>审阅或辅助文档</x:v>
      </x:c>
      <x:c r="H186" s="19" t="n">
        <x:v>6</x:v>
      </x:c>
      <x:c r="I186" s="19" t="n">
        <x:v>10</x:v>
      </x:c>
      <x:c r="J186" s="19" t="n">
        <x:v>1</x:v>
      </x:c>
      <x:c r="K186" s="16" t="str">
        <x:v>4. Moderate deterioration</x:v>
      </x:c>
      <x:c r="L186" s="16" t="str">
        <x:v>Possible</x:v>
      </x:c>
      <x:c r="M186" s="16" t="str">
        <x:v>Moderate</x:v>
      </x:c>
      <x:c r="N186" s="16" t="str">
        <x:v>High</x:v>
      </x:c>
    </x:row>
    <x:row r="187" ht="37" customHeight="1">
      <x:c r="A187" s="16" t="str">
        <x:v>RAW-00181</x:v>
      </x:c>
      <x:c r="B187" s="16" t="str">
        <x:v>Observation</x:v>
      </x:c>
      <x:c r="C187" s="16" t="str">
        <x:v>– Smooth crack Column 6</x:v>
      </x:c>
      <x:c r="D187" s="16" t="str">
        <x:v>Back verandah columns</x:v>
      </x:c>
      <x:c r="E187" s="16" t="str">
        <x:v>SRC-007</x:v>
      </x:c>
      <x:c r="F187" s="16" t="str"/>
      <x:c r="G187" s="16" t="str">
        <x:v>审阅或辅助文档</x:v>
      </x:c>
      <x:c r="H187" s="19" t="n">
        <x:v>6</x:v>
      </x:c>
      <x:c r="I187" s="19" t="n">
        <x:v>11</x:v>
      </x:c>
      <x:c r="J187" s="19" t="n">
        <x:v>1</x:v>
      </x:c>
      <x:c r="K187" s="16" t="str">
        <x:v>4. Moderate deterioration</x:v>
      </x:c>
      <x:c r="L187" s="16" t="str">
        <x:v>Possible</x:v>
      </x:c>
      <x:c r="M187" s="16" t="str">
        <x:v>Moderate</x:v>
      </x:c>
      <x:c r="N187" s="16" t="str">
        <x:v>High</x:v>
      </x:c>
    </x:row>
    <x:row r="188" ht="37" customHeight="1">
      <x:c r="A188" s="16" t="str">
        <x:v>RAW-00182</x:v>
      </x:c>
      <x:c r="B188" s="16" t="str">
        <x:v>Recommendation</x:v>
      </x:c>
      <x:c r="C188" s="16" t="str">
        <x:v>– Monitor cracking. Seal top of column to prevent water ingress.</x:v>
      </x:c>
      <x:c r="D188" s="16" t="str">
        <x:v>Back verandah columns</x:v>
      </x:c>
      <x:c r="E188" s="16" t="str">
        <x:v>SRC-007</x:v>
      </x:c>
      <x:c r="F188" s="16" t="str"/>
      <x:c r="G188" s="16" t="str">
        <x:v>审阅或辅助文档</x:v>
      </x:c>
      <x:c r="H188" s="19" t="n">
        <x:v>6</x:v>
      </x:c>
      <x:c r="I188" s="19" t="n">
        <x:v>11</x:v>
      </x:c>
      <x:c r="J188" s="19" t="n">
        <x:v>1</x:v>
      </x:c>
      <x:c r="K188" s="16" t="str">
        <x:v>4. Moderate deterioration</x:v>
      </x:c>
      <x:c r="L188" s="16" t="str">
        <x:v>Possible</x:v>
      </x:c>
      <x:c r="M188" s="16" t="str">
        <x:v>Moderate</x:v>
      </x:c>
      <x:c r="N188" s="16" t="str">
        <x:v>High</x:v>
      </x:c>
    </x:row>
    <x:row r="189" ht="37" customHeight="1">
      <x:c r="A189" s="16" t="str">
        <x:v>RAW-00183</x:v>
      </x:c>
      <x:c r="B189" s="16" t="str">
        <x:v>Observation</x:v>
      </x:c>
      <x:c r="C189" s="16" t="str">
        <x:v>– Column 5. Cracking at lower section of column. Settlement of paving observed at this location.</x:v>
      </x:c>
      <x:c r="D189" s="16" t="str">
        <x:v>Back verandah columns</x:v>
      </x:c>
      <x:c r="E189" s="16" t="str">
        <x:v>SRC-007</x:v>
      </x:c>
      <x:c r="F189" s="16" t="str"/>
      <x:c r="G189" s="16" t="str">
        <x:v>审阅或辅助文档</x:v>
      </x:c>
      <x:c r="H189" s="19" t="n">
        <x:v>6</x:v>
      </x:c>
      <x:c r="I189" s="19" t="n">
        <x:v>12</x:v>
      </x:c>
      <x:c r="J189" s="19" t="n">
        <x:v>1</x:v>
      </x:c>
      <x:c r="K189" s="16" t="str">
        <x:v>4. Moderate deterioration</x:v>
      </x:c>
      <x:c r="L189" s="16" t="str">
        <x:v>Possible</x:v>
      </x:c>
      <x:c r="M189" s="16" t="str">
        <x:v>Moderate</x:v>
      </x:c>
      <x:c r="N189" s="16" t="str">
        <x:v>High</x:v>
      </x:c>
    </x:row>
    <x:row r="190" ht="37" customHeight="1">
      <x:c r="A190" s="16" t="str">
        <x:v>RAW-00184</x:v>
      </x:c>
      <x:c r="B190" s="16" t="str">
        <x:v>Recommendation</x:v>
      </x:c>
      <x:c r="C190" s="16" t="str">
        <x:v>– Monitor cracking. Seal top of column to prevent water ingress.</x:v>
      </x:c>
      <x:c r="D190" s="16" t="str">
        <x:v>Back verandah columns</x:v>
      </x:c>
      <x:c r="E190" s="16" t="str">
        <x:v>SRC-007</x:v>
      </x:c>
      <x:c r="F190" s="16" t="str"/>
      <x:c r="G190" s="16" t="str">
        <x:v>审阅或辅助文档</x:v>
      </x:c>
      <x:c r="H190" s="19" t="n">
        <x:v>6</x:v>
      </x:c>
      <x:c r="I190" s="19" t="n">
        <x:v>12</x:v>
      </x:c>
      <x:c r="J190" s="19" t="n">
        <x:v>1</x:v>
      </x:c>
      <x:c r="K190" s="16" t="str">
        <x:v>4. Moderate deterioration</x:v>
      </x:c>
      <x:c r="L190" s="16" t="str">
        <x:v>Possible</x:v>
      </x:c>
      <x:c r="M190" s="16" t="str">
        <x:v>Moderate</x:v>
      </x:c>
      <x:c r="N190" s="16" t="str">
        <x:v>High</x:v>
      </x:c>
    </x:row>
    <x:row r="191" ht="41" customHeight="1">
      <x:c r="A191" s="16" t="str">
        <x:v>RAW-00185</x:v>
      </x:c>
      <x:c r="B191" s="16" t="str">
        <x:v>Observation</x:v>
      </x:c>
      <x:c r="C191" s="16" t="str">
        <x:v>– Left hand side facing front of the house. The supporting sand beneath the footpath has been displaced due to erosion.</x:v>
      </x:c>
      <x:c r="D191" s="16" t="str">
        <x:v>Concrete footpath</x:v>
      </x:c>
      <x:c r="E191" s="16" t="str">
        <x:v>SRC-007</x:v>
      </x:c>
      <x:c r="F191" s="16" t="str"/>
      <x:c r="G191" s="16" t="str">
        <x:v>审阅或辅助文档</x:v>
      </x:c>
      <x:c r="H191" s="19" t="n">
        <x:v>7</x:v>
      </x:c>
      <x:c r="I191" s="19" t="n">
        <x:v>6</x:v>
      </x:c>
      <x:c r="J191" s="19" t="n">
        <x:v>1</x:v>
      </x:c>
      <x:c r="K191" s="16" t="str">
        <x:v>5. Major deterioration</x:v>
      </x:c>
      <x:c r="L191" s="16" t="str">
        <x:v>Likely</x:v>
      </x:c>
      <x:c r="M191" s="16" t="str">
        <x:v>Minor</x:v>
      </x:c>
      <x:c r="N191" s="16" t="str">
        <x:v>Moderate</x:v>
      </x:c>
    </x:row>
    <x:row r="192" ht="37" customHeight="1">
      <x:c r="A192" s="16" t="str">
        <x:v>RAW-00186</x:v>
      </x:c>
      <x:c r="B192" s="16" t="str">
        <x:v>Recommendation</x:v>
      </x:c>
      <x:c r="C192" s="16" t="str">
        <x:v>– Fill void with sand.</x:v>
      </x:c>
      <x:c r="D192" s="16" t="str">
        <x:v>Concrete footpath</x:v>
      </x:c>
      <x:c r="E192" s="16" t="str">
        <x:v>SRC-007</x:v>
      </x:c>
      <x:c r="F192" s="16" t="str"/>
      <x:c r="G192" s="16" t="str">
        <x:v>审阅或辅助文档</x:v>
      </x:c>
      <x:c r="H192" s="19" t="n">
        <x:v>7</x:v>
      </x:c>
      <x:c r="I192" s="19" t="n">
        <x:v>6</x:v>
      </x:c>
      <x:c r="J192" s="19" t="n">
        <x:v>1</x:v>
      </x:c>
      <x:c r="K192" s="16" t="str">
        <x:v>5. Major deterioration</x:v>
      </x:c>
      <x:c r="L192" s="16" t="str">
        <x:v>Likely</x:v>
      </x:c>
      <x:c r="M192" s="16" t="str">
        <x:v>Minor</x:v>
      </x:c>
      <x:c r="N192" s="16" t="str">
        <x:v>Moderate</x:v>
      </x:c>
    </x:row>
    <x:row r="193" ht="41" customHeight="1">
      <x:c r="A193" s="16" t="str">
        <x:v>RAW-00187</x:v>
      </x:c>
      <x:c r="B193" s="16" t="str">
        <x:v>Observation</x:v>
      </x:c>
      <x:c r="C193" s="16" t="str">
        <x:v>– Left hand side facing front of the house. The supporting sand beneath the footpath has been displaced due to erosion.</x:v>
      </x:c>
      <x:c r="D193" s="16" t="str">
        <x:v>Concrete footpath</x:v>
      </x:c>
      <x:c r="E193" s="16" t="str">
        <x:v>SRC-007</x:v>
      </x:c>
      <x:c r="F193" s="16" t="str"/>
      <x:c r="G193" s="16" t="str">
        <x:v>审阅或辅助文档</x:v>
      </x:c>
      <x:c r="H193" s="19" t="n">
        <x:v>7</x:v>
      </x:c>
      <x:c r="I193" s="19" t="n">
        <x:v>7</x:v>
      </x:c>
      <x:c r="J193" s="19" t="n">
        <x:v>1</x:v>
      </x:c>
      <x:c r="K193" s="16" t="str">
        <x:v>5. Major deterioration</x:v>
      </x:c>
      <x:c r="L193" s="16" t="str">
        <x:v>Likely</x:v>
      </x:c>
      <x:c r="M193" s="16" t="str">
        <x:v>Minor</x:v>
      </x:c>
      <x:c r="N193" s="16" t="str">
        <x:v>Moderate</x:v>
      </x:c>
    </x:row>
    <x:row r="194" ht="37" customHeight="1">
      <x:c r="A194" s="16" t="str">
        <x:v>RAW-00188</x:v>
      </x:c>
      <x:c r="B194" s="16" t="str">
        <x:v>Recommendation</x:v>
      </x:c>
      <x:c r="C194" s="16" t="str">
        <x:v>– Fill void with sand.</x:v>
      </x:c>
      <x:c r="D194" s="16" t="str">
        <x:v>Concrete footpath</x:v>
      </x:c>
      <x:c r="E194" s="16" t="str">
        <x:v>SRC-007</x:v>
      </x:c>
      <x:c r="F194" s="16" t="str"/>
      <x:c r="G194" s="16" t="str">
        <x:v>审阅或辅助文档</x:v>
      </x:c>
      <x:c r="H194" s="19" t="n">
        <x:v>7</x:v>
      </x:c>
      <x:c r="I194" s="19" t="n">
        <x:v>7</x:v>
      </x:c>
      <x:c r="J194" s="19" t="n">
        <x:v>1</x:v>
      </x:c>
      <x:c r="K194" s="16" t="str">
        <x:v>5. Major deterioration</x:v>
      </x:c>
      <x:c r="L194" s="16" t="str">
        <x:v>Likely</x:v>
      </x:c>
      <x:c r="M194" s="16" t="str">
        <x:v>Minor</x:v>
      </x:c>
      <x:c r="N194" s="16" t="str">
        <x:v>Moderate</x:v>
      </x:c>
    </x:row>
    <x:row r="195" ht="41" customHeight="1">
      <x:c r="A195" s="16" t="str">
        <x:v>RAW-00189</x:v>
      </x:c>
      <x:c r="B195" s="16" t="str">
        <x:v>Observation</x:v>
      </x:c>
      <x:c r="C195" s="16" t="str">
        <x:v>– Left hand side facing front of the house. The supporting sand beneath the footpath has been displaced due to erosion.</x:v>
      </x:c>
      <x:c r="D195" s="16" t="str">
        <x:v>Concrete footpath</x:v>
      </x:c>
      <x:c r="E195" s="16" t="str">
        <x:v>SRC-007</x:v>
      </x:c>
      <x:c r="F195" s="16" t="str"/>
      <x:c r="G195" s="16" t="str">
        <x:v>审阅或辅助文档</x:v>
      </x:c>
      <x:c r="H195" s="19" t="n">
        <x:v>7</x:v>
      </x:c>
      <x:c r="I195" s="19" t="n">
        <x:v>8</x:v>
      </x:c>
      <x:c r="J195" s="19" t="n">
        <x:v>1</x:v>
      </x:c>
      <x:c r="K195" s="16" t="str">
        <x:v>5. Major deterioration</x:v>
      </x:c>
      <x:c r="L195" s="16" t="str">
        <x:v>Likely</x:v>
      </x:c>
      <x:c r="M195" s="16" t="str">
        <x:v>Minor</x:v>
      </x:c>
      <x:c r="N195" s="16" t="str">
        <x:v>Moderate</x:v>
      </x:c>
    </x:row>
    <x:row r="196" ht="37" customHeight="1">
      <x:c r="A196" s="16" t="str">
        <x:v>RAW-00190</x:v>
      </x:c>
      <x:c r="B196" s="16" t="str">
        <x:v>Recommendation</x:v>
      </x:c>
      <x:c r="C196" s="16" t="str">
        <x:v>– Fill void with sand.</x:v>
      </x:c>
      <x:c r="D196" s="16" t="str">
        <x:v>Concrete footpath</x:v>
      </x:c>
      <x:c r="E196" s="16" t="str">
        <x:v>SRC-007</x:v>
      </x:c>
      <x:c r="F196" s="16" t="str"/>
      <x:c r="G196" s="16" t="str">
        <x:v>审阅或辅助文档</x:v>
      </x:c>
      <x:c r="H196" s="19" t="n">
        <x:v>7</x:v>
      </x:c>
      <x:c r="I196" s="19" t="n">
        <x:v>8</x:v>
      </x:c>
      <x:c r="J196" s="19" t="n">
        <x:v>1</x:v>
      </x:c>
      <x:c r="K196" s="16" t="str">
        <x:v>5. Major deterioration</x:v>
      </x:c>
      <x:c r="L196" s="16" t="str">
        <x:v>Likely</x:v>
      </x:c>
      <x:c r="M196" s="16" t="str">
        <x:v>Minor</x:v>
      </x:c>
      <x:c r="N196" s="16" t="str">
        <x:v>Moderate</x:v>
      </x:c>
    </x:row>
    <x:row r="197" ht="41" customHeight="1">
      <x:c r="A197" s="16" t="str">
        <x:v>RAW-00191</x:v>
      </x:c>
      <x:c r="B197" s="16" t="str">
        <x:v>Observation</x:v>
      </x:c>
      <x:c r="C197" s="16" t="str">
        <x:v>– Right hand side facing front of the house. The supporting sand beneath the footpath has been displaced due to erosion.</x:v>
      </x:c>
      <x:c r="D197" s="16" t="str">
        <x:v>Concrete footpath</x:v>
      </x:c>
      <x:c r="E197" s="16" t="str">
        <x:v>SRC-007</x:v>
      </x:c>
      <x:c r="F197" s="16" t="str"/>
      <x:c r="G197" s="16" t="str">
        <x:v>审阅或辅助文档</x:v>
      </x:c>
      <x:c r="H197" s="19" t="n">
        <x:v>7</x:v>
      </x:c>
      <x:c r="I197" s="19" t="n">
        <x:v>9</x:v>
      </x:c>
      <x:c r="J197" s="19" t="n">
        <x:v>1</x:v>
      </x:c>
      <x:c r="K197" s="16" t="str">
        <x:v>5. Major deterioration</x:v>
      </x:c>
      <x:c r="L197" s="16" t="str">
        <x:v>Likely</x:v>
      </x:c>
      <x:c r="M197" s="16" t="str">
        <x:v>Minor</x:v>
      </x:c>
      <x:c r="N197" s="16" t="str">
        <x:v>Moderate</x:v>
      </x:c>
    </x:row>
    <x:row r="198" ht="37" customHeight="1">
      <x:c r="A198" s="16" t="str">
        <x:v>RAW-00192</x:v>
      </x:c>
      <x:c r="B198" s="16" t="str">
        <x:v>Observation</x:v>
      </x:c>
      <x:c r="C198" s="16" t="str">
        <x:v>– Honeycombing and loss of material towards lower section of slab.</x:v>
      </x:c>
      <x:c r="D198" s="16" t="str">
        <x:v>Slab</x:v>
      </x:c>
      <x:c r="E198" s="16" t="str">
        <x:v>SRC-007</x:v>
      </x:c>
      <x:c r="F198" s="16" t="str">
        <x:v>OBS-0331</x:v>
      </x:c>
      <x:c r="G198" s="16" t="str">
        <x:v>审阅或辅助文档</x:v>
      </x:c>
      <x:c r="H198" s="19" t="n">
        <x:v>8</x:v>
      </x:c>
      <x:c r="I198" s="19" t="n">
        <x:v>6</x:v>
      </x:c>
      <x:c r="J198" s="19" t="n">
        <x:v>1</x:v>
      </x:c>
      <x:c r="K198" s="16" t="str">
        <x:v>3. Minor deterioration</x:v>
      </x:c>
      <x:c r="L198" s="16" t="str">
        <x:v>Unlikely</x:v>
      </x:c>
      <x:c r="M198" s="16" t="str">
        <x:v>Significant</x:v>
      </x:c>
      <x:c r="N198" s="16" t="str">
        <x:v>Moderate</x:v>
      </x:c>
    </x:row>
    <x:row r="199" ht="37" customHeight="1">
      <x:c r="A199" s="16" t="str">
        <x:v>RAW-00193</x:v>
      </x:c>
      <x:c r="B199" s="16" t="str">
        <x:v>Recommendation</x:v>
      </x:c>
      <x:c r="C199" s="16" t="str">
        <x:v>– Patch up voids.</x:v>
      </x:c>
      <x:c r="D199" s="16" t="str">
        <x:v>Slab</x:v>
      </x:c>
      <x:c r="E199" s="16" t="str">
        <x:v>SRC-007</x:v>
      </x:c>
      <x:c r="F199" s="16" t="str"/>
      <x:c r="G199" s="16" t="str">
        <x:v>审阅或辅助文档</x:v>
      </x:c>
      <x:c r="H199" s="19" t="n">
        <x:v>8</x:v>
      </x:c>
      <x:c r="I199" s="19" t="n">
        <x:v>6</x:v>
      </x:c>
      <x:c r="J199" s="19" t="n">
        <x:v>1</x:v>
      </x:c>
      <x:c r="K199" s="16" t="str">
        <x:v>3. Minor deterioration</x:v>
      </x:c>
      <x:c r="L199" s="16" t="str">
        <x:v>Unlikely</x:v>
      </x:c>
      <x:c r="M199" s="16" t="str">
        <x:v>Significant</x:v>
      </x:c>
      <x:c r="N199" s="16" t="str">
        <x:v>Moderate</x:v>
      </x:c>
    </x:row>
    <x:row r="200" ht="37" customHeight="1">
      <x:c r="A200" s="16" t="str">
        <x:v>RAW-00194</x:v>
      </x:c>
      <x:c r="B200" s="16" t="str">
        <x:v>Observation</x:v>
      </x:c>
      <x:c r="C200" s="16" t="str">
        <x:v>– Honeycombing and loss of material towards lower section of slab.</x:v>
      </x:c>
      <x:c r="D200" s="16" t="str">
        <x:v>Slab</x:v>
      </x:c>
      <x:c r="E200" s="16" t="str">
        <x:v>SRC-007</x:v>
      </x:c>
      <x:c r="F200" s="16" t="str">
        <x:v>OBS-0331</x:v>
      </x:c>
      <x:c r="G200" s="16" t="str">
        <x:v>审阅或辅助文档</x:v>
      </x:c>
      <x:c r="H200" s="19" t="n">
        <x:v>8</x:v>
      </x:c>
      <x:c r="I200" s="19" t="n">
        <x:v>7</x:v>
      </x:c>
      <x:c r="J200" s="19" t="n">
        <x:v>1</x:v>
      </x:c>
      <x:c r="K200" s="16" t="str">
        <x:v>3. Minor deterioration</x:v>
      </x:c>
      <x:c r="L200" s="16" t="str">
        <x:v>Unlikely</x:v>
      </x:c>
      <x:c r="M200" s="16" t="str">
        <x:v>Significant</x:v>
      </x:c>
      <x:c r="N200" s="16" t="str">
        <x:v>Moderate</x:v>
      </x:c>
    </x:row>
    <x:row r="201" ht="37" customHeight="1">
      <x:c r="A201" s="16" t="str">
        <x:v>RAW-00195</x:v>
      </x:c>
      <x:c r="B201" s="16" t="str">
        <x:v>Recommendation</x:v>
      </x:c>
      <x:c r="C201" s="16" t="str">
        <x:v>– Patch up voids.</x:v>
      </x:c>
      <x:c r="D201" s="16" t="str">
        <x:v>Slab</x:v>
      </x:c>
      <x:c r="E201" s="16" t="str">
        <x:v>SRC-007</x:v>
      </x:c>
      <x:c r="F201" s="16" t="str"/>
      <x:c r="G201" s="16" t="str">
        <x:v>审阅或辅助文档</x:v>
      </x:c>
      <x:c r="H201" s="19" t="n">
        <x:v>8</x:v>
      </x:c>
      <x:c r="I201" s="19" t="n">
        <x:v>7</x:v>
      </x:c>
      <x:c r="J201" s="19" t="n">
        <x:v>1</x:v>
      </x:c>
      <x:c r="K201" s="16" t="str">
        <x:v>3. Minor deterioration</x:v>
      </x:c>
      <x:c r="L201" s="16" t="str">
        <x:v>Unlikely</x:v>
      </x:c>
      <x:c r="M201" s="16" t="str">
        <x:v>Significant</x:v>
      </x:c>
      <x:c r="N201" s="16" t="str">
        <x:v>Moderate</x:v>
      </x:c>
    </x:row>
    <x:row r="202" ht="37" customHeight="1">
      <x:c r="A202" s="16" t="str">
        <x:v>RAW-00196</x:v>
      </x:c>
      <x:c r="B202" s="16" t="str">
        <x:v>Observation</x:v>
      </x:c>
      <x:c r="C202" s="16" t="str">
        <x:v>– Cracking on brickwork to full height. The crack widens at the bottom and tapers towards the top.</x:v>
      </x:c>
      <x:c r="D202" s="16" t="str">
        <x:v>Brick wall</x:v>
      </x:c>
      <x:c r="E202" s="16" t="str">
        <x:v>SRC-007</x:v>
      </x:c>
      <x:c r="F202" s="16" t="str">
        <x:v>OBS-0241</x:v>
      </x:c>
      <x:c r="G202" s="16" t="str">
        <x:v>审阅或辅助文档</x:v>
      </x:c>
      <x:c r="H202" s="19" t="n">
        <x:v>9</x:v>
      </x:c>
      <x:c r="I202" s="19" t="n">
        <x:v>6</x:v>
      </x:c>
      <x:c r="J202" s="19" t="n">
        <x:v>1</x:v>
      </x:c>
      <x:c r="K202" s="16" t="str">
        <x:v>3. Minor deterioration</x:v>
      </x:c>
      <x:c r="L202" s="16" t="str">
        <x:v>Unlikely</x:v>
      </x:c>
      <x:c r="M202" s="16" t="str">
        <x:v>Significant</x:v>
      </x:c>
      <x:c r="N202" s="16" t="str">
        <x:v>Moderate</x:v>
      </x:c>
    </x:row>
    <x:row r="203" ht="37" customHeight="1">
      <x:c r="A203" s="16" t="str">
        <x:v>RAW-00197</x:v>
      </x:c>
      <x:c r="B203" s="16" t="str">
        <x:v>Recommendation</x:v>
      </x:c>
      <x:c r="C203" s="16" t="str">
        <x:v>– Clean, remove corrosion and repaint.</x:v>
      </x:c>
      <x:c r="D203" s="16" t="str">
        <x:v>Brick wall</x:v>
      </x:c>
      <x:c r="E203" s="16" t="str">
        <x:v>SRC-007</x:v>
      </x:c>
      <x:c r="F203" s="16" t="str">
        <x:v>REC-0002</x:v>
      </x:c>
      <x:c r="G203" s="16" t="str">
        <x:v>审阅或辅助文档</x:v>
      </x:c>
      <x:c r="H203" s="19" t="n">
        <x:v>9</x:v>
      </x:c>
      <x:c r="I203" s="19" t="n">
        <x:v>6</x:v>
      </x:c>
      <x:c r="J203" s="19" t="n">
        <x:v>1</x:v>
      </x:c>
      <x:c r="K203" s="16" t="str">
        <x:v>3. Minor deterioration</x:v>
      </x:c>
      <x:c r="L203" s="16" t="str">
        <x:v>Unlikely</x:v>
      </x:c>
      <x:c r="M203" s="16" t="str">
        <x:v>Significant</x:v>
      </x:c>
      <x:c r="N203" s="16" t="str">
        <x:v>Moderate</x:v>
      </x:c>
    </x:row>
    <x:row r="204" ht="37" customHeight="1">
      <x:c r="A204" s="16" t="str">
        <x:v>RAW-00198</x:v>
      </x:c>
      <x:c r="B204" s="16" t="str">
        <x:v>Observation</x:v>
      </x:c>
      <x:c r="C204" s="16" t="str">
        <x:v>– Cracking on brickwork to full height. Uneven surface at crack location showing signs of movement.</x:v>
      </x:c>
      <x:c r="D204" s="16" t="str">
        <x:v>Brick wall</x:v>
      </x:c>
      <x:c r="E204" s="16" t="str">
        <x:v>SRC-007</x:v>
      </x:c>
      <x:c r="F204" s="16" t="str"/>
      <x:c r="G204" s="16" t="str">
        <x:v>审阅或辅助文档</x:v>
      </x:c>
      <x:c r="H204" s="19" t="n">
        <x:v>9</x:v>
      </x:c>
      <x:c r="I204" s="19" t="n">
        <x:v>8</x:v>
      </x:c>
      <x:c r="J204" s="19" t="n">
        <x:v>1</x:v>
      </x:c>
      <x:c r="K204" s="16" t="str">
        <x:v>3. Minor deterioration</x:v>
      </x:c>
      <x:c r="L204" s="16" t="str">
        <x:v>Unlikely</x:v>
      </x:c>
      <x:c r="M204" s="16" t="str">
        <x:v>Significant</x:v>
      </x:c>
      <x:c r="N204" s="16" t="str">
        <x:v>Moderate</x:v>
      </x:c>
    </x:row>
    <x:row r="205" ht="37" customHeight="1">
      <x:c r="A205" s="16" t="str">
        <x:v>RAW-00199</x:v>
      </x:c>
      <x:c r="B205" s="16" t="str">
        <x:v>Observation</x:v>
      </x:c>
      <x:c r="C205" s="16" t="str">
        <x:v>– Cracking on brickwork to full height.</x:v>
      </x:c>
      <x:c r="D205" s="16" t="str">
        <x:v>Brick wall</x:v>
      </x:c>
      <x:c r="E205" s="16" t="str">
        <x:v>SRC-007</x:v>
      </x:c>
      <x:c r="F205" s="16" t="str"/>
      <x:c r="G205" s="16" t="str">
        <x:v>审阅或辅助文档</x:v>
      </x:c>
      <x:c r="H205" s="19" t="n">
        <x:v>9</x:v>
      </x:c>
      <x:c r="I205" s="19" t="n">
        <x:v>9</x:v>
      </x:c>
      <x:c r="J205" s="19" t="n">
        <x:v>1</x:v>
      </x:c>
      <x:c r="K205" s="16" t="str">
        <x:v>3. Minor deterioration</x:v>
      </x:c>
      <x:c r="L205" s="16" t="str">
        <x:v>Unlikely</x:v>
      </x:c>
      <x:c r="M205" s="16" t="str">
        <x:v>Significant</x:v>
      </x:c>
      <x:c r="N205" s="16" t="str">
        <x:v>Moderate</x:v>
      </x:c>
    </x:row>
    <x:row r="206" ht="37" customHeight="1">
      <x:c r="A206" s="16" t="str">
        <x:v>RAW-00200</x:v>
      </x:c>
      <x:c r="B206" s="16" t="str">
        <x:v>Recommendation</x:v>
      </x:c>
      <x:c r="C206" s="16" t="str">
        <x:v>– Monitor cracking.</x:v>
      </x:c>
      <x:c r="D206" s="16" t="str">
        <x:v>Brick wall</x:v>
      </x:c>
      <x:c r="E206" s="16" t="str">
        <x:v>SRC-007</x:v>
      </x:c>
      <x:c r="F206" s="16" t="str">
        <x:v>REC-0111</x:v>
      </x:c>
      <x:c r="G206" s="16" t="str">
        <x:v>审阅或辅助文档</x:v>
      </x:c>
      <x:c r="H206" s="19" t="n">
        <x:v>9</x:v>
      </x:c>
      <x:c r="I206" s="19" t="n">
        <x:v>9</x:v>
      </x:c>
      <x:c r="J206" s="19" t="n">
        <x:v>1</x:v>
      </x:c>
      <x:c r="K206" s="16" t="str">
        <x:v>3. Minor deterioration</x:v>
      </x:c>
      <x:c r="L206" s="16" t="str">
        <x:v>Unlikely</x:v>
      </x:c>
      <x:c r="M206" s="16" t="str">
        <x:v>Significant</x:v>
      </x:c>
      <x:c r="N206" s="16" t="str">
        <x:v>Moderate</x:v>
      </x:c>
    </x:row>
    <x:row r="207" ht="37" customHeight="1">
      <x:c r="A207" s="16" t="str">
        <x:v>RAW-00201</x:v>
      </x:c>
      <x:c r="B207" s="16" t="str">
        <x:v>Observation</x:v>
      </x:c>
      <x:c r="C207" s="16" t="str">
        <x:v>– Right hand side facing front of house. Timber fascia board splitting.</x:v>
      </x:c>
      <x:c r="D207" s="16" t="str">
        <x:v>Fascia board</x:v>
      </x:c>
      <x:c r="E207" s="16" t="str">
        <x:v>SRC-007</x:v>
      </x:c>
      <x:c r="F207" s="16" t="str">
        <x:v>OBS-0482</x:v>
      </x:c>
      <x:c r="G207" s="16" t="str">
        <x:v>审阅或辅助文档</x:v>
      </x:c>
      <x:c r="H207" s="19" t="n">
        <x:v>10</x:v>
      </x:c>
      <x:c r="I207" s="19" t="n">
        <x:v>6</x:v>
      </x:c>
      <x:c r="J207" s="19" t="n">
        <x:v>1</x:v>
      </x:c>
      <x:c r="K207" s="16" t="str">
        <x:v>5. Major deterioration</x:v>
      </x:c>
      <x:c r="L207" s="16" t="str">
        <x:v>Likely</x:v>
      </x:c>
      <x:c r="M207" s="16" t="str">
        <x:v>Negligible</x:v>
      </x:c>
      <x:c r="N207" s="16" t="str">
        <x:v>Low</x:v>
      </x:c>
    </x:row>
    <x:row r="208" ht="37" customHeight="1">
      <x:c r="A208" s="16" t="str">
        <x:v>RAW-00202</x:v>
      </x:c>
      <x:c r="B208" s="16" t="str">
        <x:v>Recommendation</x:v>
      </x:c>
      <x:c r="C208" s="16" t="str">
        <x:v>– Replace fascia board.</x:v>
      </x:c>
      <x:c r="D208" s="16" t="str">
        <x:v>Fascia board</x:v>
      </x:c>
      <x:c r="E208" s="16" t="str">
        <x:v>SRC-007</x:v>
      </x:c>
      <x:c r="F208" s="16" t="str">
        <x:v>REC-0041</x:v>
      </x:c>
      <x:c r="G208" s="16" t="str">
        <x:v>审阅或辅助文档</x:v>
      </x:c>
      <x:c r="H208" s="19" t="n">
        <x:v>10</x:v>
      </x:c>
      <x:c r="I208" s="19" t="n">
        <x:v>6</x:v>
      </x:c>
      <x:c r="J208" s="19" t="n">
        <x:v>1</x:v>
      </x:c>
      <x:c r="K208" s="16" t="str">
        <x:v>5. Major deterioration</x:v>
      </x:c>
      <x:c r="L208" s="16" t="str">
        <x:v>Likely</x:v>
      </x:c>
      <x:c r="M208" s="16" t="str">
        <x:v>Negligible</x:v>
      </x:c>
      <x:c r="N208" s="16" t="str">
        <x:v>Low</x:v>
      </x:c>
    </x:row>
    <x:row r="209" ht="37" customHeight="1">
      <x:c r="A209" s="16" t="str">
        <x:v>RAW-00203</x:v>
      </x:c>
      <x:c r="B209" s="16" t="str">
        <x:v>Observation</x:v>
      </x:c>
      <x:c r="C209" s="16" t="str">
        <x:v>– Right hand side facing front of house. Timber fascia board splitting.</x:v>
      </x:c>
      <x:c r="D209" s="16" t="str">
        <x:v>Fascia board</x:v>
      </x:c>
      <x:c r="E209" s="16" t="str">
        <x:v>SRC-007</x:v>
      </x:c>
      <x:c r="F209" s="16" t="str">
        <x:v>OBS-0482</x:v>
      </x:c>
      <x:c r="G209" s="16" t="str">
        <x:v>审阅或辅助文档</x:v>
      </x:c>
      <x:c r="H209" s="19" t="n">
        <x:v>10</x:v>
      </x:c>
      <x:c r="I209" s="19" t="n">
        <x:v>7</x:v>
      </x:c>
      <x:c r="J209" s="19" t="n">
        <x:v>1</x:v>
      </x:c>
      <x:c r="K209" s="16" t="str">
        <x:v>5. Major deterioration</x:v>
      </x:c>
      <x:c r="L209" s="16" t="str">
        <x:v>Likely</x:v>
      </x:c>
      <x:c r="M209" s="16" t="str">
        <x:v>Negligible</x:v>
      </x:c>
      <x:c r="N209" s="16" t="str">
        <x:v>Low</x:v>
      </x:c>
    </x:row>
    <x:row r="210" ht="37" customHeight="1">
      <x:c r="A210" s="16" t="str">
        <x:v>RAW-00204</x:v>
      </x:c>
      <x:c r="B210" s="16" t="str">
        <x:v>Recommendation</x:v>
      </x:c>
      <x:c r="C210" s="16" t="str">
        <x:v>– Replace fascia board.</x:v>
      </x:c>
      <x:c r="D210" s="16" t="str">
        <x:v>Fascia board</x:v>
      </x:c>
      <x:c r="E210" s="16" t="str">
        <x:v>SRC-007</x:v>
      </x:c>
      <x:c r="F210" s="16" t="str">
        <x:v>REC-0041</x:v>
      </x:c>
      <x:c r="G210" s="16" t="str">
        <x:v>审阅或辅助文档</x:v>
      </x:c>
      <x:c r="H210" s="19" t="n">
        <x:v>10</x:v>
      </x:c>
      <x:c r="I210" s="19" t="n">
        <x:v>7</x:v>
      </x:c>
      <x:c r="J210" s="19" t="n">
        <x:v>1</x:v>
      </x:c>
      <x:c r="K210" s="16" t="str">
        <x:v>5. Major deterioration</x:v>
      </x:c>
      <x:c r="L210" s="16" t="str">
        <x:v>Likely</x:v>
      </x:c>
      <x:c r="M210" s="16" t="str">
        <x:v>Negligible</x:v>
      </x:c>
      <x:c r="N210" s="16" t="str">
        <x:v>Low</x:v>
      </x:c>
    </x:row>
    <x:row r="211" ht="37" customHeight="1">
      <x:c r="A211" s="16" t="str">
        <x:v>RAW-00205</x:v>
      </x:c>
      <x:c r="B211" s="16" t="str">
        <x:v>Observation</x:v>
      </x:c>
      <x:c r="C211" s="16" t="str">
        <x:v>– Right hand side facing front of house. Timber fascia board splitting.</x:v>
      </x:c>
      <x:c r="D211" s="16" t="str">
        <x:v>Fascia board</x:v>
      </x:c>
      <x:c r="E211" s="16" t="str">
        <x:v>SRC-007</x:v>
      </x:c>
      <x:c r="F211" s="16" t="str">
        <x:v>OBS-0482</x:v>
      </x:c>
      <x:c r="G211" s="16" t="str">
        <x:v>审阅或辅助文档</x:v>
      </x:c>
      <x:c r="H211" s="19" t="n">
        <x:v>10</x:v>
      </x:c>
      <x:c r="I211" s="19" t="n">
        <x:v>8</x:v>
      </x:c>
      <x:c r="J211" s="19" t="n">
        <x:v>1</x:v>
      </x:c>
      <x:c r="K211" s="16" t="str">
        <x:v>5. Major deterioration</x:v>
      </x:c>
      <x:c r="L211" s="16" t="str">
        <x:v>Likely</x:v>
      </x:c>
      <x:c r="M211" s="16" t="str">
        <x:v>Negligible</x:v>
      </x:c>
      <x:c r="N211" s="16" t="str">
        <x:v>Low</x:v>
      </x:c>
    </x:row>
    <x:row r="212" ht="37" customHeight="1">
      <x:c r="A212" s="16" t="str">
        <x:v>RAW-00206</x:v>
      </x:c>
      <x:c r="B212" s="16" t="str">
        <x:v>Recommendation</x:v>
      </x:c>
      <x:c r="C212" s="16" t="str">
        <x:v>– Replace fascia board.</x:v>
      </x:c>
      <x:c r="D212" s="16" t="str">
        <x:v>Fascia board</x:v>
      </x:c>
      <x:c r="E212" s="16" t="str">
        <x:v>SRC-007</x:v>
      </x:c>
      <x:c r="F212" s="16" t="str">
        <x:v>REC-0041</x:v>
      </x:c>
      <x:c r="G212" s="16" t="str">
        <x:v>审阅或辅助文档</x:v>
      </x:c>
      <x:c r="H212" s="19" t="n">
        <x:v>10</x:v>
      </x:c>
      <x:c r="I212" s="19" t="n">
        <x:v>8</x:v>
      </x:c>
      <x:c r="J212" s="19" t="n">
        <x:v>1</x:v>
      </x:c>
      <x:c r="K212" s="16" t="str">
        <x:v>5. Major deterioration</x:v>
      </x:c>
      <x:c r="L212" s="16" t="str">
        <x:v>Likely</x:v>
      </x:c>
      <x:c r="M212" s="16" t="str">
        <x:v>Negligible</x:v>
      </x:c>
      <x:c r="N212" s="16" t="str">
        <x:v>Low</x:v>
      </x:c>
    </x:row>
    <x:row r="213" ht="37" customHeight="1">
      <x:c r="A213" s="16" t="str">
        <x:v>RAW-00207</x:v>
      </x:c>
      <x:c r="B213" s="16" t="str">
        <x:v>Observation</x:v>
      </x:c>
      <x:c r="C213" s="16" t="str">
        <x:v>– Right hand side facing front of house. Left hand side of front verandah. Hole in fascia board.</x:v>
      </x:c>
      <x:c r="D213" s="16" t="str">
        <x:v>Fascia board</x:v>
      </x:c>
      <x:c r="E213" s="16" t="str">
        <x:v>SRC-007</x:v>
      </x:c>
      <x:c r="F213" s="16" t="str">
        <x:v>OBS-0481</x:v>
      </x:c>
      <x:c r="G213" s="16" t="str">
        <x:v>审阅或辅助文档</x:v>
      </x:c>
      <x:c r="H213" s="19" t="n">
        <x:v>10</x:v>
      </x:c>
      <x:c r="I213" s="19" t="n">
        <x:v>9</x:v>
      </x:c>
      <x:c r="J213" s="19" t="n">
        <x:v>1</x:v>
      </x:c>
      <x:c r="K213" s="16" t="str">
        <x:v>5. Major deterioration</x:v>
      </x:c>
      <x:c r="L213" s="16" t="str">
        <x:v>Likely</x:v>
      </x:c>
      <x:c r="M213" s="16" t="str">
        <x:v>Negligible</x:v>
      </x:c>
      <x:c r="N213" s="16" t="str">
        <x:v>Low</x:v>
      </x:c>
    </x:row>
    <x:row r="214" ht="37" customHeight="1">
      <x:c r="A214" s="16" t="str">
        <x:v>RAW-00208</x:v>
      </x:c>
      <x:c r="B214" s="16" t="str">
        <x:v>Recommendation</x:v>
      </x:c>
      <x:c r="C214" s="16" t="str">
        <x:v>– Replace fascia board.</x:v>
      </x:c>
      <x:c r="D214" s="16" t="str">
        <x:v>Fascia board</x:v>
      </x:c>
      <x:c r="E214" s="16" t="str">
        <x:v>SRC-007</x:v>
      </x:c>
      <x:c r="F214" s="16" t="str">
        <x:v>REC-0041</x:v>
      </x:c>
      <x:c r="G214" s="16" t="str">
        <x:v>审阅或辅助文档</x:v>
      </x:c>
      <x:c r="H214" s="19" t="n">
        <x:v>10</x:v>
      </x:c>
      <x:c r="I214" s="19" t="n">
        <x:v>9</x:v>
      </x:c>
      <x:c r="J214" s="19" t="n">
        <x:v>1</x:v>
      </x:c>
      <x:c r="K214" s="16" t="str">
        <x:v>5. Major deterioration</x:v>
      </x:c>
      <x:c r="L214" s="16" t="str">
        <x:v>Likely</x:v>
      </x:c>
      <x:c r="M214" s="16" t="str">
        <x:v>Negligible</x:v>
      </x:c>
      <x:c r="N214" s="16" t="str">
        <x:v>Low</x:v>
      </x:c>
    </x:row>
    <x:row r="215" ht="41" customHeight="1">
      <x:c r="A215" s="16" t="str">
        <x:v>RAW-00209</x:v>
      </x:c>
      <x:c r="B215" s="16" t="str">
        <x:v>Observation</x:v>
      </x:c>
      <x:c r="C215" s="16" t="str">
        <x:v>– Corrosion on damp proof coursing at front of house. Typical corrosion to all damp proof coursing around house.</x:v>
      </x:c>
      <x:c r="D215" s="16" t="str">
        <x:v>Damp proof coursing</x:v>
      </x:c>
      <x:c r="E215" s="16" t="str">
        <x:v>SRC-007</x:v>
      </x:c>
      <x:c r="F215" s="16" t="str">
        <x:v>OBS-0232</x:v>
      </x:c>
      <x:c r="G215" s="16" t="str">
        <x:v>审阅或辅助文档</x:v>
      </x:c>
      <x:c r="H215" s="19" t="n">
        <x:v>11</x:v>
      </x:c>
      <x:c r="I215" s="19" t="n">
        <x:v>6</x:v>
      </x:c>
      <x:c r="J215" s="19" t="n">
        <x:v>1</x:v>
      </x:c>
      <x:c r="K215" s="16" t="str">
        <x:v>4. Moderate condition</x:v>
      </x:c>
      <x:c r="L215" s="16" t="str">
        <x:v>Possible</x:v>
      </x:c>
      <x:c r="M215" s="16" t="str">
        <x:v>Minor</x:v>
      </x:c>
      <x:c r="N215" s="16" t="str">
        <x:v>Moderate</x:v>
      </x:c>
    </x:row>
    <x:row r="216" ht="37" customHeight="1">
      <x:c r="A216" s="16" t="str">
        <x:v>RAW-00210</x:v>
      </x:c>
      <x:c r="B216" s="16" t="str">
        <x:v>Observation</x:v>
      </x:c>
      <x:c r="C216" s="16" t="str">
        <x:v>– Corrosion on damp proof coursing at front of house.</x:v>
      </x:c>
      <x:c r="D216" s="16" t="str">
        <x:v>Damp proof coursing</x:v>
      </x:c>
      <x:c r="E216" s="16" t="str">
        <x:v>SRC-007</x:v>
      </x:c>
      <x:c r="F216" s="16" t="str"/>
      <x:c r="G216" s="16" t="str">
        <x:v>审阅或辅助文档</x:v>
      </x:c>
      <x:c r="H216" s="19" t="n">
        <x:v>11</x:v>
      </x:c>
      <x:c r="I216" s="19" t="n">
        <x:v>7</x:v>
      </x:c>
      <x:c r="J216" s="19" t="n">
        <x:v>1</x:v>
      </x:c>
      <x:c r="K216" s="16" t="str">
        <x:v>4. Moderate condition</x:v>
      </x:c>
      <x:c r="L216" s="16" t="str">
        <x:v>Possible</x:v>
      </x:c>
      <x:c r="M216" s="16" t="str">
        <x:v>Minor</x:v>
      </x:c>
      <x:c r="N216" s="16" t="str">
        <x:v>Moderate</x:v>
      </x:c>
    </x:row>
    <x:row r="217" ht="37" customHeight="1">
      <x:c r="A217" s="16" t="str">
        <x:v>RAW-00211</x:v>
      </x:c>
      <x:c r="B217" s="16" t="str">
        <x:v>Recommendation</x:v>
      </x:c>
      <x:c r="C217" s="16" t="str">
        <x:v>– Remove corroded section and seal.</x:v>
      </x:c>
      <x:c r="D217" s="16" t="str">
        <x:v>Damp proof coursing</x:v>
      </x:c>
      <x:c r="E217" s="16" t="str">
        <x:v>SRC-007</x:v>
      </x:c>
      <x:c r="F217" s="16" t="str">
        <x:v>REC-0126</x:v>
      </x:c>
      <x:c r="G217" s="16" t="str">
        <x:v>审阅或辅助文档</x:v>
      </x:c>
      <x:c r="H217" s="19" t="n">
        <x:v>11</x:v>
      </x:c>
      <x:c r="I217" s="19" t="n">
        <x:v>7</x:v>
      </x:c>
      <x:c r="J217" s="19" t="n">
        <x:v>1</x:v>
      </x:c>
      <x:c r="K217" s="16" t="str">
        <x:v>4. Moderate condition</x:v>
      </x:c>
      <x:c r="L217" s="16" t="str">
        <x:v>Possible</x:v>
      </x:c>
      <x:c r="M217" s="16" t="str">
        <x:v>Minor</x:v>
      </x:c>
      <x:c r="N217" s="16" t="str">
        <x:v>Moderate</x:v>
      </x:c>
    </x:row>
    <x:row r="218" ht="37" customHeight="1">
      <x:c r="A218" s="16" t="str">
        <x:v>RAW-00212</x:v>
      </x:c>
      <x:c r="B218" s="16" t="str">
        <x:v>Observation</x:v>
      </x:c>
      <x:c r="C218" s="16" t="str">
        <x:v>– Corrosion on damp proof coursing at front of house.</x:v>
      </x:c>
      <x:c r="D218" s="16" t="str">
        <x:v>Damp proof coursing</x:v>
      </x:c>
      <x:c r="E218" s="16" t="str">
        <x:v>SRC-007</x:v>
      </x:c>
      <x:c r="F218" s="16" t="str"/>
      <x:c r="G218" s="16" t="str">
        <x:v>审阅或辅助文档</x:v>
      </x:c>
      <x:c r="H218" s="19" t="n">
        <x:v>11</x:v>
      </x:c>
      <x:c r="I218" s="19" t="n">
        <x:v>8</x:v>
      </x:c>
      <x:c r="J218" s="19" t="n">
        <x:v>1</x:v>
      </x:c>
      <x:c r="K218" s="16" t="str">
        <x:v>4. Moderate condition</x:v>
      </x:c>
      <x:c r="L218" s="16" t="str">
        <x:v>Possible</x:v>
      </x:c>
      <x:c r="M218" s="16" t="str">
        <x:v>Minor</x:v>
      </x:c>
      <x:c r="N218" s="16" t="str">
        <x:v>Moderate</x:v>
      </x:c>
    </x:row>
    <x:row r="219" ht="37" customHeight="1">
      <x:c r="A219" s="16" t="str">
        <x:v>RAW-00213</x:v>
      </x:c>
      <x:c r="B219" s="16" t="str">
        <x:v>Recommendation</x:v>
      </x:c>
      <x:c r="C219" s="16" t="str">
        <x:v>– Remove corroded section and seal.</x:v>
      </x:c>
      <x:c r="D219" s="16" t="str">
        <x:v>Damp proof coursing</x:v>
      </x:c>
      <x:c r="E219" s="16" t="str">
        <x:v>SRC-007</x:v>
      </x:c>
      <x:c r="F219" s="16" t="str">
        <x:v>REC-0126</x:v>
      </x:c>
      <x:c r="G219" s="16" t="str">
        <x:v>审阅或辅助文档</x:v>
      </x:c>
      <x:c r="H219" s="19" t="n">
        <x:v>11</x:v>
      </x:c>
      <x:c r="I219" s="19" t="n">
        <x:v>8</x:v>
      </x:c>
      <x:c r="J219" s="19" t="n">
        <x:v>1</x:v>
      </x:c>
      <x:c r="K219" s="16" t="str">
        <x:v>4. Moderate condition</x:v>
      </x:c>
      <x:c r="L219" s="16" t="str">
        <x:v>Possible</x:v>
      </x:c>
      <x:c r="M219" s="16" t="str">
        <x:v>Minor</x:v>
      </x:c>
      <x:c r="N219" s="16" t="str">
        <x:v>Moderate</x:v>
      </x:c>
    </x:row>
    <x:row r="220" ht="37" customHeight="1">
      <x:c r="A220" s="16" t="str">
        <x:v>RAW-00214</x:v>
      </x:c>
      <x:c r="B220" s="16" t="str">
        <x:v>Observation</x:v>
      </x:c>
      <x:c r="C220" s="16" t="str">
        <x:v>– Corrosion on damp proof coursing at front of house.</x:v>
      </x:c>
      <x:c r="D220" s="16" t="str">
        <x:v>Damp proof coursing</x:v>
      </x:c>
      <x:c r="E220" s="16" t="str">
        <x:v>SRC-007</x:v>
      </x:c>
      <x:c r="F220" s="16" t="str"/>
      <x:c r="G220" s="16" t="str">
        <x:v>审阅或辅助文档</x:v>
      </x:c>
      <x:c r="H220" s="19" t="n">
        <x:v>11</x:v>
      </x:c>
      <x:c r="I220" s="19" t="n">
        <x:v>9</x:v>
      </x:c>
      <x:c r="J220" s="19" t="n">
        <x:v>1</x:v>
      </x:c>
      <x:c r="K220" s="16" t="str">
        <x:v>4. Moderate condition</x:v>
      </x:c>
      <x:c r="L220" s="16" t="str">
        <x:v>Possible</x:v>
      </x:c>
      <x:c r="M220" s="16" t="str">
        <x:v>Minor</x:v>
      </x:c>
      <x:c r="N220" s="16" t="str">
        <x:v>Moderate</x:v>
      </x:c>
    </x:row>
    <x:row r="221" ht="37" customHeight="1">
      <x:c r="A221" s="16" t="str">
        <x:v>RAW-00215</x:v>
      </x:c>
      <x:c r="B221" s="16" t="str">
        <x:v>Recommendation</x:v>
      </x:c>
      <x:c r="C221" s="16" t="str">
        <x:v>– Remove corroded section and seal.</x:v>
      </x:c>
      <x:c r="D221" s="16" t="str">
        <x:v>Damp proof coursing</x:v>
      </x:c>
      <x:c r="E221" s="16" t="str">
        <x:v>SRC-007</x:v>
      </x:c>
      <x:c r="F221" s="16" t="str">
        <x:v>REC-0126</x:v>
      </x:c>
      <x:c r="G221" s="16" t="str">
        <x:v>审阅或辅助文档</x:v>
      </x:c>
      <x:c r="H221" s="19" t="n">
        <x:v>11</x:v>
      </x:c>
      <x:c r="I221" s="19" t="n">
        <x:v>9</x:v>
      </x:c>
      <x:c r="J221" s="19" t="n">
        <x:v>1</x:v>
      </x:c>
      <x:c r="K221" s="16" t="str">
        <x:v>4. Moderate condition</x:v>
      </x:c>
      <x:c r="L221" s="16" t="str">
        <x:v>Possible</x:v>
      </x:c>
      <x:c r="M221" s="16" t="str">
        <x:v>Minor</x:v>
      </x:c>
      <x:c r="N221" s="16" t="str">
        <x:v>Moderate</x:v>
      </x:c>
    </x:row>
    <x:row r="222" ht="37" customHeight="1">
      <x:c r="A222" s="16" t="str">
        <x:v>RAW-00216</x:v>
      </x:c>
      <x:c r="B222" s="16" t="str">
        <x:v>Observation</x:v>
      </x:c>
      <x:c r="C222" s="16" t="str">
        <x:v>– Back wall of house.</x:v>
      </x:c>
      <x:c r="D222" s="16" t="str">
        <x:v>Roof sheeting</x:v>
      </x:c>
      <x:c r="E222" s="16" t="str">
        <x:v>SRC-007</x:v>
      </x:c>
      <x:c r="F222" s="16" t="str">
        <x:v>OBS-0123</x:v>
      </x:c>
      <x:c r="G222" s="16" t="str">
        <x:v>审阅或辅助文档</x:v>
      </x:c>
      <x:c r="H222" s="19" t="n">
        <x:v>12</x:v>
      </x:c>
      <x:c r="I222" s="19" t="n">
        <x:v>6</x:v>
      </x:c>
      <x:c r="J222" s="19" t="n">
        <x:v>1</x:v>
      </x:c>
      <x:c r="K222" s="16" t="str">
        <x:v>3. Minor deterioration</x:v>
      </x:c>
      <x:c r="L222" s="16" t="str">
        <x:v>Unlikely</x:v>
      </x:c>
      <x:c r="M222" s="16" t="str">
        <x:v>Minor</x:v>
      </x:c>
      <x:c r="N222" s="16" t="str">
        <x:v>Low</x:v>
      </x:c>
    </x:row>
    <x:row r="223" ht="37" customHeight="1">
      <x:c r="A223" s="16" t="str">
        <x:v>RAW-00217</x:v>
      </x:c>
      <x:c r="B223" s="16" t="str">
        <x:v>Observation</x:v>
      </x:c>
      <x:c r="C223" s="16" t="str">
        <x:v>– Back wall. Corroded roof sheeting.</x:v>
      </x:c>
      <x:c r="D223" s="16" t="str">
        <x:v>Roof sheeting</x:v>
      </x:c>
      <x:c r="E223" s="16" t="str">
        <x:v>SRC-007</x:v>
      </x:c>
      <x:c r="F223" s="16" t="str">
        <x:v>OBS-0034</x:v>
      </x:c>
      <x:c r="G223" s="16" t="str">
        <x:v>审阅或辅助文档</x:v>
      </x:c>
      <x:c r="H223" s="19" t="n">
        <x:v>12</x:v>
      </x:c>
      <x:c r="I223" s="19" t="n">
        <x:v>7</x:v>
      </x:c>
      <x:c r="J223" s="19" t="n">
        <x:v>1</x:v>
      </x:c>
      <x:c r="K223" s="16" t="str">
        <x:v>3. Minor deterioration</x:v>
      </x:c>
      <x:c r="L223" s="16" t="str">
        <x:v>Unlikely</x:v>
      </x:c>
      <x:c r="M223" s="16" t="str">
        <x:v>Minor</x:v>
      </x:c>
      <x:c r="N223" s="16" t="str">
        <x:v>Low</x:v>
      </x:c>
    </x:row>
    <x:row r="224" ht="37" customHeight="1">
      <x:c r="A224" s="16" t="str">
        <x:v>RAW-00218</x:v>
      </x:c>
      <x:c r="B224" s="16" t="str">
        <x:v>Recommendation</x:v>
      </x:c>
      <x:c r="C224" s="16" t="str">
        <x:v>– Clean, remove corrosion and repaint.</x:v>
      </x:c>
      <x:c r="D224" s="16" t="str">
        <x:v>Roof sheeting</x:v>
      </x:c>
      <x:c r="E224" s="16" t="str">
        <x:v>SRC-007</x:v>
      </x:c>
      <x:c r="F224" s="16" t="str">
        <x:v>REC-0002</x:v>
      </x:c>
      <x:c r="G224" s="16" t="str">
        <x:v>审阅或辅助文档</x:v>
      </x:c>
      <x:c r="H224" s="19" t="n">
        <x:v>12</x:v>
      </x:c>
      <x:c r="I224" s="19" t="n">
        <x:v>7</x:v>
      </x:c>
      <x:c r="J224" s="19" t="n">
        <x:v>1</x:v>
      </x:c>
      <x:c r="K224" s="16" t="str">
        <x:v>3. Minor deterioration</x:v>
      </x:c>
      <x:c r="L224" s="16" t="str">
        <x:v>Unlikely</x:v>
      </x:c>
      <x:c r="M224" s="16" t="str">
        <x:v>Minor</x:v>
      </x:c>
      <x:c r="N224" s="16" t="str">
        <x:v>Low</x:v>
      </x:c>
    </x:row>
    <x:row r="225" ht="37" customHeight="1">
      <x:c r="A225" s="16" t="str">
        <x:v>RAW-00219</x:v>
      </x:c>
      <x:c r="B225" s="16" t="str">
        <x:v>Observation</x:v>
      </x:c>
      <x:c r="C225" s="16" t="str">
        <x:v>– Back wall. Corroded roof sheeting.</x:v>
      </x:c>
      <x:c r="D225" s="16" t="str">
        <x:v>Roof sheeting</x:v>
      </x:c>
      <x:c r="E225" s="16" t="str">
        <x:v>SRC-007</x:v>
      </x:c>
      <x:c r="F225" s="16" t="str">
        <x:v>OBS-0034</x:v>
      </x:c>
      <x:c r="G225" s="16" t="str">
        <x:v>审阅或辅助文档</x:v>
      </x:c>
      <x:c r="H225" s="19" t="n">
        <x:v>12</x:v>
      </x:c>
      <x:c r="I225" s="19" t="n">
        <x:v>8</x:v>
      </x:c>
      <x:c r="J225" s="19" t="n">
        <x:v>1</x:v>
      </x:c>
      <x:c r="K225" s="16" t="str">
        <x:v>3. Minor deterioration</x:v>
      </x:c>
      <x:c r="L225" s="16" t="str">
        <x:v>Unlikely</x:v>
      </x:c>
      <x:c r="M225" s="16" t="str">
        <x:v>Minor</x:v>
      </x:c>
      <x:c r="N225" s="16" t="str">
        <x:v>Low</x:v>
      </x:c>
    </x:row>
    <x:row r="226" ht="37" customHeight="1">
      <x:c r="A226" s="16" t="str">
        <x:v>RAW-00220</x:v>
      </x:c>
      <x:c r="B226" s="16" t="str">
        <x:v>Recommendation</x:v>
      </x:c>
      <x:c r="C226" s="16" t="str">
        <x:v>– Clean, remove corrosion and repaint.</x:v>
      </x:c>
      <x:c r="D226" s="16" t="str">
        <x:v>Roof sheeting</x:v>
      </x:c>
      <x:c r="E226" s="16" t="str">
        <x:v>SRC-007</x:v>
      </x:c>
      <x:c r="F226" s="16" t="str">
        <x:v>REC-0002</x:v>
      </x:c>
      <x:c r="G226" s="16" t="str">
        <x:v>审阅或辅助文档</x:v>
      </x:c>
      <x:c r="H226" s="19" t="n">
        <x:v>12</x:v>
      </x:c>
      <x:c r="I226" s="19" t="n">
        <x:v>8</x:v>
      </x:c>
      <x:c r="J226" s="19" t="n">
        <x:v>1</x:v>
      </x:c>
      <x:c r="K226" s="16" t="str">
        <x:v>3. Minor deterioration</x:v>
      </x:c>
      <x:c r="L226" s="16" t="str">
        <x:v>Unlikely</x:v>
      </x:c>
      <x:c r="M226" s="16" t="str">
        <x:v>Minor</x:v>
      </x:c>
      <x:c r="N226" s="16" t="str">
        <x:v>Low</x:v>
      </x:c>
    </x:row>
    <x:row r="227" ht="37" customHeight="1">
      <x:c r="A227" s="16" t="str">
        <x:v>RAW-00221</x:v>
      </x:c>
      <x:c r="B227" s="16" t="str">
        <x:v>Observation</x:v>
      </x:c>
      <x:c r="C227" s="16" t="str">
        <x:v>– Back wall. Corroded roof sheeting.</x:v>
      </x:c>
      <x:c r="D227" s="16" t="str">
        <x:v>Roof sheeting</x:v>
      </x:c>
      <x:c r="E227" s="16" t="str">
        <x:v>SRC-007</x:v>
      </x:c>
      <x:c r="F227" s="16" t="str">
        <x:v>OBS-0034</x:v>
      </x:c>
      <x:c r="G227" s="16" t="str">
        <x:v>审阅或辅助文档</x:v>
      </x:c>
      <x:c r="H227" s="19" t="n">
        <x:v>12</x:v>
      </x:c>
      <x:c r="I227" s="19" t="n">
        <x:v>9</x:v>
      </x:c>
      <x:c r="J227" s="19" t="n">
        <x:v>1</x:v>
      </x:c>
      <x:c r="K227" s="16" t="str">
        <x:v>3. Minor deterioration</x:v>
      </x:c>
      <x:c r="L227" s="16" t="str">
        <x:v>Unlikely</x:v>
      </x:c>
      <x:c r="M227" s="16" t="str">
        <x:v>Minor</x:v>
      </x:c>
      <x:c r="N227" s="16" t="str">
        <x:v>Low</x:v>
      </x:c>
    </x:row>
    <x:row r="228" ht="37" customHeight="1">
      <x:c r="A228" s="16" t="str">
        <x:v>RAW-00222</x:v>
      </x:c>
      <x:c r="B228" s="16" t="str">
        <x:v>Recommendation</x:v>
      </x:c>
      <x:c r="C228" s="16" t="str">
        <x:v>– Clean, remove corrosion and repaint.</x:v>
      </x:c>
      <x:c r="D228" s="16" t="str">
        <x:v>Roof sheeting</x:v>
      </x:c>
      <x:c r="E228" s="16" t="str">
        <x:v>SRC-007</x:v>
      </x:c>
      <x:c r="F228" s="16" t="str">
        <x:v>REC-0002</x:v>
      </x:c>
      <x:c r="G228" s="16" t="str">
        <x:v>审阅或辅助文档</x:v>
      </x:c>
      <x:c r="H228" s="19" t="n">
        <x:v>12</x:v>
      </x:c>
      <x:c r="I228" s="19" t="n">
        <x:v>9</x:v>
      </x:c>
      <x:c r="J228" s="19" t="n">
        <x:v>1</x:v>
      </x:c>
      <x:c r="K228" s="16" t="str">
        <x:v>3. Minor deterioration</x:v>
      </x:c>
      <x:c r="L228" s="16" t="str">
        <x:v>Unlikely</x:v>
      </x:c>
      <x:c r="M228" s="16" t="str">
        <x:v>Minor</x:v>
      </x:c>
      <x:c r="N228" s="16" t="str">
        <x:v>Low</x:v>
      </x:c>
    </x:row>
    <x:row r="229" ht="37" customHeight="1">
      <x:c r="A229" s="16" t="str">
        <x:v>RAW-00223</x:v>
      </x:c>
      <x:c r="B229" s="16" t="str">
        <x:v>Observation</x:v>
      </x:c>
      <x:c r="C229" s="16" t="str">
        <x:v>– Garage overview.</x:v>
      </x:c>
      <x:c r="D229" s="16" t="str">
        <x:v>Garage</x:v>
      </x:c>
      <x:c r="E229" s="16" t="str">
        <x:v>SRC-007</x:v>
      </x:c>
      <x:c r="F229" s="16" t="str">
        <x:v>OBS-0318</x:v>
      </x:c>
      <x:c r="G229" s="16" t="str">
        <x:v>审阅或辅助文档</x:v>
      </x:c>
      <x:c r="H229" s="19" t="n">
        <x:v>13</x:v>
      </x:c>
      <x:c r="I229" s="19" t="n">
        <x:v>6</x:v>
      </x:c>
      <x:c r="J229" s="19" t="n">
        <x:v>1</x:v>
      </x:c>
      <x:c r="K229" s="16" t="str">
        <x:v>2. New with slight deterioration</x:v>
      </x:c>
      <x:c r="L229" s="16" t="str">
        <x:v>Very unlikely</x:v>
      </x:c>
      <x:c r="M229" s="16" t="str">
        <x:v>Moderate</x:v>
      </x:c>
      <x:c r="N229" s="16" t="str">
        <x:v>Low</x:v>
      </x:c>
    </x:row>
    <x:row r="230" ht="37" customHeight="1">
      <x:c r="A230" s="16" t="str">
        <x:v>RAW-00224</x:v>
      </x:c>
      <x:c r="B230" s="16" t="str">
        <x:v>Observation</x:v>
      </x:c>
      <x:c r="C230" s="16" t="str">
        <x:v>– Corrosion on steel column.</x:v>
      </x:c>
      <x:c r="D230" s="16" t="str">
        <x:v>Garage</x:v>
      </x:c>
      <x:c r="E230" s="16" t="str">
        <x:v>SRC-007</x:v>
      </x:c>
      <x:c r="F230" s="16" t="str">
        <x:v>OBS-0234</x:v>
      </x:c>
      <x:c r="G230" s="16" t="str">
        <x:v>审阅或辅助文档</x:v>
      </x:c>
      <x:c r="H230" s="19" t="n">
        <x:v>13</x:v>
      </x:c>
      <x:c r="I230" s="19" t="n">
        <x:v>7</x:v>
      </x:c>
      <x:c r="J230" s="19" t="n">
        <x:v>1</x:v>
      </x:c>
      <x:c r="K230" s="16" t="str">
        <x:v>2. New with slight deterioration</x:v>
      </x:c>
      <x:c r="L230" s="16" t="str">
        <x:v>Very unlikely</x:v>
      </x:c>
      <x:c r="M230" s="16" t="str">
        <x:v>Moderate</x:v>
      </x:c>
      <x:c r="N230" s="16" t="str">
        <x:v>Low</x:v>
      </x:c>
    </x:row>
    <x:row r="231" ht="37" customHeight="1">
      <x:c r="A231" s="16" t="str">
        <x:v>RAW-00225</x:v>
      </x:c>
      <x:c r="B231" s="16" t="str">
        <x:v>Recommendation</x:v>
      </x:c>
      <x:c r="C231" s="16" t="str">
        <x:v>– Clean, remove corrosion and repaint.</x:v>
      </x:c>
      <x:c r="D231" s="16" t="str">
        <x:v>Garage</x:v>
      </x:c>
      <x:c r="E231" s="16" t="str">
        <x:v>SRC-007</x:v>
      </x:c>
      <x:c r="F231" s="16" t="str">
        <x:v>REC-0002</x:v>
      </x:c>
      <x:c r="G231" s="16" t="str">
        <x:v>审阅或辅助文档</x:v>
      </x:c>
      <x:c r="H231" s="19" t="n">
        <x:v>13</x:v>
      </x:c>
      <x:c r="I231" s="19" t="n">
        <x:v>7</x:v>
      </x:c>
      <x:c r="J231" s="19" t="n">
        <x:v>1</x:v>
      </x:c>
      <x:c r="K231" s="16" t="str">
        <x:v>2. New with slight deterioration</x:v>
      </x:c>
      <x:c r="L231" s="16" t="str">
        <x:v>Very unlikely</x:v>
      </x:c>
      <x:c r="M231" s="16" t="str">
        <x:v>Moderate</x:v>
      </x:c>
      <x:c r="N231" s="16" t="str">
        <x:v>Low</x:v>
      </x:c>
    </x:row>
    <x:row r="232" ht="37" customHeight="1">
      <x:c r="A232" s="16" t="str">
        <x:v>RAW-00226</x:v>
      </x:c>
      <x:c r="B232" s="16" t="str">
        <x:v>Observation</x:v>
      </x:c>
      <x:c r="C232" s="16" t="str">
        <x:v>– steel sheeting attached to lintel is deformed.</x:v>
      </x:c>
      <x:c r="D232" s="16" t="str">
        <x:v>Garage</x:v>
      </x:c>
      <x:c r="E232" s="16" t="str">
        <x:v>SRC-007</x:v>
      </x:c>
      <x:c r="F232" s="16" t="str">
        <x:v>OBS-0622</x:v>
      </x:c>
      <x:c r="G232" s="16" t="str">
        <x:v>审阅或辅助文档</x:v>
      </x:c>
      <x:c r="H232" s="19" t="n">
        <x:v>13</x:v>
      </x:c>
      <x:c r="I232" s="19" t="n">
        <x:v>8</x:v>
      </x:c>
      <x:c r="J232" s="19" t="n">
        <x:v>1</x:v>
      </x:c>
      <x:c r="K232" s="16" t="str">
        <x:v>2. New with slight deterioration</x:v>
      </x:c>
      <x:c r="L232" s="16" t="str">
        <x:v>Very unlikely</x:v>
      </x:c>
      <x:c r="M232" s="16" t="str">
        <x:v>Moderate</x:v>
      </x:c>
      <x:c r="N232" s="16" t="str">
        <x:v>Low</x:v>
      </x:c>
    </x:row>
    <x:row r="233" ht="37" customHeight="1">
      <x:c r="A233" s="16" t="str">
        <x:v>RAW-00227</x:v>
      </x:c>
      <x:c r="B233" s="16" t="str">
        <x:v>Recommendation</x:v>
      </x:c>
      <x:c r="C233" s="16" t="str">
        <x:v>– None.</x:v>
      </x:c>
      <x:c r="D233" s="16" t="str">
        <x:v>Garage</x:v>
      </x:c>
      <x:c r="E233" s="16" t="str">
        <x:v>SRC-007</x:v>
      </x:c>
      <x:c r="F233" s="16" t="str">
        <x:v>REC-0003</x:v>
      </x:c>
      <x:c r="G233" s="16" t="str">
        <x:v>审阅或辅助文档</x:v>
      </x:c>
      <x:c r="H233" s="19" t="n">
        <x:v>13</x:v>
      </x:c>
      <x:c r="I233" s="19" t="n">
        <x:v>8</x:v>
      </x:c>
      <x:c r="J233" s="19" t="n">
        <x:v>1</x:v>
      </x:c>
      <x:c r="K233" s="16" t="str">
        <x:v>2. New with slight deterioration</x:v>
      </x:c>
      <x:c r="L233" s="16" t="str">
        <x:v>Very unlikely</x:v>
      </x:c>
      <x:c r="M233" s="16" t="str">
        <x:v>Moderate</x:v>
      </x:c>
      <x:c r="N233" s="16" t="str">
        <x:v>Low</x:v>
      </x:c>
    </x:row>
    <x:row r="234" ht="37" customHeight="1">
      <x:c r="A234" s="16" t="str">
        <x:v>RAW-00228</x:v>
      </x:c>
      <x:c r="B234" s="16" t="str">
        <x:v>Observation</x:v>
      </x:c>
      <x:c r="C234" s="16" t="str">
        <x:v>– Corroded bolt causing cracking in brickwork.</x:v>
      </x:c>
      <x:c r="D234" s="16" t="str">
        <x:v>Garage</x:v>
      </x:c>
      <x:c r="E234" s="16" t="str">
        <x:v>SRC-007</x:v>
      </x:c>
      <x:c r="F234" s="16" t="str">
        <x:v>OBS-0221</x:v>
      </x:c>
      <x:c r="G234" s="16" t="str">
        <x:v>审阅或辅助文档</x:v>
      </x:c>
      <x:c r="H234" s="19" t="n">
        <x:v>13</x:v>
      </x:c>
      <x:c r="I234" s="19" t="n">
        <x:v>9</x:v>
      </x:c>
      <x:c r="J234" s="19" t="n">
        <x:v>1</x:v>
      </x:c>
      <x:c r="K234" s="16" t="str">
        <x:v>2. New with slight deterioration</x:v>
      </x:c>
      <x:c r="L234" s="16" t="str">
        <x:v>Very unlikely</x:v>
      </x:c>
      <x:c r="M234" s="16" t="str">
        <x:v>Moderate</x:v>
      </x:c>
      <x:c r="N234" s="16" t="str">
        <x:v>Low</x:v>
      </x:c>
    </x:row>
    <x:row r="235" ht="37" customHeight="1">
      <x:c r="A235" s="16" t="str">
        <x:v>RAW-00229</x:v>
      </x:c>
      <x:c r="B235" s="16" t="str">
        <x:v>Recommendation</x:v>
      </x:c>
      <x:c r="C235" s="16" t="str">
        <x:v>– Remove bolt and fill void.</x:v>
      </x:c>
      <x:c r="D235" s="16" t="str">
        <x:v>Garage</x:v>
      </x:c>
      <x:c r="E235" s="16" t="str">
        <x:v>SRC-007</x:v>
      </x:c>
      <x:c r="F235" s="16" t="str"/>
      <x:c r="G235" s="16" t="str">
        <x:v>审阅或辅助文档</x:v>
      </x:c>
      <x:c r="H235" s="19" t="n">
        <x:v>13</x:v>
      </x:c>
      <x:c r="I235" s="19" t="n">
        <x:v>9</x:v>
      </x:c>
      <x:c r="J235" s="19" t="n">
        <x:v>1</x:v>
      </x:c>
      <x:c r="K235" s="16" t="str">
        <x:v>2. New with slight deterioration</x:v>
      </x:c>
      <x:c r="L235" s="16" t="str">
        <x:v>Very unlikely</x:v>
      </x:c>
      <x:c r="M235" s="16" t="str">
        <x:v>Moderate</x:v>
      </x:c>
      <x:c r="N235" s="16" t="str">
        <x:v>Low</x:v>
      </x:c>
    </x:row>
    <x:row r="236" ht="37" customHeight="1">
      <x:c r="A236" s="16" t="str">
        <x:v>RAW-00230</x:v>
      </x:c>
      <x:c r="B236" s="16" t="str">
        <x:v>Observation</x:v>
      </x:c>
      <x:c r="C236" s="16" t="str">
        <x:v>– Corroded steel casing for light.</x:v>
      </x:c>
      <x:c r="D236" s="16" t="str">
        <x:v>Lighting</x:v>
      </x:c>
      <x:c r="E236" s="16" t="str">
        <x:v>SRC-007</x:v>
      </x:c>
      <x:c r="F236" s="16" t="str">
        <x:v>OBS-0044</x:v>
      </x:c>
      <x:c r="G236" s="16" t="str">
        <x:v>审阅或辅助文档</x:v>
      </x:c>
      <x:c r="H236" s="19" t="n">
        <x:v>14</x:v>
      </x:c>
      <x:c r="I236" s="19" t="n">
        <x:v>6</x:v>
      </x:c>
      <x:c r="J236" s="19" t="n">
        <x:v>1</x:v>
      </x:c>
      <x:c r="K236" s="16" t="str">
        <x:v>2. New with slight deterioration</x:v>
      </x:c>
      <x:c r="L236" s="16" t="str">
        <x:v>Very unlikely</x:v>
      </x:c>
      <x:c r="M236" s="16" t="str">
        <x:v>Minor</x:v>
      </x:c>
      <x:c r="N236" s="16" t="str">
        <x:v>Low</x:v>
      </x:c>
    </x:row>
    <x:row r="237" ht="37" customHeight="1">
      <x:c r="A237" s="16" t="str">
        <x:v>RAW-00231</x:v>
      </x:c>
      <x:c r="B237" s="16" t="str">
        <x:v>Recommendation</x:v>
      </x:c>
      <x:c r="C237" s="16" t="str">
        <x:v>– Clean, remove corrosion and repaint.</x:v>
      </x:c>
      <x:c r="D237" s="16" t="str">
        <x:v>Lighting</x:v>
      </x:c>
      <x:c r="E237" s="16" t="str">
        <x:v>SRC-007</x:v>
      </x:c>
      <x:c r="F237" s="16" t="str">
        <x:v>REC-0002</x:v>
      </x:c>
      <x:c r="G237" s="16" t="str">
        <x:v>审阅或辅助文档</x:v>
      </x:c>
      <x:c r="H237" s="19" t="n">
        <x:v>14</x:v>
      </x:c>
      <x:c r="I237" s="19" t="n">
        <x:v>6</x:v>
      </x:c>
      <x:c r="J237" s="19" t="n">
        <x:v>1</x:v>
      </x:c>
      <x:c r="K237" s="16" t="str">
        <x:v>2. New with slight deterioration</x:v>
      </x:c>
      <x:c r="L237" s="16" t="str">
        <x:v>Very unlikely</x:v>
      </x:c>
      <x:c r="M237" s="16" t="str">
        <x:v>Minor</x:v>
      </x:c>
      <x:c r="N237" s="16" t="str">
        <x:v>Low</x:v>
      </x:c>
    </x:row>
    <x:row r="238" ht="37" customHeight="1">
      <x:c r="A238" s="16" t="str">
        <x:v>RAW-00232</x:v>
      </x:c>
      <x:c r="B238" s="16" t="str">
        <x:v>Observation</x:v>
      </x:c>
      <x:c r="C238" s="16" t="str">
        <x:v>– Corroded steel casing for light.</x:v>
      </x:c>
      <x:c r="D238" s="16" t="str">
        <x:v>Lighting</x:v>
      </x:c>
      <x:c r="E238" s="16" t="str">
        <x:v>SRC-007</x:v>
      </x:c>
      <x:c r="F238" s="16" t="str">
        <x:v>OBS-0044</x:v>
      </x:c>
      <x:c r="G238" s="16" t="str">
        <x:v>审阅或辅助文档</x:v>
      </x:c>
      <x:c r="H238" s="19" t="n">
        <x:v>14</x:v>
      </x:c>
      <x:c r="I238" s="19" t="n">
        <x:v>7</x:v>
      </x:c>
      <x:c r="J238" s="19" t="n">
        <x:v>1</x:v>
      </x:c>
      <x:c r="K238" s="16" t="str">
        <x:v>2. New with slight deterioration</x:v>
      </x:c>
      <x:c r="L238" s="16" t="str">
        <x:v>Very unlikely</x:v>
      </x:c>
      <x:c r="M238" s="16" t="str">
        <x:v>Minor</x:v>
      </x:c>
      <x:c r="N238" s="16" t="str">
        <x:v>Low</x:v>
      </x:c>
    </x:row>
    <x:row r="239" ht="37" customHeight="1">
      <x:c r="A239" s="16" t="str">
        <x:v>RAW-00233</x:v>
      </x:c>
      <x:c r="B239" s="16" t="str">
        <x:v>Recommendation</x:v>
      </x:c>
      <x:c r="C239" s="16" t="str">
        <x:v>– Clean, remove corrosion and repaint.</x:v>
      </x:c>
      <x:c r="D239" s="16" t="str">
        <x:v>Lighting</x:v>
      </x:c>
      <x:c r="E239" s="16" t="str">
        <x:v>SRC-007</x:v>
      </x:c>
      <x:c r="F239" s="16" t="str">
        <x:v>REC-0002</x:v>
      </x:c>
      <x:c r="G239" s="16" t="str">
        <x:v>审阅或辅助文档</x:v>
      </x:c>
      <x:c r="H239" s="19" t="n">
        <x:v>14</x:v>
      </x:c>
      <x:c r="I239" s="19" t="n">
        <x:v>7</x:v>
      </x:c>
      <x:c r="J239" s="19" t="n">
        <x:v>1</x:v>
      </x:c>
      <x:c r="K239" s="16" t="str">
        <x:v>2. New with slight deterioration</x:v>
      </x:c>
      <x:c r="L239" s="16" t="str">
        <x:v>Very unlikely</x:v>
      </x:c>
      <x:c r="M239" s="16" t="str">
        <x:v>Minor</x:v>
      </x:c>
      <x:c r="N239" s="16" t="str">
        <x:v>Low</x:v>
      </x:c>
    </x:row>
    <x:row r="240" ht="37" customHeight="1">
      <x:c r="A240" s="16" t="str">
        <x:v>RAW-00234</x:v>
      </x:c>
      <x:c r="B240" s="16" t="str">
        <x:v>Observation</x:v>
      </x:c>
      <x:c r="C240" s="16" t="str">
        <x:v>– Corroded steel casing for light.</x:v>
      </x:c>
      <x:c r="D240" s="16" t="str">
        <x:v>Lighting</x:v>
      </x:c>
      <x:c r="E240" s="16" t="str">
        <x:v>SRC-007</x:v>
      </x:c>
      <x:c r="F240" s="16" t="str">
        <x:v>OBS-0044</x:v>
      </x:c>
      <x:c r="G240" s="16" t="str">
        <x:v>审阅或辅助文档</x:v>
      </x:c>
      <x:c r="H240" s="19" t="n">
        <x:v>14</x:v>
      </x:c>
      <x:c r="I240" s="19" t="n">
        <x:v>8</x:v>
      </x:c>
      <x:c r="J240" s="19" t="n">
        <x:v>1</x:v>
      </x:c>
      <x:c r="K240" s="16" t="str">
        <x:v>2. New with slight deterioration</x:v>
      </x:c>
      <x:c r="L240" s="16" t="str">
        <x:v>Very unlikely</x:v>
      </x:c>
      <x:c r="M240" s="16" t="str">
        <x:v>Minor</x:v>
      </x:c>
      <x:c r="N240" s="16" t="str">
        <x:v>Low</x:v>
      </x:c>
    </x:row>
    <x:row r="241" ht="37" customHeight="1">
      <x:c r="A241" s="16" t="str">
        <x:v>RAW-00235</x:v>
      </x:c>
      <x:c r="B241" s="16" t="str">
        <x:v>Recommendation</x:v>
      </x:c>
      <x:c r="C241" s="16" t="str">
        <x:v>– Clean, remove corrosion and repaint.</x:v>
      </x:c>
      <x:c r="D241" s="16" t="str">
        <x:v>Lighting</x:v>
      </x:c>
      <x:c r="E241" s="16" t="str">
        <x:v>SRC-007</x:v>
      </x:c>
      <x:c r="F241" s="16" t="str">
        <x:v>REC-0002</x:v>
      </x:c>
      <x:c r="G241" s="16" t="str">
        <x:v>审阅或辅助文档</x:v>
      </x:c>
      <x:c r="H241" s="19" t="n">
        <x:v>14</x:v>
      </x:c>
      <x:c r="I241" s="19" t="n">
        <x:v>8</x:v>
      </x:c>
      <x:c r="J241" s="19" t="n">
        <x:v>1</x:v>
      </x:c>
      <x:c r="K241" s="16" t="str">
        <x:v>2. New with slight deterioration</x:v>
      </x:c>
      <x:c r="L241" s="16" t="str">
        <x:v>Very unlikely</x:v>
      </x:c>
      <x:c r="M241" s="16" t="str">
        <x:v>Minor</x:v>
      </x:c>
      <x:c r="N241" s="16" t="str">
        <x:v>Low</x:v>
      </x:c>
    </x:row>
    <x:row r="242" ht="41" customHeight="1">
      <x:c r="A242" s="16" t="str">
        <x:v>RAW-00236</x:v>
      </x:c>
      <x:c r="B242" s="16" t="str">
        <x:v>Observation</x:v>
      </x:c>
      <x:c r="C242" s="16" t="str">
        <x:v>– Front of property.</x:v>
      </x:c>
      <x:c r="D242" s="16" t="str">
        <x:v>Roof and awning structures</x:v>
      </x:c>
      <x:c r="E242" s="16" t="str">
        <x:v>SRC-008</x:v>
      </x:c>
      <x:c r="F242" s="16" t="str">
        <x:v>OBS-0274</x:v>
      </x:c>
      <x:c r="G242" s="16" t="str">
        <x:v>正式报告</x:v>
      </x:c>
      <x:c r="H242" s="19" t="n">
        <x:v>3</x:v>
      </x:c>
      <x:c r="I242" s="19" t="n">
        <x:v>6</x:v>
      </x:c>
      <x:c r="J242" s="19" t="n">
        <x:v>1</x:v>
      </x:c>
      <x:c r="K242" s="16" t="str">
        <x:v>1. New with no visible defects/damage</x:v>
      </x:c>
      <x:c r="L242" s="16" t="str">
        <x:v>Very unlikely</x:v>
      </x:c>
      <x:c r="M242" s="16" t="str">
        <x:v>Significant</x:v>
      </x:c>
      <x:c r="N242" s="16" t="str">
        <x:v>Low</x:v>
      </x:c>
    </x:row>
    <x:row r="243" ht="41" customHeight="1">
      <x:c r="A243" s="16" t="str">
        <x:v>RAW-00237</x:v>
      </x:c>
      <x:c r="B243" s="16" t="str">
        <x:v>Recommendation</x:v>
      </x:c>
      <x:c r="C243" s="16" t="str">
        <x:v>– None.</x:v>
      </x:c>
      <x:c r="D243" s="16" t="str">
        <x:v>Roof and awning structures</x:v>
      </x:c>
      <x:c r="E243" s="16" t="str">
        <x:v>SRC-008</x:v>
      </x:c>
      <x:c r="F243" s="16" t="str">
        <x:v>REC-0003</x:v>
      </x:c>
      <x:c r="G243" s="16" t="str">
        <x:v>正式报告</x:v>
      </x:c>
      <x:c r="H243" s="19" t="n">
        <x:v>3</x:v>
      </x:c>
      <x:c r="I243" s="19" t="n">
        <x:v>6</x:v>
      </x:c>
      <x:c r="J243" s="19" t="n">
        <x:v>1</x:v>
      </x:c>
      <x:c r="K243" s="16" t="str">
        <x:v>1. New with no visible defects/damage</x:v>
      </x:c>
      <x:c r="L243" s="16" t="str">
        <x:v>Very unlikely</x:v>
      </x:c>
      <x:c r="M243" s="16" t="str">
        <x:v>Significant</x:v>
      </x:c>
      <x:c r="N243" s="16" t="str">
        <x:v>Low</x:v>
      </x:c>
    </x:row>
    <x:row r="244" ht="41" customHeight="1">
      <x:c r="A244" s="16" t="str">
        <x:v>RAW-00238</x:v>
      </x:c>
      <x:c r="B244" s="16" t="str">
        <x:v>Observation</x:v>
      </x:c>
      <x:c r="C244" s="16" t="str">
        <x:v>– Front roof awnings in good condition.</x:v>
      </x:c>
      <x:c r="D244" s="16" t="str">
        <x:v>Roof and awning structures</x:v>
      </x:c>
      <x:c r="E244" s="16" t="str">
        <x:v>SRC-008</x:v>
      </x:c>
      <x:c r="F244" s="16" t="str">
        <x:v>OBS-0050</x:v>
      </x:c>
      <x:c r="G244" s="16" t="str">
        <x:v>正式报告</x:v>
      </x:c>
      <x:c r="H244" s="19" t="n">
        <x:v>3</x:v>
      </x:c>
      <x:c r="I244" s="19" t="n">
        <x:v>7</x:v>
      </x:c>
      <x:c r="J244" s="19" t="n">
        <x:v>1</x:v>
      </x:c>
      <x:c r="K244" s="16" t="str">
        <x:v>1. New with no visible defects/damage</x:v>
      </x:c>
      <x:c r="L244" s="16" t="str">
        <x:v>Very unlikely</x:v>
      </x:c>
      <x:c r="M244" s="16" t="str">
        <x:v>Significant</x:v>
      </x:c>
      <x:c r="N244" s="16" t="str">
        <x:v>Low</x:v>
      </x:c>
    </x:row>
    <x:row r="245" ht="41" customHeight="1">
      <x:c r="A245" s="16" t="str">
        <x:v>RAW-00239</x:v>
      </x:c>
      <x:c r="B245" s="16" t="str">
        <x:v>Observation</x:v>
      </x:c>
      <x:c r="C245" s="16" t="str">
        <x:v>– Front roof awnings in good condition.</x:v>
      </x:c>
      <x:c r="D245" s="16" t="str">
        <x:v>Roof and awning structures</x:v>
      </x:c>
      <x:c r="E245" s="16" t="str">
        <x:v>SRC-008</x:v>
      </x:c>
      <x:c r="F245" s="16" t="str">
        <x:v>OBS-0050</x:v>
      </x:c>
      <x:c r="G245" s="16" t="str">
        <x:v>正式报告</x:v>
      </x:c>
      <x:c r="H245" s="19" t="n">
        <x:v>3</x:v>
      </x:c>
      <x:c r="I245" s="19" t="n">
        <x:v>8</x:v>
      </x:c>
      <x:c r="J245" s="19" t="n">
        <x:v>1</x:v>
      </x:c>
      <x:c r="K245" s="16" t="str">
        <x:v>1. New with no visible defects/damage</x:v>
      </x:c>
      <x:c r="L245" s="16" t="str">
        <x:v>Very unlikely</x:v>
      </x:c>
      <x:c r="M245" s="16" t="str">
        <x:v>Significant</x:v>
      </x:c>
      <x:c r="N245" s="16" t="str">
        <x:v>Low</x:v>
      </x:c>
    </x:row>
    <x:row r="246" ht="41" customHeight="1">
      <x:c r="A246" s="16" t="str">
        <x:v>RAW-00240</x:v>
      </x:c>
      <x:c r="B246" s="16" t="str">
        <x:v>Observation</x:v>
      </x:c>
      <x:c r="C246" s="16" t="str">
        <x:v>– Carport in good condition.</x:v>
      </x:c>
      <x:c r="D246" s="16" t="str">
        <x:v>Roof and awning structures</x:v>
      </x:c>
      <x:c r="E246" s="16" t="str">
        <x:v>SRC-008</x:v>
      </x:c>
      <x:c r="F246" s="16" t="str">
        <x:v>OBS-0165</x:v>
      </x:c>
      <x:c r="G246" s="16" t="str">
        <x:v>正式报告</x:v>
      </x:c>
      <x:c r="H246" s="19" t="n">
        <x:v>3</x:v>
      </x:c>
      <x:c r="I246" s="19" t="n">
        <x:v>9</x:v>
      </x:c>
      <x:c r="J246" s="19" t="n">
        <x:v>1</x:v>
      </x:c>
      <x:c r="K246" s="16" t="str">
        <x:v>1. New with no visible defects/damage</x:v>
      </x:c>
      <x:c r="L246" s="16" t="str">
        <x:v>Very unlikely</x:v>
      </x:c>
      <x:c r="M246" s="16" t="str">
        <x:v>Significant</x:v>
      </x:c>
      <x:c r="N246" s="16" t="str">
        <x:v>Low</x:v>
      </x:c>
    </x:row>
    <x:row r="247" ht="41" customHeight="1">
      <x:c r="A247" s="16" t="str">
        <x:v>RAW-00241</x:v>
      </x:c>
      <x:c r="B247" s="16" t="str">
        <x:v>Observation</x:v>
      </x:c>
      <x:c r="C247" s="16" t="str">
        <x:v>– Back verandah in good condition, minor salt staining on fascia beam.</x:v>
      </x:c>
      <x:c r="D247" s="16" t="str">
        <x:v>Roof and awning structures</x:v>
      </x:c>
      <x:c r="E247" s="16" t="str">
        <x:v>SRC-008</x:v>
      </x:c>
      <x:c r="F247" s="16" t="str">
        <x:v>OBS-0115</x:v>
      </x:c>
      <x:c r="G247" s="16" t="str">
        <x:v>正式报告</x:v>
      </x:c>
      <x:c r="H247" s="19" t="n">
        <x:v>3</x:v>
      </x:c>
      <x:c r="I247" s="19" t="n">
        <x:v>10</x:v>
      </x:c>
      <x:c r="J247" s="19" t="n">
        <x:v>1</x:v>
      </x:c>
      <x:c r="K247" s="16" t="str">
        <x:v>1. New with no visible defects/damage</x:v>
      </x:c>
      <x:c r="L247" s="16" t="str">
        <x:v>Very unlikely</x:v>
      </x:c>
      <x:c r="M247" s="16" t="str">
        <x:v>Significant</x:v>
      </x:c>
      <x:c r="N247" s="16" t="str">
        <x:v>Low</x:v>
      </x:c>
    </x:row>
    <x:row r="248" ht="41" customHeight="1">
      <x:c r="A248" s="16" t="str">
        <x:v>RAW-00242</x:v>
      </x:c>
      <x:c r="B248" s="16" t="str">
        <x:v>Recommendation</x:v>
      </x:c>
      <x:c r="C248" s="16" t="str">
        <x:v>– Remove salt staining.</x:v>
      </x:c>
      <x:c r="D248" s="16" t="str">
        <x:v>Roof and awning structures</x:v>
      </x:c>
      <x:c r="E248" s="16" t="str">
        <x:v>SRC-008</x:v>
      </x:c>
      <x:c r="F248" s="16" t="str">
        <x:v>REC-0004</x:v>
      </x:c>
      <x:c r="G248" s="16" t="str">
        <x:v>正式报告</x:v>
      </x:c>
      <x:c r="H248" s="19" t="n">
        <x:v>3</x:v>
      </x:c>
      <x:c r="I248" s="19" t="n">
        <x:v>10</x:v>
      </x:c>
      <x:c r="J248" s="19" t="n">
        <x:v>1</x:v>
      </x:c>
      <x:c r="K248" s="16" t="str">
        <x:v>1. New with no visible defects/damage</x:v>
      </x:c>
      <x:c r="L248" s="16" t="str">
        <x:v>Very unlikely</x:v>
      </x:c>
      <x:c r="M248" s="16" t="str">
        <x:v>Significant</x:v>
      </x:c>
      <x:c r="N248" s="16" t="str">
        <x:v>Low</x:v>
      </x:c>
    </x:row>
    <x:row r="249" ht="37" customHeight="1">
      <x:c r="A249" s="16" t="str">
        <x:v>RAW-00243</x:v>
      </x:c>
      <x:c r="B249" s="16" t="str">
        <x:v>Observation</x:v>
      </x:c>
      <x:c r="C249" s="16" t="str">
        <x:v>– Minor salt staining and paint deterioration on back verandah column.</x:v>
      </x:c>
      <x:c r="D249" s="16" t="str">
        <x:v>Back verandah columns</x:v>
      </x:c>
      <x:c r="E249" s="16" t="str">
        <x:v>SRC-008</x:v>
      </x:c>
      <x:c r="F249" s="16" t="str">
        <x:v>OBS-0069</x:v>
      </x:c>
      <x:c r="G249" s="16" t="str">
        <x:v>正式报告</x:v>
      </x:c>
      <x:c r="H249" s="19" t="n">
        <x:v>4</x:v>
      </x:c>
      <x:c r="I249" s="19" t="n">
        <x:v>6</x:v>
      </x:c>
      <x:c r="J249" s="19" t="n">
        <x:v>1</x:v>
      </x:c>
      <x:c r="K249" s="16" t="str">
        <x:v>2. New with slight deterioration</x:v>
      </x:c>
      <x:c r="L249" s="16" t="str">
        <x:v>Very unlikely</x:v>
      </x:c>
      <x:c r="M249" s="16" t="str">
        <x:v>Significant</x:v>
      </x:c>
      <x:c r="N249" s="16" t="str">
        <x:v>Low</x:v>
      </x:c>
    </x:row>
    <x:row r="250" ht="37" customHeight="1">
      <x:c r="A250" s="16" t="str">
        <x:v>RAW-00244</x:v>
      </x:c>
      <x:c r="B250" s="16" t="str">
        <x:v>Recommendation</x:v>
      </x:c>
      <x:c r="C250" s="16" t="str">
        <x:v>– Remove salt staining and repaint column.</x:v>
      </x:c>
      <x:c r="D250" s="16" t="str">
        <x:v>Back verandah columns</x:v>
      </x:c>
      <x:c r="E250" s="16" t="str">
        <x:v>SRC-008</x:v>
      </x:c>
      <x:c r="F250" s="16" t="str">
        <x:v>REC-0034</x:v>
      </x:c>
      <x:c r="G250" s="16" t="str">
        <x:v>正式报告</x:v>
      </x:c>
      <x:c r="H250" s="19" t="n">
        <x:v>4</x:v>
      </x:c>
      <x:c r="I250" s="19" t="n">
        <x:v>6</x:v>
      </x:c>
      <x:c r="J250" s="19" t="n">
        <x:v>1</x:v>
      </x:c>
      <x:c r="K250" s="16" t="str">
        <x:v>2. New with slight deterioration</x:v>
      </x:c>
      <x:c r="L250" s="16" t="str">
        <x:v>Very unlikely</x:v>
      </x:c>
      <x:c r="M250" s="16" t="str">
        <x:v>Significant</x:v>
      </x:c>
      <x:c r="N250" s="16" t="str">
        <x:v>Low</x:v>
      </x:c>
    </x:row>
    <x:row r="251" ht="37" customHeight="1">
      <x:c r="A251" s="16" t="str">
        <x:v>RAW-00245</x:v>
      </x:c>
      <x:c r="B251" s="16" t="str">
        <x:v>Observation</x:v>
      </x:c>
      <x:c r="C251" s="16" t="str">
        <x:v>– Minor salt staining and paint deterioration on back verandah column.</x:v>
      </x:c>
      <x:c r="D251" s="16" t="str">
        <x:v>Back verandah columns</x:v>
      </x:c>
      <x:c r="E251" s="16" t="str">
        <x:v>SRC-008</x:v>
      </x:c>
      <x:c r="F251" s="16" t="str">
        <x:v>OBS-0069</x:v>
      </x:c>
      <x:c r="G251" s="16" t="str">
        <x:v>正式报告</x:v>
      </x:c>
      <x:c r="H251" s="19" t="n">
        <x:v>4</x:v>
      </x:c>
      <x:c r="I251" s="19" t="n">
        <x:v>7</x:v>
      </x:c>
      <x:c r="J251" s="19" t="n">
        <x:v>4</x:v>
      </x:c>
      <x:c r="K251" s="16" t="str">
        <x:v>2. New with slight deterioration</x:v>
      </x:c>
      <x:c r="L251" s="16" t="str">
        <x:v>Very unlikely</x:v>
      </x:c>
      <x:c r="M251" s="16" t="str">
        <x:v>Significant</x:v>
      </x:c>
      <x:c r="N251" s="16" t="str">
        <x:v>Low</x:v>
      </x:c>
    </x:row>
    <x:row r="252" ht="37" customHeight="1">
      <x:c r="A252" s="16" t="str">
        <x:v>RAW-00246</x:v>
      </x:c>
      <x:c r="B252" s="16" t="str">
        <x:v>Recommendation</x:v>
      </x:c>
      <x:c r="C252" s="16" t="str">
        <x:v>– Remove salt staining and repaint column.</x:v>
      </x:c>
      <x:c r="D252" s="16" t="str">
        <x:v>Back verandah columns</x:v>
      </x:c>
      <x:c r="E252" s="16" t="str">
        <x:v>SRC-008</x:v>
      </x:c>
      <x:c r="F252" s="16" t="str">
        <x:v>REC-0034</x:v>
      </x:c>
      <x:c r="G252" s="16" t="str">
        <x:v>正式报告</x:v>
      </x:c>
      <x:c r="H252" s="19" t="n">
        <x:v>4</x:v>
      </x:c>
      <x:c r="I252" s="19" t="n">
        <x:v>7</x:v>
      </x:c>
      <x:c r="J252" s="19" t="n">
        <x:v>4</x:v>
      </x:c>
      <x:c r="K252" s="16" t="str">
        <x:v>2. New with slight deterioration</x:v>
      </x:c>
      <x:c r="L252" s="16" t="str">
        <x:v>Very unlikely</x:v>
      </x:c>
      <x:c r="M252" s="16" t="str">
        <x:v>Significant</x:v>
      </x:c>
      <x:c r="N252" s="16" t="str">
        <x:v>Low</x:v>
      </x:c>
    </x:row>
    <x:row r="253" ht="37" customHeight="1">
      <x:c r="A253" s="16" t="str">
        <x:v>RAW-00247</x:v>
      </x:c>
      <x:c r="B253" s="16" t="str">
        <x:v>Observation</x:v>
      </x:c>
      <x:c r="C253" s="16" t="str">
        <x:v>– Cladding and framing in good condition.</x:v>
      </x:c>
      <x:c r="D253" s="16" t="str">
        <x:v>Cladding and framing</x:v>
      </x:c>
      <x:c r="E253" s="16" t="str">
        <x:v>SRC-008</x:v>
      </x:c>
      <x:c r="F253" s="16" t="str">
        <x:v>OBS-0183</x:v>
      </x:c>
      <x:c r="G253" s="16" t="str">
        <x:v>正式报告</x:v>
      </x:c>
      <x:c r="H253" s="19" t="n">
        <x:v>5</x:v>
      </x:c>
      <x:c r="I253" s="19" t="n">
        <x:v>6</x:v>
      </x:c>
      <x:c r="J253" s="19" t="n">
        <x:v>2</x:v>
      </x:c>
      <x:c r="K253" s="16" t="str">
        <x:v>2. New with slight deterioration</x:v>
      </x:c>
      <x:c r="L253" s="16" t="str">
        <x:v>Unlikely</x:v>
      </x:c>
      <x:c r="M253" s="16" t="str">
        <x:v>Negligible</x:v>
      </x:c>
      <x:c r="N253" s="16" t="str">
        <x:v>Low</x:v>
      </x:c>
    </x:row>
    <x:row r="254" ht="37" customHeight="1">
      <x:c r="A254" s="16" t="str">
        <x:v>RAW-00248</x:v>
      </x:c>
      <x:c r="B254" s="16" t="str">
        <x:v>Observation</x:v>
      </x:c>
      <x:c r="C254" s="16" t="str">
        <x:v>– Cladding and framing in good condition. Minor salt staining in the corner of window.</x:v>
      </x:c>
      <x:c r="D254" s="16" t="str">
        <x:v>Cladding and framing</x:v>
      </x:c>
      <x:c r="E254" s="16" t="str">
        <x:v>SRC-008</x:v>
      </x:c>
      <x:c r="F254" s="16" t="str">
        <x:v>OBS-0184</x:v>
      </x:c>
      <x:c r="G254" s="16" t="str">
        <x:v>正式报告</x:v>
      </x:c>
      <x:c r="H254" s="19" t="n">
        <x:v>5</x:v>
      </x:c>
      <x:c r="I254" s="19" t="n">
        <x:v>8</x:v>
      </x:c>
      <x:c r="J254" s="19" t="n">
        <x:v>2</x:v>
      </x:c>
      <x:c r="K254" s="16" t="str">
        <x:v>2. New with slight deterioration</x:v>
      </x:c>
      <x:c r="L254" s="16" t="str">
        <x:v>Unlikely</x:v>
      </x:c>
      <x:c r="M254" s="16" t="str">
        <x:v>Negligible</x:v>
      </x:c>
      <x:c r="N254" s="16" t="str">
        <x:v>Low</x:v>
      </x:c>
    </x:row>
    <x:row r="255" ht="37" customHeight="1">
      <x:c r="A255" s="16" t="str">
        <x:v>RAW-00249</x:v>
      </x:c>
      <x:c r="B255" s="16" t="str">
        <x:v>Recommendation</x:v>
      </x:c>
      <x:c r="C255" s="16" t="str">
        <x:v>– Remove salt staining.</x:v>
      </x:c>
      <x:c r="D255" s="16" t="str">
        <x:v>Cladding and framing</x:v>
      </x:c>
      <x:c r="E255" s="16" t="str">
        <x:v>SRC-008</x:v>
      </x:c>
      <x:c r="F255" s="16" t="str">
        <x:v>REC-0004</x:v>
      </x:c>
      <x:c r="G255" s="16" t="str">
        <x:v>正式报告</x:v>
      </x:c>
      <x:c r="H255" s="19" t="n">
        <x:v>5</x:v>
      </x:c>
      <x:c r="I255" s="19" t="n">
        <x:v>8</x:v>
      </x:c>
      <x:c r="J255" s="19" t="n">
        <x:v>2</x:v>
      </x:c>
      <x:c r="K255" s="16" t="str">
        <x:v>2. New with slight deterioration</x:v>
      </x:c>
      <x:c r="L255" s="16" t="str">
        <x:v>Unlikely</x:v>
      </x:c>
      <x:c r="M255" s="16" t="str">
        <x:v>Negligible</x:v>
      </x:c>
      <x:c r="N255" s="16" t="str">
        <x:v>Low</x:v>
      </x:c>
    </x:row>
    <x:row r="256" ht="37" customHeight="1">
      <x:c r="A256" s="16" t="str">
        <x:v>RAW-00250</x:v>
      </x:c>
      <x:c r="B256" s="16" t="str">
        <x:v>Observation</x:v>
      </x:c>
      <x:c r="C256" s="16" t="str">
        <x:v>– Cladding and framing in good condition. Minor salt staining.</x:v>
      </x:c>
      <x:c r="D256" s="16" t="str">
        <x:v>Cladding and framing</x:v>
      </x:c>
      <x:c r="E256" s="16" t="str">
        <x:v>SRC-008</x:v>
      </x:c>
      <x:c r="F256" s="16" t="str">
        <x:v>OBS-0185</x:v>
      </x:c>
      <x:c r="G256" s="16" t="str">
        <x:v>正式报告</x:v>
      </x:c>
      <x:c r="H256" s="19" t="n">
        <x:v>5</x:v>
      </x:c>
      <x:c r="I256" s="19" t="n">
        <x:v>10</x:v>
      </x:c>
      <x:c r="J256" s="19" t="n">
        <x:v>2</x:v>
      </x:c>
      <x:c r="K256" s="16" t="str">
        <x:v>2. New with slight deterioration</x:v>
      </x:c>
      <x:c r="L256" s="16" t="str">
        <x:v>Unlikely</x:v>
      </x:c>
      <x:c r="M256" s="16" t="str">
        <x:v>Negligible</x:v>
      </x:c>
      <x:c r="N256" s="16" t="str">
        <x:v>Low</x:v>
      </x:c>
    </x:row>
    <x:row r="257" ht="37" customHeight="1">
      <x:c r="A257" s="16" t="str">
        <x:v>RAW-00251</x:v>
      </x:c>
      <x:c r="B257" s="16" t="str">
        <x:v>Recommendation</x:v>
      </x:c>
      <x:c r="C257" s="16" t="str">
        <x:v>– Remove salt staining.</x:v>
      </x:c>
      <x:c r="D257" s="16" t="str">
        <x:v>Cladding and framing</x:v>
      </x:c>
      <x:c r="E257" s="16" t="str">
        <x:v>SRC-008</x:v>
      </x:c>
      <x:c r="F257" s="16" t="str">
        <x:v>REC-0004</x:v>
      </x:c>
      <x:c r="G257" s="16" t="str">
        <x:v>正式报告</x:v>
      </x:c>
      <x:c r="H257" s="19" t="n">
        <x:v>5</x:v>
      </x:c>
      <x:c r="I257" s="19" t="n">
        <x:v>10</x:v>
      </x:c>
      <x:c r="J257" s="19" t="n">
        <x:v>2</x:v>
      </x:c>
      <x:c r="K257" s="16" t="str">
        <x:v>2. New with slight deterioration</x:v>
      </x:c>
      <x:c r="L257" s="16" t="str">
        <x:v>Unlikely</x:v>
      </x:c>
      <x:c r="M257" s="16" t="str">
        <x:v>Negligible</x:v>
      </x:c>
      <x:c r="N257" s="16" t="str">
        <x:v>Low</x:v>
      </x:c>
    </x:row>
    <x:row r="258" ht="37" customHeight="1">
      <x:c r="A258" s="16" t="str">
        <x:v>RAW-00252</x:v>
      </x:c>
      <x:c r="B258" s="16" t="str">
        <x:v>Observation</x:v>
      </x:c>
      <x:c r="C258" s="16" t="str">
        <x:v>– Right hand side gate facing front entrance. Minor corrosion on post baseplate.</x:v>
      </x:c>
      <x:c r="D258" s="16" t="str">
        <x:v>Fencing/gate posts</x:v>
      </x:c>
      <x:c r="E258" s="16" t="str">
        <x:v>SRC-008</x:v>
      </x:c>
      <x:c r="F258" s="16" t="str">
        <x:v>OBS-0485</x:v>
      </x:c>
      <x:c r="G258" s="16" t="str">
        <x:v>正式报告</x:v>
      </x:c>
      <x:c r="H258" s="19" t="n">
        <x:v>6</x:v>
      </x:c>
      <x:c r="I258" s="19" t="n">
        <x:v>6</x:v>
      </x:c>
      <x:c r="J258" s="19" t="n">
        <x:v>3</x:v>
      </x:c>
      <x:c r="K258" s="16" t="str">
        <x:v>2. New with slight deterioration</x:v>
      </x:c>
      <x:c r="L258" s="16" t="str">
        <x:v>Very unlikely</x:v>
      </x:c>
      <x:c r="M258" s="16" t="str">
        <x:v>Moderate</x:v>
      </x:c>
      <x:c r="N258" s="16" t="str">
        <x:v>Low</x:v>
      </x:c>
    </x:row>
    <x:row r="259" ht="37" customHeight="1">
      <x:c r="A259" s="16" t="str">
        <x:v>RAW-00253</x:v>
      </x:c>
      <x:c r="B259" s="16" t="str">
        <x:v>Recommendation</x:v>
      </x:c>
      <x:c r="C259" s="16" t="str">
        <x:v>– Clean, wire brush and repaint.</x:v>
      </x:c>
      <x:c r="D259" s="16" t="str">
        <x:v>Fencing/gate posts</x:v>
      </x:c>
      <x:c r="E259" s="16" t="str">
        <x:v>SRC-008</x:v>
      </x:c>
      <x:c r="F259" s="16" t="str">
        <x:v>REC-0001</x:v>
      </x:c>
      <x:c r="G259" s="16" t="str">
        <x:v>正式报告</x:v>
      </x:c>
      <x:c r="H259" s="19" t="n">
        <x:v>6</x:v>
      </x:c>
      <x:c r="I259" s="19" t="n">
        <x:v>6</x:v>
      </x:c>
      <x:c r="J259" s="19" t="n">
        <x:v>3</x:v>
      </x:c>
      <x:c r="K259" s="16" t="str">
        <x:v>2. New with slight deterioration</x:v>
      </x:c>
      <x:c r="L259" s="16" t="str">
        <x:v>Very unlikely</x:v>
      </x:c>
      <x:c r="M259" s="16" t="str">
        <x:v>Moderate</x:v>
      </x:c>
      <x:c r="N259" s="16" t="str">
        <x:v>Low</x:v>
      </x:c>
    </x:row>
    <x:row r="260" ht="37" customHeight="1">
      <x:c r="A260" s="16" t="str">
        <x:v>RAW-00254</x:v>
      </x:c>
      <x:c r="B260" s="16" t="str">
        <x:v>Observation</x:v>
      </x:c>
      <x:c r="C260" s="16" t="str">
        <x:v>– Blocks have eroded leaving rough edges and sharp mortar joints.</x:v>
      </x:c>
      <x:c r="D260" s="16" t="str">
        <x:v>Pool retaining wall</x:v>
      </x:c>
      <x:c r="E260" s="16" t="str">
        <x:v>SRC-009</x:v>
      </x:c>
      <x:c r="F260" s="16" t="str">
        <x:v>OBS-0146</x:v>
      </x:c>
      <x:c r="G260" s="16" t="str">
        <x:v>正式报告</x:v>
      </x:c>
      <x:c r="H260" s="19" t="n">
        <x:v>3</x:v>
      </x:c>
      <x:c r="I260" s="19" t="n">
        <x:v>6</x:v>
      </x:c>
      <x:c r="J260" s="19" t="n">
        <x:v>3</x:v>
      </x:c>
      <x:c r="K260" s="16" t="str">
        <x:v>N/A</x:v>
      </x:c>
      <x:c r="L260" s="16" t="str">
        <x:v>Possible</x:v>
      </x:c>
      <x:c r="M260" s="16" t="str">
        <x:v>Moderate</x:v>
      </x:c>
      <x:c r="N260" s="16" t="str">
        <x:v>High</x:v>
      </x:c>
    </x:row>
    <x:row r="261" ht="37" customHeight="1">
      <x:c r="A261" s="16" t="str">
        <x:v>RAW-00255</x:v>
      </x:c>
      <x:c r="B261" s="16" t="str">
        <x:v>Recommendation</x:v>
      </x:c>
      <x:c r="C261" s="16" t="str">
        <x:v>– Remove sharp mortar joints so it sits flush with block. Eventually block will require replacement.</x:v>
      </x:c>
      <x:c r="D261" s="16" t="str">
        <x:v>Pool retaining wall</x:v>
      </x:c>
      <x:c r="E261" s="16" t="str">
        <x:v>SRC-009</x:v>
      </x:c>
      <x:c r="F261" s="16" t="str">
        <x:v>REC-0132</x:v>
      </x:c>
      <x:c r="G261" s="16" t="str">
        <x:v>正式报告</x:v>
      </x:c>
      <x:c r="H261" s="19" t="n">
        <x:v>3</x:v>
      </x:c>
      <x:c r="I261" s="19" t="n">
        <x:v>6</x:v>
      </x:c>
      <x:c r="J261" s="19" t="n">
        <x:v>3</x:v>
      </x:c>
      <x:c r="K261" s="16" t="str">
        <x:v>N/A</x:v>
      </x:c>
      <x:c r="L261" s="16" t="str">
        <x:v>Possible</x:v>
      </x:c>
      <x:c r="M261" s="16" t="str">
        <x:v>Moderate</x:v>
      </x:c>
      <x:c r="N261" s="16" t="str">
        <x:v>High</x:v>
      </x:c>
    </x:row>
    <x:row r="262" ht="37" customHeight="1">
      <x:c r="A262" s="16" t="str">
        <x:v>RAW-00256</x:v>
      </x:c>
      <x:c r="B262" s="16" t="str">
        <x:v>Observation</x:v>
      </x:c>
      <x:c r="C262" s="16" t="str">
        <x:v>– Pool shed. Corrosion on the left hand side corner.</x:v>
      </x:c>
      <x:c r="D262" s="16" t="str">
        <x:v>Pool shed column</x:v>
      </x:c>
      <x:c r="E262" s="16" t="str">
        <x:v>SRC-009</x:v>
      </x:c>
      <x:c r="F262" s="16" t="str">
        <x:v>OBS-0468</x:v>
      </x:c>
      <x:c r="G262" s="16" t="str">
        <x:v>正式报告</x:v>
      </x:c>
      <x:c r="H262" s="19" t="n">
        <x:v>4</x:v>
      </x:c>
      <x:c r="I262" s="19" t="n">
        <x:v>6</x:v>
      </x:c>
      <x:c r="J262" s="19" t="n">
        <x:v>3</x:v>
      </x:c>
      <x:c r="K262" s="16" t="str">
        <x:v>5. Major deterioration</x:v>
      </x:c>
      <x:c r="L262" s="16" t="str">
        <x:v>Likely</x:v>
      </x:c>
      <x:c r="M262" s="16" t="str">
        <x:v>Moderate</x:v>
      </x:c>
      <x:c r="N262" s="16" t="str">
        <x:v>High</x:v>
      </x:c>
    </x:row>
    <x:row r="263" ht="41" customHeight="1">
      <x:c r="A263" s="16" t="str">
        <x:v>RAW-00257</x:v>
      </x:c>
      <x:c r="B263" s="16" t="str">
        <x:v>Recommendation</x:v>
      </x:c>
      <x:c r="C263" s="16" t="str">
        <x:v>– Investigate whether any equipment with shed is leaking and accelerating corrosion. Clean, remove corrosion and repaint.</x:v>
      </x:c>
      <x:c r="D263" s="16" t="str">
        <x:v>Pool shed column</x:v>
      </x:c>
      <x:c r="E263" s="16" t="str">
        <x:v>SRC-009</x:v>
      </x:c>
      <x:c r="F263" s="16" t="str">
        <x:v>REC-0107</x:v>
      </x:c>
      <x:c r="G263" s="16" t="str">
        <x:v>正式报告</x:v>
      </x:c>
      <x:c r="H263" s="19" t="n">
        <x:v>4</x:v>
      </x:c>
      <x:c r="I263" s="19" t="n">
        <x:v>6</x:v>
      </x:c>
      <x:c r="J263" s="19" t="n">
        <x:v>3</x:v>
      </x:c>
      <x:c r="K263" s="16" t="str">
        <x:v>5. Major deterioration</x:v>
      </x:c>
      <x:c r="L263" s="16" t="str">
        <x:v>Likely</x:v>
      </x:c>
      <x:c r="M263" s="16" t="str">
        <x:v>Moderate</x:v>
      </x:c>
      <x:c r="N263" s="16" t="str">
        <x:v>High</x:v>
      </x:c>
    </x:row>
    <x:row r="264" ht="37" customHeight="1">
      <x:c r="A264" s="16" t="str">
        <x:v>RAW-00258</x:v>
      </x:c>
      <x:c r="B264" s="16" t="str">
        <x:v>Observation</x:v>
      </x:c>
      <x:c r="C264" s="16" t="str">
        <x:v>– Concrete service lid. Exposed reinforcement and spalling of concrete.</x:v>
      </x:c>
      <x:c r="D264" s="16" t="str">
        <x:v>Service lid</x:v>
      </x:c>
      <x:c r="E264" s="16" t="str">
        <x:v>SRC-009</x:v>
      </x:c>
      <x:c r="F264" s="16" t="str">
        <x:v>OBS-0217</x:v>
      </x:c>
      <x:c r="G264" s="16" t="str">
        <x:v>正式报告</x:v>
      </x:c>
      <x:c r="H264" s="19" t="n">
        <x:v>5</x:v>
      </x:c>
      <x:c r="I264" s="19" t="n">
        <x:v>6</x:v>
      </x:c>
      <x:c r="J264" s="19" t="n">
        <x:v>3</x:v>
      </x:c>
      <x:c r="K264" s="16" t="str">
        <x:v>7. Very severe deterioration</x:v>
      </x:c>
      <x:c r="L264" s="16" t="str">
        <x:v>Very likely</x:v>
      </x:c>
      <x:c r="M264" s="16" t="str">
        <x:v>Minor</x:v>
      </x:c>
      <x:c r="N264" s="16" t="str">
        <x:v>High</x:v>
      </x:c>
    </x:row>
    <x:row r="265" ht="37" customHeight="1">
      <x:c r="A265" s="16" t="str">
        <x:v>RAW-00259</x:v>
      </x:c>
      <x:c r="B265" s="16" t="str">
        <x:v>Recommendation</x:v>
      </x:c>
      <x:c r="C265" s="16" t="str">
        <x:v>–Short term: Clean, remove corrosion and patch-up.</x:v>
      </x:c>
      <x:c r="D265" s="16" t="str">
        <x:v>Service lid</x:v>
      </x:c>
      <x:c r="E265" s="16" t="str">
        <x:v>SRC-009</x:v>
      </x:c>
      <x:c r="F265" s="16" t="str">
        <x:v>REC-0163</x:v>
      </x:c>
      <x:c r="G265" s="16" t="str">
        <x:v>正式报告</x:v>
      </x:c>
      <x:c r="H265" s="19" t="n">
        <x:v>5</x:v>
      </x:c>
      <x:c r="I265" s="19" t="n">
        <x:v>6</x:v>
      </x:c>
      <x:c r="J265" s="19" t="n">
        <x:v>3</x:v>
      </x:c>
      <x:c r="K265" s="16" t="str">
        <x:v>7. Very severe deterioration</x:v>
      </x:c>
      <x:c r="L265" s="16" t="str">
        <x:v>Very likely</x:v>
      </x:c>
      <x:c r="M265" s="16" t="str">
        <x:v>Minor</x:v>
      </x:c>
      <x:c r="N265" s="16" t="str">
        <x:v>High</x:v>
      </x:c>
    </x:row>
    <x:row r="266" ht="37" customHeight="1">
      <x:c r="A266" s="16" t="str">
        <x:v>RAW-00260</x:v>
      </x:c>
      <x:c r="B266" s="16" t="str">
        <x:v>Observation</x:v>
      </x:c>
      <x:c r="C266" s="16" t="str">
        <x:v>– Front verandah.</x:v>
      </x:c>
      <x:c r="D266" s="16" t="str">
        <x:v>Columns and beams</x:v>
      </x:c>
      <x:c r="E266" s="16" t="str">
        <x:v>SRC-009</x:v>
      </x:c>
      <x:c r="F266" s="16" t="str">
        <x:v>OBS-0014</x:v>
      </x:c>
      <x:c r="G266" s="16" t="str">
        <x:v>正式报告</x:v>
      </x:c>
      <x:c r="H266" s="19" t="n">
        <x:v>6</x:v>
      </x:c>
      <x:c r="I266" s="19" t="n">
        <x:v>6</x:v>
      </x:c>
      <x:c r="J266" s="19" t="n">
        <x:v>1</x:v>
      </x:c>
      <x:c r="K266" s="16" t="str">
        <x:v>3. Minor deterioration</x:v>
      </x:c>
      <x:c r="L266" s="16" t="str">
        <x:v>Unlikely</x:v>
      </x:c>
      <x:c r="M266" s="16" t="str">
        <x:v>Significant</x:v>
      </x:c>
      <x:c r="N266" s="16" t="str">
        <x:v>Moderate</x:v>
      </x:c>
    </x:row>
    <x:row r="267" ht="37" customHeight="1">
      <x:c r="A267" s="16" t="str">
        <x:v>RAW-00261</x:v>
      </x:c>
      <x:c r="B267" s="16" t="str">
        <x:v>Observation</x:v>
      </x:c>
      <x:c r="C267" s="16" t="str">
        <x:v>– Front verandah. Paint deterioration.</x:v>
      </x:c>
      <x:c r="D267" s="16" t="str">
        <x:v>Columns and beams</x:v>
      </x:c>
      <x:c r="E267" s="16" t="str">
        <x:v>SRC-009</x:v>
      </x:c>
      <x:c r="F267" s="16" t="str">
        <x:v>OBS-0306</x:v>
      </x:c>
      <x:c r="G267" s="16" t="str">
        <x:v>正式报告</x:v>
      </x:c>
      <x:c r="H267" s="19" t="n">
        <x:v>6</x:v>
      </x:c>
      <x:c r="I267" s="19" t="n">
        <x:v>7</x:v>
      </x:c>
      <x:c r="J267" s="19" t="n">
        <x:v>1</x:v>
      </x:c>
      <x:c r="K267" s="16" t="str">
        <x:v>3. Minor deterioration</x:v>
      </x:c>
      <x:c r="L267" s="16" t="str">
        <x:v>Unlikely</x:v>
      </x:c>
      <x:c r="M267" s="16" t="str">
        <x:v>Significant</x:v>
      </x:c>
      <x:c r="N267" s="16" t="str">
        <x:v>Moderate</x:v>
      </x:c>
    </x:row>
    <x:row r="268" ht="37" customHeight="1">
      <x:c r="A268" s="16" t="str">
        <x:v>RAW-00262</x:v>
      </x:c>
      <x:c r="B268" s="16" t="str">
        <x:v>Recommendation</x:v>
      </x:c>
      <x:c r="C268" s="16" t="str">
        <x:v>– Clean and repaint.</x:v>
      </x:c>
      <x:c r="D268" s="16" t="str">
        <x:v>Columns and beams</x:v>
      </x:c>
      <x:c r="E268" s="16" t="str">
        <x:v>SRC-009</x:v>
      </x:c>
      <x:c r="F268" s="16" t="str">
        <x:v>REC-0006</x:v>
      </x:c>
      <x:c r="G268" s="16" t="str">
        <x:v>正式报告</x:v>
      </x:c>
      <x:c r="H268" s="19" t="n">
        <x:v>6</x:v>
      </x:c>
      <x:c r="I268" s="19" t="n">
        <x:v>7</x:v>
      </x:c>
      <x:c r="J268" s="19" t="n">
        <x:v>1</x:v>
      </x:c>
      <x:c r="K268" s="16" t="str">
        <x:v>3. Minor deterioration</x:v>
      </x:c>
      <x:c r="L268" s="16" t="str">
        <x:v>Unlikely</x:v>
      </x:c>
      <x:c r="M268" s="16" t="str">
        <x:v>Significant</x:v>
      </x:c>
      <x:c r="N268" s="16" t="str">
        <x:v>Moderate</x:v>
      </x:c>
    </x:row>
    <x:row r="269" ht="37" customHeight="1">
      <x:c r="A269" s="16" t="str">
        <x:v>RAW-00263</x:v>
      </x:c>
      <x:c r="B269" s="16" t="str">
        <x:v>Observation</x:v>
      </x:c>
      <x:c r="C269" s="16" t="str">
        <x:v>– Front verandah. Paint deterioration. Gap between column and brickwork.</x:v>
      </x:c>
      <x:c r="D269" s="16" t="str">
        <x:v>Columns and beams</x:v>
      </x:c>
      <x:c r="E269" s="16" t="str">
        <x:v>SRC-009</x:v>
      </x:c>
      <x:c r="F269" s="16" t="str">
        <x:v>OBS-0307</x:v>
      </x:c>
      <x:c r="G269" s="16" t="str">
        <x:v>正式报告</x:v>
      </x:c>
      <x:c r="H269" s="19" t="n">
        <x:v>6</x:v>
      </x:c>
      <x:c r="I269" s="19" t="n">
        <x:v>8</x:v>
      </x:c>
      <x:c r="J269" s="19" t="n">
        <x:v>1</x:v>
      </x:c>
      <x:c r="K269" s="16" t="str">
        <x:v>3. Minor deterioration</x:v>
      </x:c>
      <x:c r="L269" s="16" t="str">
        <x:v>Unlikely</x:v>
      </x:c>
      <x:c r="M269" s="16" t="str">
        <x:v>Significant</x:v>
      </x:c>
      <x:c r="N269" s="16" t="str">
        <x:v>Moderate</x:v>
      </x:c>
    </x:row>
    <x:row r="270" ht="37" customHeight="1">
      <x:c r="A270" s="16" t="str">
        <x:v>RAW-00264</x:v>
      </x:c>
      <x:c r="B270" s="16" t="str">
        <x:v>Recommendation</x:v>
      </x:c>
      <x:c r="C270" s="16" t="str">
        <x:v>– Fill gap with non-permeable grout to prevent water ingress.</x:v>
      </x:c>
      <x:c r="D270" s="16" t="str">
        <x:v>Columns and beams</x:v>
      </x:c>
      <x:c r="E270" s="16" t="str">
        <x:v>SRC-009</x:v>
      </x:c>
      <x:c r="F270" s="16" t="str">
        <x:v>REC-0097</x:v>
      </x:c>
      <x:c r="G270" s="16" t="str">
        <x:v>正式报告</x:v>
      </x:c>
      <x:c r="H270" s="19" t="n">
        <x:v>6</x:v>
      </x:c>
      <x:c r="I270" s="19" t="n">
        <x:v>8</x:v>
      </x:c>
      <x:c r="J270" s="19" t="n">
        <x:v>1</x:v>
      </x:c>
      <x:c r="K270" s="16" t="str">
        <x:v>3. Minor deterioration</x:v>
      </x:c>
      <x:c r="L270" s="16" t="str">
        <x:v>Unlikely</x:v>
      </x:c>
      <x:c r="M270" s="16" t="str">
        <x:v>Significant</x:v>
      </x:c>
      <x:c r="N270" s="16" t="str">
        <x:v>Moderate</x:v>
      </x:c>
    </x:row>
    <x:row r="271" ht="37" customHeight="1">
      <x:c r="A271" s="16" t="str">
        <x:v>RAW-00265</x:v>
      </x:c>
      <x:c r="B271" s="16" t="str">
        <x:v>Observation</x:v>
      </x:c>
      <x:c r="C271" s="16" t="str">
        <x:v>– Left hand side columns facing front of house.</x:v>
      </x:c>
      <x:c r="D271" s="16" t="str">
        <x:v>Columns and beams</x:v>
      </x:c>
      <x:c r="E271" s="16" t="str">
        <x:v>SRC-009</x:v>
      </x:c>
      <x:c r="F271" s="16" t="str">
        <x:v>OBS-0055</x:v>
      </x:c>
      <x:c r="G271" s="16" t="str">
        <x:v>正式报告</x:v>
      </x:c>
      <x:c r="H271" s="19" t="n">
        <x:v>6</x:v>
      </x:c>
      <x:c r="I271" s="19" t="n">
        <x:v>9</x:v>
      </x:c>
      <x:c r="J271" s="19" t="n">
        <x:v>1</x:v>
      </x:c>
      <x:c r="K271" s="16" t="str">
        <x:v>3. Minor deterioration</x:v>
      </x:c>
      <x:c r="L271" s="16" t="str">
        <x:v>Unlikely</x:v>
      </x:c>
      <x:c r="M271" s="16" t="str">
        <x:v>Significant</x:v>
      </x:c>
      <x:c r="N271" s="16" t="str">
        <x:v>Moderate</x:v>
      </x:c>
    </x:row>
    <x:row r="272" ht="37" customHeight="1">
      <x:c r="A272" s="16" t="str">
        <x:v>RAW-00266</x:v>
      </x:c>
      <x:c r="B272" s="16" t="str">
        <x:v>Observation</x:v>
      </x:c>
      <x:c r="C272" s="16" t="str">
        <x:v>– Front verandah Column 1. Minor corrosion at the top column connection.</x:v>
      </x:c>
      <x:c r="D272" s="16" t="str">
        <x:v>Columns and beams</x:v>
      </x:c>
      <x:c r="E272" s="16" t="str">
        <x:v>SRC-009</x:v>
      </x:c>
      <x:c r="F272" s="16" t="str">
        <x:v>OBS-0287</x:v>
      </x:c>
      <x:c r="G272" s="16" t="str">
        <x:v>正式报告</x:v>
      </x:c>
      <x:c r="H272" s="19" t="n">
        <x:v>6</x:v>
      </x:c>
      <x:c r="I272" s="19" t="n">
        <x:v>10</x:v>
      </x:c>
      <x:c r="J272" s="19" t="n">
        <x:v>1</x:v>
      </x:c>
      <x:c r="K272" s="16" t="str">
        <x:v>3. Minor deterioration</x:v>
      </x:c>
      <x:c r="L272" s="16" t="str">
        <x:v>Unlikely</x:v>
      </x:c>
      <x:c r="M272" s="16" t="str">
        <x:v>Significant</x:v>
      </x:c>
      <x:c r="N272" s="16" t="str">
        <x:v>Moderate</x:v>
      </x:c>
    </x:row>
    <x:row r="273" ht="37" customHeight="1">
      <x:c r="A273" s="16" t="str">
        <x:v>RAW-00267</x:v>
      </x:c>
      <x:c r="B273" s="16" t="str">
        <x:v>Recommendation</x:v>
      </x:c>
      <x:c r="C273" s="16" t="str">
        <x:v>– Clean, remove corrosion and repaint.</x:v>
      </x:c>
      <x:c r="D273" s="16" t="str">
        <x:v>Columns and beams</x:v>
      </x:c>
      <x:c r="E273" s="16" t="str">
        <x:v>SRC-009</x:v>
      </x:c>
      <x:c r="F273" s="16" t="str">
        <x:v>REC-0002</x:v>
      </x:c>
      <x:c r="G273" s="16" t="str">
        <x:v>正式报告</x:v>
      </x:c>
      <x:c r="H273" s="19" t="n">
        <x:v>6</x:v>
      </x:c>
      <x:c r="I273" s="19" t="n">
        <x:v>10</x:v>
      </x:c>
      <x:c r="J273" s="19" t="n">
        <x:v>1</x:v>
      </x:c>
      <x:c r="K273" s="16" t="str">
        <x:v>3. Minor deterioration</x:v>
      </x:c>
      <x:c r="L273" s="16" t="str">
        <x:v>Unlikely</x:v>
      </x:c>
      <x:c r="M273" s="16" t="str">
        <x:v>Significant</x:v>
      </x:c>
      <x:c r="N273" s="16" t="str">
        <x:v>Moderate</x:v>
      </x:c>
    </x:row>
    <x:row r="274" ht="37" customHeight="1">
      <x:c r="A274" s="16" t="str">
        <x:v>RAW-00268</x:v>
      </x:c>
      <x:c r="B274" s="16" t="str">
        <x:v>Observation</x:v>
      </x:c>
      <x:c r="C274" s="16" t="str">
        <x:v>– Front verandah Column 2. Minor corrosion at the top column connection.</x:v>
      </x:c>
      <x:c r="D274" s="16" t="str">
        <x:v>Columns and beams</x:v>
      </x:c>
      <x:c r="E274" s="16" t="str">
        <x:v>SRC-009</x:v>
      </x:c>
      <x:c r="F274" s="16" t="str">
        <x:v>OBS-0288</x:v>
      </x:c>
      <x:c r="G274" s="16" t="str">
        <x:v>正式报告</x:v>
      </x:c>
      <x:c r="H274" s="19" t="n">
        <x:v>6</x:v>
      </x:c>
      <x:c r="I274" s="19" t="n">
        <x:v>11</x:v>
      </x:c>
      <x:c r="J274" s="19" t="n">
        <x:v>1</x:v>
      </x:c>
      <x:c r="K274" s="16" t="str">
        <x:v>3. Minor deterioration</x:v>
      </x:c>
      <x:c r="L274" s="16" t="str">
        <x:v>Unlikely</x:v>
      </x:c>
      <x:c r="M274" s="16" t="str">
        <x:v>Significant</x:v>
      </x:c>
      <x:c r="N274" s="16" t="str">
        <x:v>Moderate</x:v>
      </x:c>
    </x:row>
    <x:row r="275" ht="37" customHeight="1">
      <x:c r="A275" s="16" t="str">
        <x:v>RAW-00269</x:v>
      </x:c>
      <x:c r="B275" s="16" t="str">
        <x:v>Recommendation</x:v>
      </x:c>
      <x:c r="C275" s="16" t="str">
        <x:v>– Clean, remove corrosion and repaint.</x:v>
      </x:c>
      <x:c r="D275" s="16" t="str">
        <x:v>Columns and beams</x:v>
      </x:c>
      <x:c r="E275" s="16" t="str">
        <x:v>SRC-009</x:v>
      </x:c>
      <x:c r="F275" s="16" t="str">
        <x:v>REC-0002</x:v>
      </x:c>
      <x:c r="G275" s="16" t="str">
        <x:v>正式报告</x:v>
      </x:c>
      <x:c r="H275" s="19" t="n">
        <x:v>6</x:v>
      </x:c>
      <x:c r="I275" s="19" t="n">
        <x:v>11</x:v>
      </x:c>
      <x:c r="J275" s="19" t="n">
        <x:v>1</x:v>
      </x:c>
      <x:c r="K275" s="16" t="str">
        <x:v>3. Minor deterioration</x:v>
      </x:c>
      <x:c r="L275" s="16" t="str">
        <x:v>Unlikely</x:v>
      </x:c>
      <x:c r="M275" s="16" t="str">
        <x:v>Significant</x:v>
      </x:c>
      <x:c r="N275" s="16" t="str">
        <x:v>Moderate</x:v>
      </x:c>
    </x:row>
    <x:row r="276" ht="37" customHeight="1">
      <x:c r="A276" s="16" t="str">
        <x:v>RAW-00270</x:v>
      </x:c>
      <x:c r="B276" s="16" t="str">
        <x:v>Observation</x:v>
      </x:c>
      <x:c r="C276" s="16" t="str">
        <x:v>– Front verandah Column 3. Minor corrosion at the top column connection.</x:v>
      </x:c>
      <x:c r="D276" s="16" t="str">
        <x:v>Columns and beams</x:v>
      </x:c>
      <x:c r="E276" s="16" t="str">
        <x:v>SRC-009</x:v>
      </x:c>
      <x:c r="F276" s="16" t="str">
        <x:v>OBS-0289</x:v>
      </x:c>
      <x:c r="G276" s="16" t="str">
        <x:v>正式报告</x:v>
      </x:c>
      <x:c r="H276" s="19" t="n">
        <x:v>6</x:v>
      </x:c>
      <x:c r="I276" s="19" t="n">
        <x:v>12</x:v>
      </x:c>
      <x:c r="J276" s="19" t="n">
        <x:v>1</x:v>
      </x:c>
      <x:c r="K276" s="16" t="str">
        <x:v>3. Minor deterioration</x:v>
      </x:c>
      <x:c r="L276" s="16" t="str">
        <x:v>Unlikely</x:v>
      </x:c>
      <x:c r="M276" s="16" t="str">
        <x:v>Significant</x:v>
      </x:c>
      <x:c r="N276" s="16" t="str">
        <x:v>Moderate</x:v>
      </x:c>
    </x:row>
    <x:row r="277" ht="37" customHeight="1">
      <x:c r="A277" s="16" t="str">
        <x:v>RAW-00271</x:v>
      </x:c>
      <x:c r="B277" s="16" t="str">
        <x:v>Recommendation</x:v>
      </x:c>
      <x:c r="C277" s="16" t="str">
        <x:v>– Clean, remove corrosion and repaint.</x:v>
      </x:c>
      <x:c r="D277" s="16" t="str">
        <x:v>Columns and beams</x:v>
      </x:c>
      <x:c r="E277" s="16" t="str">
        <x:v>SRC-009</x:v>
      </x:c>
      <x:c r="F277" s="16" t="str">
        <x:v>REC-0002</x:v>
      </x:c>
      <x:c r="G277" s="16" t="str">
        <x:v>正式报告</x:v>
      </x:c>
      <x:c r="H277" s="19" t="n">
        <x:v>6</x:v>
      </x:c>
      <x:c r="I277" s="19" t="n">
        <x:v>12</x:v>
      </x:c>
      <x:c r="J277" s="19" t="n">
        <x:v>1</x:v>
      </x:c>
      <x:c r="K277" s="16" t="str">
        <x:v>3. Minor deterioration</x:v>
      </x:c>
      <x:c r="L277" s="16" t="str">
        <x:v>Unlikely</x:v>
      </x:c>
      <x:c r="M277" s="16" t="str">
        <x:v>Significant</x:v>
      </x:c>
      <x:c r="N277" s="16" t="str">
        <x:v>Moderate</x:v>
      </x:c>
    </x:row>
    <x:row r="278" ht="37" customHeight="1">
      <x:c r="A278" s="16" t="str">
        <x:v>RAW-00272</x:v>
      </x:c>
      <x:c r="B278" s="16" t="str">
        <x:v>Observation</x:v>
      </x:c>
      <x:c r="C278" s="16" t="str">
        <x:v>– Overview of the carport.</x:v>
      </x:c>
      <x:c r="D278" s="16" t="str">
        <x:v>Columns and beams</x:v>
      </x:c>
      <x:c r="E278" s="16" t="str">
        <x:v>SRC-009</x:v>
      </x:c>
      <x:c r="F278" s="16" t="str">
        <x:v>OBS-0440</x:v>
      </x:c>
      <x:c r="G278" s="16" t="str">
        <x:v>正式报告</x:v>
      </x:c>
      <x:c r="H278" s="19" t="n">
        <x:v>6</x:v>
      </x:c>
      <x:c r="I278" s="19" t="n">
        <x:v>13</x:v>
      </x:c>
      <x:c r="J278" s="19" t="n">
        <x:v>1</x:v>
      </x:c>
      <x:c r="K278" s="16" t="str">
        <x:v>3. Minor deterioration</x:v>
      </x:c>
      <x:c r="L278" s="16" t="str">
        <x:v>Unlikely</x:v>
      </x:c>
      <x:c r="M278" s="16" t="str">
        <x:v>Significant</x:v>
      </x:c>
      <x:c r="N278" s="16" t="str">
        <x:v>Moderate</x:v>
      </x:c>
    </x:row>
    <x:row r="279" ht="37" customHeight="1">
      <x:c r="A279" s="16" t="str">
        <x:v>RAW-00273</x:v>
      </x:c>
      <x:c r="B279" s="16" t="str">
        <x:v>Observation</x:v>
      </x:c>
      <x:c r="C279" s="16" t="str">
        <x:v>– Carport column 1. Minor corrosion at the top column connection.</x:v>
      </x:c>
      <x:c r="D279" s="16" t="str">
        <x:v>Columns and beams</x:v>
      </x:c>
      <x:c r="E279" s="16" t="str">
        <x:v>SRC-009</x:v>
      </x:c>
      <x:c r="F279" s="16" t="str">
        <x:v>OBS-0151</x:v>
      </x:c>
      <x:c r="G279" s="16" t="str">
        <x:v>正式报告</x:v>
      </x:c>
      <x:c r="H279" s="19" t="n">
        <x:v>6</x:v>
      </x:c>
      <x:c r="I279" s="19" t="n">
        <x:v>14</x:v>
      </x:c>
      <x:c r="J279" s="19" t="n">
        <x:v>1</x:v>
      </x:c>
      <x:c r="K279" s="16" t="str">
        <x:v>3. Minor deterioration</x:v>
      </x:c>
      <x:c r="L279" s="16" t="str">
        <x:v>Unlikely</x:v>
      </x:c>
      <x:c r="M279" s="16" t="str">
        <x:v>Significant</x:v>
      </x:c>
      <x:c r="N279" s="16" t="str">
        <x:v>Moderate</x:v>
      </x:c>
    </x:row>
    <x:row r="280" ht="37" customHeight="1">
      <x:c r="A280" s="16" t="str">
        <x:v>RAW-00274</x:v>
      </x:c>
      <x:c r="B280" s="16" t="str">
        <x:v>Recommendation</x:v>
      </x:c>
      <x:c r="C280" s="16" t="str">
        <x:v>– Clean, remove corrosion and repaint.</x:v>
      </x:c>
      <x:c r="D280" s="16" t="str">
        <x:v>Columns and beams</x:v>
      </x:c>
      <x:c r="E280" s="16" t="str">
        <x:v>SRC-009</x:v>
      </x:c>
      <x:c r="F280" s="16" t="str">
        <x:v>REC-0002</x:v>
      </x:c>
      <x:c r="G280" s="16" t="str">
        <x:v>正式报告</x:v>
      </x:c>
      <x:c r="H280" s="19" t="n">
        <x:v>6</x:v>
      </x:c>
      <x:c r="I280" s="19" t="n">
        <x:v>14</x:v>
      </x:c>
      <x:c r="J280" s="19" t="n">
        <x:v>1</x:v>
      </x:c>
      <x:c r="K280" s="16" t="str">
        <x:v>3. Minor deterioration</x:v>
      </x:c>
      <x:c r="L280" s="16" t="str">
        <x:v>Unlikely</x:v>
      </x:c>
      <x:c r="M280" s="16" t="str">
        <x:v>Significant</x:v>
      </x:c>
      <x:c r="N280" s="16" t="str">
        <x:v>Moderate</x:v>
      </x:c>
    </x:row>
    <x:row r="281" ht="37" customHeight="1">
      <x:c r="A281" s="16" t="str">
        <x:v>RAW-00275</x:v>
      </x:c>
      <x:c r="B281" s="16" t="str">
        <x:v>Observation</x:v>
      </x:c>
      <x:c r="C281" s="16" t="str">
        <x:v>– Carport column 2. Minor corrosion at the top column connection.</x:v>
      </x:c>
      <x:c r="D281" s="16" t="str">
        <x:v>Columns and beams</x:v>
      </x:c>
      <x:c r="E281" s="16" t="str">
        <x:v>SRC-009</x:v>
      </x:c>
      <x:c r="F281" s="16" t="str">
        <x:v>OBS-0152</x:v>
      </x:c>
      <x:c r="G281" s="16" t="str">
        <x:v>正式报告</x:v>
      </x:c>
      <x:c r="H281" s="19" t="n">
        <x:v>6</x:v>
      </x:c>
      <x:c r="I281" s="19" t="n">
        <x:v>15</x:v>
      </x:c>
      <x:c r="J281" s="19" t="n">
        <x:v>1</x:v>
      </x:c>
      <x:c r="K281" s="16" t="str">
        <x:v>3. Minor deterioration</x:v>
      </x:c>
      <x:c r="L281" s="16" t="str">
        <x:v>Unlikely</x:v>
      </x:c>
      <x:c r="M281" s="16" t="str">
        <x:v>Significant</x:v>
      </x:c>
      <x:c r="N281" s="16" t="str">
        <x:v>Moderate</x:v>
      </x:c>
    </x:row>
    <x:row r="282" ht="37" customHeight="1">
      <x:c r="A282" s="16" t="str">
        <x:v>RAW-00276</x:v>
      </x:c>
      <x:c r="B282" s="16" t="str">
        <x:v>Recommendation</x:v>
      </x:c>
      <x:c r="C282" s="16" t="str">
        <x:v>– Clean, remove corrosion and repaint.</x:v>
      </x:c>
      <x:c r="D282" s="16" t="str">
        <x:v>Columns and beams</x:v>
      </x:c>
      <x:c r="E282" s="16" t="str">
        <x:v>SRC-009</x:v>
      </x:c>
      <x:c r="F282" s="16" t="str">
        <x:v>REC-0002</x:v>
      </x:c>
      <x:c r="G282" s="16" t="str">
        <x:v>正式报告</x:v>
      </x:c>
      <x:c r="H282" s="19" t="n">
        <x:v>6</x:v>
      </x:c>
      <x:c r="I282" s="19" t="n">
        <x:v>15</x:v>
      </x:c>
      <x:c r="J282" s="19" t="n">
        <x:v>1</x:v>
      </x:c>
      <x:c r="K282" s="16" t="str">
        <x:v>3. Minor deterioration</x:v>
      </x:c>
      <x:c r="L282" s="16" t="str">
        <x:v>Unlikely</x:v>
      </x:c>
      <x:c r="M282" s="16" t="str">
        <x:v>Significant</x:v>
      </x:c>
      <x:c r="N282" s="16" t="str">
        <x:v>Moderate</x:v>
      </x:c>
    </x:row>
    <x:row r="283" ht="37" customHeight="1">
      <x:c r="A283" s="16" t="str">
        <x:v>RAW-00277</x:v>
      </x:c>
      <x:c r="B283" s="16" t="str">
        <x:v>Observation</x:v>
      </x:c>
      <x:c r="C283" s="16" t="str">
        <x:v>– Carport column 3. Minor corrosion at the top column connection.</x:v>
      </x:c>
      <x:c r="D283" s="16" t="str">
        <x:v>Columns and beams</x:v>
      </x:c>
      <x:c r="E283" s="16" t="str">
        <x:v>SRC-009</x:v>
      </x:c>
      <x:c r="F283" s="16" t="str">
        <x:v>OBS-0153</x:v>
      </x:c>
      <x:c r="G283" s="16" t="str">
        <x:v>正式报告</x:v>
      </x:c>
      <x:c r="H283" s="19" t="n">
        <x:v>6</x:v>
      </x:c>
      <x:c r="I283" s="19" t="n">
        <x:v>16</x:v>
      </x:c>
      <x:c r="J283" s="19" t="n">
        <x:v>1</x:v>
      </x:c>
      <x:c r="K283" s="16" t="str">
        <x:v>3. Minor deterioration</x:v>
      </x:c>
      <x:c r="L283" s="16" t="str">
        <x:v>Unlikely</x:v>
      </x:c>
      <x:c r="M283" s="16" t="str">
        <x:v>Significant</x:v>
      </x:c>
      <x:c r="N283" s="16" t="str">
        <x:v>Moderate</x:v>
      </x:c>
    </x:row>
    <x:row r="284" ht="37" customHeight="1">
      <x:c r="A284" s="16" t="str">
        <x:v>RAW-00278</x:v>
      </x:c>
      <x:c r="B284" s="16" t="str">
        <x:v>Recommendation</x:v>
      </x:c>
      <x:c r="C284" s="16" t="str">
        <x:v>– Clean, remove corrosion and repaint.</x:v>
      </x:c>
      <x:c r="D284" s="16" t="str">
        <x:v>Columns and beams</x:v>
      </x:c>
      <x:c r="E284" s="16" t="str">
        <x:v>SRC-009</x:v>
      </x:c>
      <x:c r="F284" s="16" t="str">
        <x:v>REC-0002</x:v>
      </x:c>
      <x:c r="G284" s="16" t="str">
        <x:v>正式报告</x:v>
      </x:c>
      <x:c r="H284" s="19" t="n">
        <x:v>6</x:v>
      </x:c>
      <x:c r="I284" s="19" t="n">
        <x:v>16</x:v>
      </x:c>
      <x:c r="J284" s="19" t="n">
        <x:v>1</x:v>
      </x:c>
      <x:c r="K284" s="16" t="str">
        <x:v>3. Minor deterioration</x:v>
      </x:c>
      <x:c r="L284" s="16" t="str">
        <x:v>Unlikely</x:v>
      </x:c>
      <x:c r="M284" s="16" t="str">
        <x:v>Significant</x:v>
      </x:c>
      <x:c r="N284" s="16" t="str">
        <x:v>Moderate</x:v>
      </x:c>
    </x:row>
    <x:row r="285" ht="37" customHeight="1">
      <x:c r="A285" s="16" t="str">
        <x:v>RAW-00279</x:v>
      </x:c>
      <x:c r="B285" s="16" t="str">
        <x:v>Observation</x:v>
      </x:c>
      <x:c r="C285" s="16" t="str">
        <x:v>– Carport columns with fence attached. Minor corrosion at connection.</x:v>
      </x:c>
      <x:c r="D285" s="16" t="str">
        <x:v>Columns and beams</x:v>
      </x:c>
      <x:c r="E285" s="16" t="str">
        <x:v>SRC-009</x:v>
      </x:c>
      <x:c r="F285" s="16" t="str">
        <x:v>OBS-0155</x:v>
      </x:c>
      <x:c r="G285" s="16" t="str">
        <x:v>正式报告</x:v>
      </x:c>
      <x:c r="H285" s="19" t="n">
        <x:v>6</x:v>
      </x:c>
      <x:c r="I285" s="19" t="n">
        <x:v>17</x:v>
      </x:c>
      <x:c r="J285" s="19" t="n">
        <x:v>2</x:v>
      </x:c>
      <x:c r="K285" s="16" t="str">
        <x:v>3. Minor deterioration</x:v>
      </x:c>
      <x:c r="L285" s="16" t="str">
        <x:v>Unlikely</x:v>
      </x:c>
      <x:c r="M285" s="16" t="str">
        <x:v>Significant</x:v>
      </x:c>
      <x:c r="N285" s="16" t="str">
        <x:v>Moderate</x:v>
      </x:c>
    </x:row>
    <x:row r="286" ht="37" customHeight="1">
      <x:c r="A286" s="16" t="str">
        <x:v>RAW-00280</x:v>
      </x:c>
      <x:c r="B286" s="16" t="str">
        <x:v>Recommendation</x:v>
      </x:c>
      <x:c r="C286" s="16" t="str">
        <x:v>– Clean, remove corrosion and repaint.</x:v>
      </x:c>
      <x:c r="D286" s="16" t="str">
        <x:v>Columns and beams</x:v>
      </x:c>
      <x:c r="E286" s="16" t="str">
        <x:v>SRC-009</x:v>
      </x:c>
      <x:c r="F286" s="16" t="str">
        <x:v>REC-0002</x:v>
      </x:c>
      <x:c r="G286" s="16" t="str">
        <x:v>正式报告</x:v>
      </x:c>
      <x:c r="H286" s="19" t="n">
        <x:v>6</x:v>
      </x:c>
      <x:c r="I286" s="19" t="n">
        <x:v>17</x:v>
      </x:c>
      <x:c r="J286" s="19" t="n">
        <x:v>2</x:v>
      </x:c>
      <x:c r="K286" s="16" t="str">
        <x:v>3. Minor deterioration</x:v>
      </x:c>
      <x:c r="L286" s="16" t="str">
        <x:v>Unlikely</x:v>
      </x:c>
      <x:c r="M286" s="16" t="str">
        <x:v>Significant</x:v>
      </x:c>
      <x:c r="N286" s="16" t="str">
        <x:v>Moderate</x:v>
      </x:c>
    </x:row>
    <x:row r="287" ht="37" customHeight="1">
      <x:c r="A287" s="16" t="str">
        <x:v>RAW-00281</x:v>
      </x:c>
      <x:c r="B287" s="16" t="str">
        <x:v>Observation</x:v>
      </x:c>
      <x:c r="C287" s="16" t="str">
        <x:v>– Backyard verandah columns. Paint deterioration.</x:v>
      </x:c>
      <x:c r="D287" s="16" t="str">
        <x:v>Columns and beams</x:v>
      </x:c>
      <x:c r="E287" s="16" t="str">
        <x:v>SRC-009</x:v>
      </x:c>
      <x:c r="F287" s="16" t="str">
        <x:v>OBS-0137</x:v>
      </x:c>
      <x:c r="G287" s="16" t="str">
        <x:v>正式报告</x:v>
      </x:c>
      <x:c r="H287" s="19" t="n">
        <x:v>6</x:v>
      </x:c>
      <x:c r="I287" s="19" t="n">
        <x:v>19</x:v>
      </x:c>
      <x:c r="J287" s="19" t="n">
        <x:v>3</x:v>
      </x:c>
      <x:c r="K287" s="16" t="str">
        <x:v>3. Minor deterioration</x:v>
      </x:c>
      <x:c r="L287" s="16" t="str">
        <x:v>Unlikely</x:v>
      </x:c>
      <x:c r="M287" s="16" t="str">
        <x:v>Significant</x:v>
      </x:c>
      <x:c r="N287" s="16" t="str">
        <x:v>Moderate</x:v>
      </x:c>
    </x:row>
    <x:row r="288" ht="37" customHeight="1">
      <x:c r="A288" s="16" t="str">
        <x:v>RAW-00282</x:v>
      </x:c>
      <x:c r="B288" s="16" t="str">
        <x:v>Recommendation</x:v>
      </x:c>
      <x:c r="C288" s="16" t="str">
        <x:v>– Clean and repaint.</x:v>
      </x:c>
      <x:c r="D288" s="16" t="str">
        <x:v>Columns and beams</x:v>
      </x:c>
      <x:c r="E288" s="16" t="str">
        <x:v>SRC-009</x:v>
      </x:c>
      <x:c r="F288" s="16" t="str">
        <x:v>REC-0006</x:v>
      </x:c>
      <x:c r="G288" s="16" t="str">
        <x:v>正式报告</x:v>
      </x:c>
      <x:c r="H288" s="19" t="n">
        <x:v>6</x:v>
      </x:c>
      <x:c r="I288" s="19" t="n">
        <x:v>19</x:v>
      </x:c>
      <x:c r="J288" s="19" t="n">
        <x:v>3</x:v>
      </x:c>
      <x:c r="K288" s="16" t="str">
        <x:v>3. Minor deterioration</x:v>
      </x:c>
      <x:c r="L288" s="16" t="str">
        <x:v>Unlikely</x:v>
      </x:c>
      <x:c r="M288" s="16" t="str">
        <x:v>Significant</x:v>
      </x:c>
      <x:c r="N288" s="16" t="str">
        <x:v>Moderate</x:v>
      </x:c>
    </x:row>
    <x:row r="289" ht="37" customHeight="1">
      <x:c r="A289" s="16" t="str">
        <x:v>RAW-00283</x:v>
      </x:c>
      <x:c r="B289" s="16" t="str">
        <x:v>Observation</x:v>
      </x:c>
      <x:c r="C289" s="16" t="str">
        <x:v>– Pool shed left hand side front corner. Severe corrosion.</x:v>
      </x:c>
      <x:c r="D289" s="16" t="str">
        <x:v>Pool shed cladding</x:v>
      </x:c>
      <x:c r="E289" s="16" t="str">
        <x:v>SRC-009</x:v>
      </x:c>
      <x:c r="F289" s="16" t="str">
        <x:v>OBS-0467</x:v>
      </x:c>
      <x:c r="G289" s="16" t="str">
        <x:v>正式报告</x:v>
      </x:c>
      <x:c r="H289" s="19" t="n">
        <x:v>7</x:v>
      </x:c>
      <x:c r="I289" s="19" t="n">
        <x:v>6</x:v>
      </x:c>
      <x:c r="J289" s="19" t="n">
        <x:v>3</x:v>
      </x:c>
      <x:c r="K289" s="16" t="str">
        <x:v>7. Very severe deterioration</x:v>
      </x:c>
      <x:c r="L289" s="16" t="str">
        <x:v>Very likely</x:v>
      </x:c>
      <x:c r="M289" s="16" t="str">
        <x:v>Negligible</x:v>
      </x:c>
      <x:c r="N289" s="16" t="str">
        <x:v>Moderate</x:v>
      </x:c>
    </x:row>
    <x:row r="290" ht="37" customHeight="1">
      <x:c r="A290" s="16" t="str">
        <x:v>RAW-00284</x:v>
      </x:c>
      <x:c r="B290" s="16" t="str">
        <x:v>Recommendation</x:v>
      </x:c>
      <x:c r="C290" s="16" t="str">
        <x:v>– Clean, remove corrosion and repaint.</x:v>
      </x:c>
      <x:c r="D290" s="16" t="str">
        <x:v>Pool shed cladding</x:v>
      </x:c>
      <x:c r="E290" s="16" t="str">
        <x:v>SRC-009</x:v>
      </x:c>
      <x:c r="F290" s="16" t="str">
        <x:v>REC-0002</x:v>
      </x:c>
      <x:c r="G290" s="16" t="str">
        <x:v>正式报告</x:v>
      </x:c>
      <x:c r="H290" s="19" t="n">
        <x:v>7</x:v>
      </x:c>
      <x:c r="I290" s="19" t="n">
        <x:v>6</x:v>
      </x:c>
      <x:c r="J290" s="19" t="n">
        <x:v>3</x:v>
      </x:c>
      <x:c r="K290" s="16" t="str">
        <x:v>7. Very severe deterioration</x:v>
      </x:c>
      <x:c r="L290" s="16" t="str">
        <x:v>Very likely</x:v>
      </x:c>
      <x:c r="M290" s="16" t="str">
        <x:v>Negligible</x:v>
      </x:c>
      <x:c r="N290" s="16" t="str">
        <x:v>Moderate</x:v>
      </x:c>
    </x:row>
    <x:row r="291" ht="37" customHeight="1">
      <x:c r="A291" s="16" t="str">
        <x:v>RAW-00285</x:v>
      </x:c>
      <x:c r="B291" s="16" t="str">
        <x:v>Observation</x:v>
      </x:c>
      <x:c r="C291" s="16" t="str">
        <x:v>– Pool shed left hand side front corner. Severe corrosion of cladding. Honeycombing of concrete.</x:v>
      </x:c>
      <x:c r="D291" s="16" t="str">
        <x:v>Pool shed cladding</x:v>
      </x:c>
      <x:c r="E291" s="16" t="str">
        <x:v>SRC-009</x:v>
      </x:c>
      <x:c r="F291" s="16" t="str">
        <x:v>OBS-0466</x:v>
      </x:c>
      <x:c r="G291" s="16" t="str">
        <x:v>正式报告</x:v>
      </x:c>
      <x:c r="H291" s="19" t="n">
        <x:v>7</x:v>
      </x:c>
      <x:c r="I291" s="19" t="n">
        <x:v>9</x:v>
      </x:c>
      <x:c r="J291" s="19" t="n">
        <x:v>1</x:v>
      </x:c>
      <x:c r="K291" s="16" t="str">
        <x:v>7. Very severe deterioration</x:v>
      </x:c>
      <x:c r="L291" s="16" t="str">
        <x:v>Very likely</x:v>
      </x:c>
      <x:c r="M291" s="16" t="str">
        <x:v>Negligible</x:v>
      </x:c>
      <x:c r="N291" s="16" t="str">
        <x:v>Moderate</x:v>
      </x:c>
    </x:row>
    <x:row r="292" ht="41" customHeight="1">
      <x:c r="A292" s="16" t="str">
        <x:v>RAW-00286</x:v>
      </x:c>
      <x:c r="B292" s="16" t="str">
        <x:v>Recommendation</x:v>
      </x:c>
      <x:c r="C292" s="16" t="str">
        <x:v>Cladding: Clean, remove corrosion and repaint.
Concrete Surface: Clean and Patch up.</x:v>
      </x:c>
      <x:c r="D292" s="16" t="str">
        <x:v>Pool shed cladding</x:v>
      </x:c>
      <x:c r="E292" s="16" t="str">
        <x:v>SRC-009</x:v>
      </x:c>
      <x:c r="F292" s="16" t="str">
        <x:v>REC-0051</x:v>
      </x:c>
      <x:c r="G292" s="16" t="str">
        <x:v>正式报告</x:v>
      </x:c>
      <x:c r="H292" s="19" t="n">
        <x:v>7</x:v>
      </x:c>
      <x:c r="I292" s="19" t="n">
        <x:v>9</x:v>
      </x:c>
      <x:c r="J292" s="19" t="n">
        <x:v>1</x:v>
      </x:c>
      <x:c r="K292" s="16" t="str">
        <x:v>7. Very severe deterioration</x:v>
      </x:c>
      <x:c r="L292" s="16" t="str">
        <x:v>Very likely</x:v>
      </x:c>
      <x:c r="M292" s="16" t="str">
        <x:v>Negligible</x:v>
      </x:c>
      <x:c r="N292" s="16" t="str">
        <x:v>Moderate</x:v>
      </x:c>
    </x:row>
    <x:row r="293" ht="37" customHeight="1">
      <x:c r="A293" s="16" t="str">
        <x:v>RAW-00287</x:v>
      </x:c>
      <x:c r="B293" s="16" t="str">
        <x:v>Observation</x:v>
      </x:c>
      <x:c r="C293" s="16" t="str">
        <x:v>– Pool fence. Flaking corrosion at lower section. Close up image below.</x:v>
      </x:c>
      <x:c r="D293" s="16" t="str">
        <x:v>Pool fencing</x:v>
      </x:c>
      <x:c r="E293" s="16" t="str">
        <x:v>SRC-009</x:v>
      </x:c>
      <x:c r="F293" s="16" t="str">
        <x:v>OBS-0465</x:v>
      </x:c>
      <x:c r="G293" s="16" t="str">
        <x:v>正式报告</x:v>
      </x:c>
      <x:c r="H293" s="19" t="n">
        <x:v>8</x:v>
      </x:c>
      <x:c r="I293" s="19" t="n">
        <x:v>6</x:v>
      </x:c>
      <x:c r="J293" s="19" t="n">
        <x:v>2</x:v>
      </x:c>
      <x:c r="K293" s="16" t="str">
        <x:v>4. Moderate deterioration</x:v>
      </x:c>
      <x:c r="L293" s="16" t="str">
        <x:v>Possible</x:v>
      </x:c>
      <x:c r="M293" s="16" t="str">
        <x:v>Minor</x:v>
      </x:c>
      <x:c r="N293" s="16" t="str">
        <x:v>Moderate</x:v>
      </x:c>
    </x:row>
    <x:row r="294" ht="37" customHeight="1">
      <x:c r="A294" s="16" t="str">
        <x:v>RAW-00288</x:v>
      </x:c>
      <x:c r="B294" s="16" t="str">
        <x:v>Recommendation</x:v>
      </x:c>
      <x:c r="C294" s="16" t="str">
        <x:v>– Clean, remove corrosion and repaint.</x:v>
      </x:c>
      <x:c r="D294" s="16" t="str">
        <x:v>Pool fencing</x:v>
      </x:c>
      <x:c r="E294" s="16" t="str">
        <x:v>SRC-009</x:v>
      </x:c>
      <x:c r="F294" s="16" t="str">
        <x:v>REC-0002</x:v>
      </x:c>
      <x:c r="G294" s="16" t="str">
        <x:v>正式报告</x:v>
      </x:c>
      <x:c r="H294" s="19" t="n">
        <x:v>8</x:v>
      </x:c>
      <x:c r="I294" s="19" t="n">
        <x:v>6</x:v>
      </x:c>
      <x:c r="J294" s="19" t="n">
        <x:v>2</x:v>
      </x:c>
      <x:c r="K294" s="16" t="str">
        <x:v>4. Moderate deterioration</x:v>
      </x:c>
      <x:c r="L294" s="16" t="str">
        <x:v>Possible</x:v>
      </x:c>
      <x:c r="M294" s="16" t="str">
        <x:v>Minor</x:v>
      </x:c>
      <x:c r="N294" s="16" t="str">
        <x:v>Moderate</x:v>
      </x:c>
    </x:row>
    <x:row r="295" ht="37" customHeight="1">
      <x:c r="A295" s="16" t="str">
        <x:v>RAW-00289</x:v>
      </x:c>
      <x:c r="B295" s="16" t="str">
        <x:v>Observation</x:v>
      </x:c>
      <x:c r="C295" s="16" t="str">
        <x:v>– Pool fence. Corroded bolts.</x:v>
      </x:c>
      <x:c r="D295" s="16" t="str">
        <x:v>Pool fencing</x:v>
      </x:c>
      <x:c r="E295" s="16" t="str">
        <x:v>SRC-009</x:v>
      </x:c>
      <x:c r="F295" s="16" t="str">
        <x:v>OBS-0464</x:v>
      </x:c>
      <x:c r="G295" s="16" t="str">
        <x:v>正式报告</x:v>
      </x:c>
      <x:c r="H295" s="19" t="n">
        <x:v>8</x:v>
      </x:c>
      <x:c r="I295" s="19" t="n">
        <x:v>8</x:v>
      </x:c>
      <x:c r="J295" s="19" t="n">
        <x:v>2</x:v>
      </x:c>
      <x:c r="K295" s="16" t="str">
        <x:v>4. Moderate deterioration</x:v>
      </x:c>
      <x:c r="L295" s="16" t="str">
        <x:v>Possible</x:v>
      </x:c>
      <x:c r="M295" s="16" t="str">
        <x:v>Minor</x:v>
      </x:c>
      <x:c r="N295" s="16" t="str">
        <x:v>Moderate</x:v>
      </x:c>
    </x:row>
    <x:row r="296" ht="37" customHeight="1">
      <x:c r="A296" s="16" t="str">
        <x:v>RAW-00290</x:v>
      </x:c>
      <x:c r="B296" s="16" t="str">
        <x:v>Recommendation</x:v>
      </x:c>
      <x:c r="C296" s="16" t="str">
        <x:v>– Clean, remove corrosion and repaint. Replace the bolts.</x:v>
      </x:c>
      <x:c r="D296" s="16" t="str">
        <x:v>Pool fencing</x:v>
      </x:c>
      <x:c r="E296" s="16" t="str">
        <x:v>SRC-009</x:v>
      </x:c>
      <x:c r="F296" s="16" t="str">
        <x:v>REC-0068</x:v>
      </x:c>
      <x:c r="G296" s="16" t="str">
        <x:v>正式报告</x:v>
      </x:c>
      <x:c r="H296" s="19" t="n">
        <x:v>8</x:v>
      </x:c>
      <x:c r="I296" s="19" t="n">
        <x:v>8</x:v>
      </x:c>
      <x:c r="J296" s="19" t="n">
        <x:v>2</x:v>
      </x:c>
      <x:c r="K296" s="16" t="str">
        <x:v>4. Moderate deterioration</x:v>
      </x:c>
      <x:c r="L296" s="16" t="str">
        <x:v>Possible</x:v>
      </x:c>
      <x:c r="M296" s="16" t="str">
        <x:v>Minor</x:v>
      </x:c>
      <x:c r="N296" s="16" t="str">
        <x:v>Moderate</x:v>
      </x:c>
    </x:row>
    <x:row r="297" ht="37" customHeight="1">
      <x:c r="A297" s="16" t="str">
        <x:v>RAW-00291</x:v>
      </x:c>
      <x:c r="B297" s="16" t="str">
        <x:v>Observation</x:v>
      </x:c>
      <x:c r="C297" s="16" t="str">
        <x:v>– Shade structure column. Minor corrosion at lower section.</x:v>
      </x:c>
      <x:c r="D297" s="16" t="str">
        <x:v>Shade structure column</x:v>
      </x:c>
      <x:c r="E297" s="16" t="str">
        <x:v>SRC-009</x:v>
      </x:c>
      <x:c r="F297" s="16" t="str">
        <x:v>OBS-0563</x:v>
      </x:c>
      <x:c r="G297" s="16" t="str">
        <x:v>正式报告</x:v>
      </x:c>
      <x:c r="H297" s="19" t="n">
        <x:v>9</x:v>
      </x:c>
      <x:c r="I297" s="19" t="n">
        <x:v>6</x:v>
      </x:c>
      <x:c r="J297" s="19" t="n">
        <x:v>2</x:v>
      </x:c>
      <x:c r="K297" s="16" t="str">
        <x:v>3. Minor deterioration</x:v>
      </x:c>
      <x:c r="L297" s="16" t="str">
        <x:v>Unlikely</x:v>
      </x:c>
      <x:c r="M297" s="16" t="str">
        <x:v>Moderate</x:v>
      </x:c>
      <x:c r="N297" s="16" t="str">
        <x:v>Moderate</x:v>
      </x:c>
    </x:row>
    <x:row r="298" ht="37" customHeight="1">
      <x:c r="A298" s="16" t="str">
        <x:v>RAW-00292</x:v>
      </x:c>
      <x:c r="B298" s="16" t="str">
        <x:v>Recommendation</x:v>
      </x:c>
      <x:c r="C298" s="16" t="str">
        <x:v>– Excavate to the base and investigate corrosion. Clean, remove corrosion and repaint.</x:v>
      </x:c>
      <x:c r="D298" s="16" t="str">
        <x:v>Shade structure column</x:v>
      </x:c>
      <x:c r="E298" s="16" t="str">
        <x:v>SRC-009</x:v>
      </x:c>
      <x:c r="F298" s="16" t="str">
        <x:v>REC-0093</x:v>
      </x:c>
      <x:c r="G298" s="16" t="str">
        <x:v>正式报告</x:v>
      </x:c>
      <x:c r="H298" s="19" t="n">
        <x:v>9</x:v>
      </x:c>
      <x:c r="I298" s="19" t="n">
        <x:v>6</x:v>
      </x:c>
      <x:c r="J298" s="19" t="n">
        <x:v>2</x:v>
      </x:c>
      <x:c r="K298" s="16" t="str">
        <x:v>3. Minor deterioration</x:v>
      </x:c>
      <x:c r="L298" s="16" t="str">
        <x:v>Unlikely</x:v>
      </x:c>
      <x:c r="M298" s="16" t="str">
        <x:v>Moderate</x:v>
      </x:c>
      <x:c r="N298" s="16" t="str">
        <x:v>Moderate</x:v>
      </x:c>
    </x:row>
    <x:row r="299" ht="37" customHeight="1">
      <x:c r="A299" s="16" t="str">
        <x:v>RAW-00293</x:v>
      </x:c>
      <x:c r="B299" s="16" t="str">
        <x:v>Observation</x:v>
      </x:c>
      <x:c r="C299" s="16" t="str">
        <x:v>– Front verandah. Paint deterioration on purlins and rafters.</x:v>
      </x:c>
      <x:c r="D299" s="16" t="str">
        <x:v>Purlins and rafters</x:v>
      </x:c>
      <x:c r="E299" s="16" t="str">
        <x:v>SRC-009</x:v>
      </x:c>
      <x:c r="F299" s="16" t="str">
        <x:v>OBS-0305</x:v>
      </x:c>
      <x:c r="G299" s="16" t="str">
        <x:v>正式报告</x:v>
      </x:c>
      <x:c r="H299" s="19" t="n">
        <x:v>10</x:v>
      </x:c>
      <x:c r="I299" s="19" t="n">
        <x:v>6</x:v>
      </x:c>
      <x:c r="J299" s="19" t="n">
        <x:v>1</x:v>
      </x:c>
      <x:c r="K299" s="16" t="str">
        <x:v>2. New with slight deterioration</x:v>
      </x:c>
      <x:c r="L299" s="16" t="str">
        <x:v>Very unlikely</x:v>
      </x:c>
      <x:c r="M299" s="16" t="str">
        <x:v>Significant</x:v>
      </x:c>
      <x:c r="N299" s="16" t="str">
        <x:v>Low</x:v>
      </x:c>
    </x:row>
    <x:row r="300" ht="37" customHeight="1">
      <x:c r="A300" s="16" t="str">
        <x:v>RAW-00294</x:v>
      </x:c>
      <x:c r="B300" s="16" t="str">
        <x:v>Recommendation</x:v>
      </x:c>
      <x:c r="C300" s="16" t="str">
        <x:v>– Clean and repaint.</x:v>
      </x:c>
      <x:c r="D300" s="16" t="str">
        <x:v>Purlins and rafters</x:v>
      </x:c>
      <x:c r="E300" s="16" t="str">
        <x:v>SRC-009</x:v>
      </x:c>
      <x:c r="F300" s="16" t="str">
        <x:v>REC-0006</x:v>
      </x:c>
      <x:c r="G300" s="16" t="str">
        <x:v>正式报告</x:v>
      </x:c>
      <x:c r="H300" s="19" t="n">
        <x:v>10</x:v>
      </x:c>
      <x:c r="I300" s="19" t="n">
        <x:v>6</x:v>
      </x:c>
      <x:c r="J300" s="19" t="n">
        <x:v>1</x:v>
      </x:c>
      <x:c r="K300" s="16" t="str">
        <x:v>2. New with slight deterioration</x:v>
      </x:c>
      <x:c r="L300" s="16" t="str">
        <x:v>Very unlikely</x:v>
      </x:c>
      <x:c r="M300" s="16" t="str">
        <x:v>Significant</x:v>
      </x:c>
      <x:c r="N300" s="16" t="str">
        <x:v>Low</x:v>
      </x:c>
    </x:row>
    <x:row r="301" ht="37" customHeight="1">
      <x:c r="A301" s="16" t="str">
        <x:v>RAW-00295</x:v>
      </x:c>
      <x:c r="B301" s="16" t="str">
        <x:v>Observation</x:v>
      </x:c>
      <x:c r="C301" s="16" t="str">
        <x:v>– Right hand side roof overhang facing front entrance. Paint deterioration on purlins and rafters.</x:v>
      </x:c>
      <x:c r="D301" s="16" t="str">
        <x:v>Purlins and rafters</x:v>
      </x:c>
      <x:c r="E301" s="16" t="str">
        <x:v>SRC-009</x:v>
      </x:c>
      <x:c r="F301" s="16" t="str">
        <x:v>OBS-0508</x:v>
      </x:c>
      <x:c r="G301" s="16" t="str">
        <x:v>正式报告</x:v>
      </x:c>
      <x:c r="H301" s="19" t="n">
        <x:v>10</x:v>
      </x:c>
      <x:c r="I301" s="19" t="n">
        <x:v>7</x:v>
      </x:c>
      <x:c r="J301" s="19" t="n">
        <x:v>1</x:v>
      </x:c>
      <x:c r="K301" s="16" t="str">
        <x:v>2. New with slight deterioration</x:v>
      </x:c>
      <x:c r="L301" s="16" t="str">
        <x:v>Very unlikely</x:v>
      </x:c>
      <x:c r="M301" s="16" t="str">
        <x:v>Significant</x:v>
      </x:c>
      <x:c r="N301" s="16" t="str">
        <x:v>Low</x:v>
      </x:c>
    </x:row>
    <x:row r="302" ht="37" customHeight="1">
      <x:c r="A302" s="16" t="str">
        <x:v>RAW-00296</x:v>
      </x:c>
      <x:c r="B302" s="16" t="str">
        <x:v>Observation</x:v>
      </x:c>
      <x:c r="C302" s="16" t="str">
        <x:v>– Backyard verandah. Paint deterioration on purlins and rafters.</x:v>
      </x:c>
      <x:c r="D302" s="16" t="str">
        <x:v>Purlins and rafters</x:v>
      </x:c>
      <x:c r="E302" s="16" t="str">
        <x:v>SRC-009</x:v>
      </x:c>
      <x:c r="F302" s="16" t="str">
        <x:v>OBS-0139</x:v>
      </x:c>
      <x:c r="G302" s="16" t="str">
        <x:v>正式报告</x:v>
      </x:c>
      <x:c r="H302" s="19" t="n">
        <x:v>10</x:v>
      </x:c>
      <x:c r="I302" s="19" t="n">
        <x:v>8</x:v>
      </x:c>
      <x:c r="J302" s="19" t="n">
        <x:v>1</x:v>
      </x:c>
      <x:c r="K302" s="16" t="str">
        <x:v>2. New with slight deterioration</x:v>
      </x:c>
      <x:c r="L302" s="16" t="str">
        <x:v>Very unlikely</x:v>
      </x:c>
      <x:c r="M302" s="16" t="str">
        <x:v>Significant</x:v>
      </x:c>
      <x:c r="N302" s="16" t="str">
        <x:v>Low</x:v>
      </x:c>
    </x:row>
    <x:row r="303" ht="41" customHeight="1">
      <x:c r="A303" s="16" t="str">
        <x:v>RAW-00297</x:v>
      </x:c>
      <x:c r="B303" s="16" t="str">
        <x:v>Observation</x:v>
      </x:c>
      <x:c r="C303" s="16" t="str">
        <x:v>– Right hand side roof overhang facing front entrance. Paint deterioration and salt staining on purlins and rafters.</x:v>
      </x:c>
      <x:c r="D303" s="16" t="str">
        <x:v>Purlins and rafters</x:v>
      </x:c>
      <x:c r="E303" s="16" t="str">
        <x:v>SRC-009</x:v>
      </x:c>
      <x:c r="F303" s="16" t="str">
        <x:v>OBS-0507</x:v>
      </x:c>
      <x:c r="G303" s="16" t="str">
        <x:v>正式报告</x:v>
      </x:c>
      <x:c r="H303" s="19" t="n">
        <x:v>10</x:v>
      </x:c>
      <x:c r="I303" s="19" t="n">
        <x:v>9</x:v>
      </x:c>
      <x:c r="J303" s="19" t="n">
        <x:v>1</x:v>
      </x:c>
      <x:c r="K303" s="16" t="str">
        <x:v>2. New with slight deterioration</x:v>
      </x:c>
      <x:c r="L303" s="16" t="str">
        <x:v>Very unlikely</x:v>
      </x:c>
      <x:c r="M303" s="16" t="str">
        <x:v>Significant</x:v>
      </x:c>
      <x:c r="N303" s="16" t="str">
        <x:v>Low</x:v>
      </x:c>
    </x:row>
    <x:row r="304" ht="37" customHeight="1">
      <x:c r="A304" s="16" t="str">
        <x:v>RAW-00298</x:v>
      </x:c>
      <x:c r="B304" s="16" t="str">
        <x:v>Observation</x:v>
      </x:c>
      <x:c r="C304" s="16" t="str">
        <x:v>– Front verandah soffit cladding. Minor corrosion.</x:v>
      </x:c>
      <x:c r="D304" s="16" t="str">
        <x:v>Roof</x:v>
      </x:c>
      <x:c r="E304" s="16" t="str">
        <x:v>SRC-009</x:v>
      </x:c>
      <x:c r="F304" s="16" t="str">
        <x:v>OBS-0298</x:v>
      </x:c>
      <x:c r="G304" s="16" t="str">
        <x:v>正式报告</x:v>
      </x:c>
      <x:c r="H304" s="19" t="n">
        <x:v>11</x:v>
      </x:c>
      <x:c r="I304" s="19" t="n">
        <x:v>6</x:v>
      </x:c>
      <x:c r="J304" s="19" t="n">
        <x:v>2</x:v>
      </x:c>
      <x:c r="K304" s="16" t="str">
        <x:v>3. Minor deterioration</x:v>
      </x:c>
      <x:c r="L304" s="16" t="str">
        <x:v>Unlikely</x:v>
      </x:c>
      <x:c r="M304" s="16" t="str">
        <x:v>Minor</x:v>
      </x:c>
      <x:c r="N304" s="16" t="str">
        <x:v>Low</x:v>
      </x:c>
    </x:row>
    <x:row r="305" ht="37" customHeight="1">
      <x:c r="A305" s="16" t="str">
        <x:v>RAW-00299</x:v>
      </x:c>
      <x:c r="B305" s="16" t="str">
        <x:v>Recommendation</x:v>
      </x:c>
      <x:c r="C305" s="16" t="str">
        <x:v>– Clean, remove corrosion and repaint.</x:v>
      </x:c>
      <x:c r="D305" s="16" t="str">
        <x:v>Roof</x:v>
      </x:c>
      <x:c r="E305" s="16" t="str">
        <x:v>SRC-009</x:v>
      </x:c>
      <x:c r="F305" s="16" t="str">
        <x:v>REC-0002</x:v>
      </x:c>
      <x:c r="G305" s="16" t="str">
        <x:v>正式报告</x:v>
      </x:c>
      <x:c r="H305" s="19" t="n">
        <x:v>11</x:v>
      </x:c>
      <x:c r="I305" s="19" t="n">
        <x:v>6</x:v>
      </x:c>
      <x:c r="J305" s="19" t="n">
        <x:v>2</x:v>
      </x:c>
      <x:c r="K305" s="16" t="str">
        <x:v>3. Minor deterioration</x:v>
      </x:c>
      <x:c r="L305" s="16" t="str">
        <x:v>Unlikely</x:v>
      </x:c>
      <x:c r="M305" s="16" t="str">
        <x:v>Minor</x:v>
      </x:c>
      <x:c r="N305" s="16" t="str">
        <x:v>Low</x:v>
      </x:c>
    </x:row>
    <x:row r="306" ht="37" customHeight="1">
      <x:c r="A306" s="16" t="str">
        <x:v>RAW-00300</x:v>
      </x:c>
      <x:c r="B306" s="16" t="str">
        <x:v>Observation</x:v>
      </x:c>
      <x:c r="C306" s="16" t="str">
        <x:v>– Front verandah soffit cladding. Minor corrosion on flashing.</x:v>
      </x:c>
      <x:c r="D306" s="16" t="str">
        <x:v>Roof</x:v>
      </x:c>
      <x:c r="E306" s="16" t="str">
        <x:v>SRC-009</x:v>
      </x:c>
      <x:c r="F306" s="16" t="str">
        <x:v>OBS-0297</x:v>
      </x:c>
      <x:c r="G306" s="16" t="str">
        <x:v>正式报告</x:v>
      </x:c>
      <x:c r="H306" s="19" t="n">
        <x:v>11</x:v>
      </x:c>
      <x:c r="I306" s="19" t="n">
        <x:v>8</x:v>
      </x:c>
      <x:c r="J306" s="19" t="n">
        <x:v>2</x:v>
      </x:c>
      <x:c r="K306" s="16" t="str">
        <x:v>3. Minor deterioration</x:v>
      </x:c>
      <x:c r="L306" s="16" t="str">
        <x:v>Unlikely</x:v>
      </x:c>
      <x:c r="M306" s="16" t="str">
        <x:v>Minor</x:v>
      </x:c>
      <x:c r="N306" s="16" t="str">
        <x:v>Low</x:v>
      </x:c>
    </x:row>
    <x:row r="307" ht="37" customHeight="1">
      <x:c r="A307" s="16" t="str">
        <x:v>RAW-00301</x:v>
      </x:c>
      <x:c r="B307" s="16" t="str">
        <x:v>Recommendation</x:v>
      </x:c>
      <x:c r="C307" s="16" t="str">
        <x:v>– Clean, remove corrosion and repaint.</x:v>
      </x:c>
      <x:c r="D307" s="16" t="str">
        <x:v>Roof</x:v>
      </x:c>
      <x:c r="E307" s="16" t="str">
        <x:v>SRC-009</x:v>
      </x:c>
      <x:c r="F307" s="16" t="str">
        <x:v>REC-0002</x:v>
      </x:c>
      <x:c r="G307" s="16" t="str">
        <x:v>正式报告</x:v>
      </x:c>
      <x:c r="H307" s="19" t="n">
        <x:v>11</x:v>
      </x:c>
      <x:c r="I307" s="19" t="n">
        <x:v>8</x:v>
      </x:c>
      <x:c r="J307" s="19" t="n">
        <x:v>2</x:v>
      </x:c>
      <x:c r="K307" s="16" t="str">
        <x:v>3. Minor deterioration</x:v>
      </x:c>
      <x:c r="L307" s="16" t="str">
        <x:v>Unlikely</x:v>
      </x:c>
      <x:c r="M307" s="16" t="str">
        <x:v>Minor</x:v>
      </x:c>
      <x:c r="N307" s="16" t="str">
        <x:v>Low</x:v>
      </x:c>
    </x:row>
    <x:row r="308" ht="37" customHeight="1">
      <x:c r="A308" s="16" t="str">
        <x:v>RAW-00302</x:v>
      </x:c>
      <x:c r="B308" s="16" t="str">
        <x:v>Observation</x:v>
      </x:c>
      <x:c r="C308" s="16" t="str">
        <x:v>– Carport verandah soffit cladding. Minor corrosion along edge.</x:v>
      </x:c>
      <x:c r="D308" s="16" t="str">
        <x:v>Roof</x:v>
      </x:c>
      <x:c r="E308" s="16" t="str">
        <x:v>SRC-009</x:v>
      </x:c>
      <x:c r="F308" s="16" t="str">
        <x:v>OBS-0174</x:v>
      </x:c>
      <x:c r="G308" s="16" t="str">
        <x:v>正式报告</x:v>
      </x:c>
      <x:c r="H308" s="19" t="n">
        <x:v>11</x:v>
      </x:c>
      <x:c r="I308" s="19" t="n">
        <x:v>10</x:v>
      </x:c>
      <x:c r="J308" s="19" t="n">
        <x:v>4</x:v>
      </x:c>
      <x:c r="K308" s="16" t="str">
        <x:v>3. Minor deterioration</x:v>
      </x:c>
      <x:c r="L308" s="16" t="str">
        <x:v>Unlikely</x:v>
      </x:c>
      <x:c r="M308" s="16" t="str">
        <x:v>Minor</x:v>
      </x:c>
      <x:c r="N308" s="16" t="str">
        <x:v>Low</x:v>
      </x:c>
    </x:row>
    <x:row r="309" ht="37" customHeight="1">
      <x:c r="A309" s="16" t="str">
        <x:v>RAW-00303</x:v>
      </x:c>
      <x:c r="B309" s="16" t="str">
        <x:v>Recommendation</x:v>
      </x:c>
      <x:c r="C309" s="16" t="str">
        <x:v>– Clean, wire brush and repaint.</x:v>
      </x:c>
      <x:c r="D309" s="16" t="str">
        <x:v>Roof</x:v>
      </x:c>
      <x:c r="E309" s="16" t="str">
        <x:v>SRC-009</x:v>
      </x:c>
      <x:c r="F309" s="16" t="str">
        <x:v>REC-0001</x:v>
      </x:c>
      <x:c r="G309" s="16" t="str">
        <x:v>正式报告</x:v>
      </x:c>
      <x:c r="H309" s="19" t="n">
        <x:v>11</x:v>
      </x:c>
      <x:c r="I309" s="19" t="n">
        <x:v>10</x:v>
      </x:c>
      <x:c r="J309" s="19" t="n">
        <x:v>4</x:v>
      </x:c>
      <x:c r="K309" s="16" t="str">
        <x:v>3. Minor deterioration</x:v>
      </x:c>
      <x:c r="L309" s="16" t="str">
        <x:v>Unlikely</x:v>
      </x:c>
      <x:c r="M309" s="16" t="str">
        <x:v>Minor</x:v>
      </x:c>
      <x:c r="N309" s="16" t="str">
        <x:v>Low</x:v>
      </x:c>
    </x:row>
    <x:row r="310" ht="37" customHeight="1">
      <x:c r="A310" s="16" t="str">
        <x:v>RAW-00304</x:v>
      </x:c>
      <x:c r="B310" s="16" t="str">
        <x:v>Observation</x:v>
      </x:c>
      <x:c r="C310" s="16" t="str">
        <x:v>– Carport front window. Salt staining and minor corrosion.</x:v>
      </x:c>
      <x:c r="D310" s="16" t="str">
        <x:v>Cladding</x:v>
      </x:c>
      <x:c r="E310" s="16" t="str">
        <x:v>SRC-009</x:v>
      </x:c>
      <x:c r="F310" s="16" t="str">
        <x:v>OBS-0036</x:v>
      </x:c>
      <x:c r="G310" s="16" t="str">
        <x:v>正式报告</x:v>
      </x:c>
      <x:c r="H310" s="19" t="n">
        <x:v>12</x:v>
      </x:c>
      <x:c r="I310" s="19" t="n">
        <x:v>6</x:v>
      </x:c>
      <x:c r="J310" s="19" t="n">
        <x:v>1</x:v>
      </x:c>
      <x:c r="K310" s="16" t="str">
        <x:v>2. New with slight deterioration</x:v>
      </x:c>
      <x:c r="L310" s="16" t="str">
        <x:v>Very unlikely</x:v>
      </x:c>
      <x:c r="M310" s="16" t="str">
        <x:v>Negligible</x:v>
      </x:c>
      <x:c r="N310" s="16" t="str">
        <x:v>Low</x:v>
      </x:c>
    </x:row>
    <x:row r="311" ht="37" customHeight="1">
      <x:c r="A311" s="16" t="str">
        <x:v>RAW-00305</x:v>
      </x:c>
      <x:c r="B311" s="16" t="str">
        <x:v>Observation</x:v>
      </x:c>
      <x:c r="C311" s="16" t="str">
        <x:v>– backyard wall cladding. Paint deterioration and minor corrosion.</x:v>
      </x:c>
      <x:c r="D311" s="16" t="str">
        <x:v>Cladding</x:v>
      </x:c>
      <x:c r="E311" s="16" t="str">
        <x:v>SRC-009</x:v>
      </x:c>
      <x:c r="F311" s="16" t="str">
        <x:v>OBS-0613</x:v>
      </x:c>
      <x:c r="G311" s="16" t="str">
        <x:v>正式报告</x:v>
      </x:c>
      <x:c r="H311" s="19" t="n">
        <x:v>12</x:v>
      </x:c>
      <x:c r="I311" s="19" t="n">
        <x:v>7</x:v>
      </x:c>
      <x:c r="J311" s="19" t="n">
        <x:v>1</x:v>
      </x:c>
      <x:c r="K311" s="16" t="str">
        <x:v>2. New with slight deterioration</x:v>
      </x:c>
      <x:c r="L311" s="16" t="str">
        <x:v>Very unlikely</x:v>
      </x:c>
      <x:c r="M311" s="16" t="str">
        <x:v>Negligible</x:v>
      </x:c>
      <x:c r="N311" s="16" t="str">
        <x:v>Low</x:v>
      </x:c>
    </x:row>
    <x:row r="312" ht="37" customHeight="1">
      <x:c r="A312" s="16" t="str">
        <x:v>RAW-00306</x:v>
      </x:c>
      <x:c r="B312" s="16" t="str">
        <x:v>Recommendation</x:v>
      </x:c>
      <x:c r="C312" s="16" t="str">
        <x:v>– Clean, remove corrosion and repaint.</x:v>
      </x:c>
      <x:c r="D312" s="16" t="str">
        <x:v>Cladding</x:v>
      </x:c>
      <x:c r="E312" s="16" t="str">
        <x:v>SRC-009</x:v>
      </x:c>
      <x:c r="F312" s="16" t="str">
        <x:v>REC-0002</x:v>
      </x:c>
      <x:c r="G312" s="16" t="str">
        <x:v>正式报告</x:v>
      </x:c>
      <x:c r="H312" s="19" t="n">
        <x:v>12</x:v>
      </x:c>
      <x:c r="I312" s="19" t="n">
        <x:v>7</x:v>
      </x:c>
      <x:c r="J312" s="19" t="n">
        <x:v>1</x:v>
      </x:c>
      <x:c r="K312" s="16" t="str">
        <x:v>2. New with slight deterioration</x:v>
      </x:c>
      <x:c r="L312" s="16" t="str">
        <x:v>Very unlikely</x:v>
      </x:c>
      <x:c r="M312" s="16" t="str">
        <x:v>Negligible</x:v>
      </x:c>
      <x:c r="N312" s="16" t="str">
        <x:v>Low</x:v>
      </x:c>
    </x:row>
    <x:row r="313" ht="37" customHeight="1">
      <x:c r="A313" s="16" t="str">
        <x:v>RAW-00307</x:v>
      </x:c>
      <x:c r="B313" s="16" t="str">
        <x:v>Observation</x:v>
      </x:c>
      <x:c r="C313" s="16" t="str">
        <x:v>– Left hand side back corner of the property. Paint deterioration on cladding.</x:v>
      </x:c>
      <x:c r="D313" s="16" t="str">
        <x:v>Cladding</x:v>
      </x:c>
      <x:c r="E313" s="16" t="str">
        <x:v>SRC-009</x:v>
      </x:c>
      <x:c r="F313" s="16" t="str">
        <x:v>OBS-0336</x:v>
      </x:c>
      <x:c r="G313" s="16" t="str">
        <x:v>正式报告</x:v>
      </x:c>
      <x:c r="H313" s="19" t="n">
        <x:v>12</x:v>
      </x:c>
      <x:c r="I313" s="19" t="n">
        <x:v>8</x:v>
      </x:c>
      <x:c r="J313" s="19" t="n">
        <x:v>2</x:v>
      </x:c>
      <x:c r="K313" s="16" t="str">
        <x:v>2. New with slight deterioration</x:v>
      </x:c>
      <x:c r="L313" s="16" t="str">
        <x:v>Very unlikely</x:v>
      </x:c>
      <x:c r="M313" s="16" t="str">
        <x:v>Negligible</x:v>
      </x:c>
      <x:c r="N313" s="16" t="str">
        <x:v>Low</x:v>
      </x:c>
    </x:row>
    <x:row r="314" ht="37" customHeight="1">
      <x:c r="A314" s="16" t="str">
        <x:v>RAW-00308</x:v>
      </x:c>
      <x:c r="B314" s="16" t="str">
        <x:v>Recommendation</x:v>
      </x:c>
      <x:c r="C314" s="16" t="str">
        <x:v>– Clean, wire brush and repaint.</x:v>
      </x:c>
      <x:c r="D314" s="16" t="str">
        <x:v>Cladding</x:v>
      </x:c>
      <x:c r="E314" s="16" t="str">
        <x:v>SRC-009</x:v>
      </x:c>
      <x:c r="F314" s="16" t="str">
        <x:v>REC-0001</x:v>
      </x:c>
      <x:c r="G314" s="16" t="str">
        <x:v>正式报告</x:v>
      </x:c>
      <x:c r="H314" s="19" t="n">
        <x:v>12</x:v>
      </x:c>
      <x:c r="I314" s="19" t="n">
        <x:v>8</x:v>
      </x:c>
      <x:c r="J314" s="19" t="n">
        <x:v>2</x:v>
      </x:c>
      <x:c r="K314" s="16" t="str">
        <x:v>2. New with slight deterioration</x:v>
      </x:c>
      <x:c r="L314" s="16" t="str">
        <x:v>Very unlikely</x:v>
      </x:c>
      <x:c r="M314" s="16" t="str">
        <x:v>Negligible</x:v>
      </x:c>
      <x:c r="N314" s="16" t="str">
        <x:v>Low</x:v>
      </x:c>
    </x:row>
    <x:row r="315" ht="37" customHeight="1">
      <x:c r="A315" s="16" t="str">
        <x:v>RAW-00309</x:v>
      </x:c>
      <x:c r="B315" s="16" t="str">
        <x:v>Observation</x:v>
      </x:c>
      <x:c r="C315" s="16" t="str">
        <x:v>– Left-hand side columns facing the front entrance.</x:v>
      </x:c>
      <x:c r="D315" s="16" t="str">
        <x:v>Columns</x:v>
      </x:c>
      <x:c r="E315" s="16" t="str">
        <x:v>SRC-010</x:v>
      </x:c>
      <x:c r="F315" s="16" t="str">
        <x:v>OBS-0364</x:v>
      </x:c>
      <x:c r="G315" s="16" t="str">
        <x:v>正式报告</x:v>
      </x:c>
      <x:c r="H315" s="19" t="n">
        <x:v>3</x:v>
      </x:c>
      <x:c r="I315" s="19" t="n">
        <x:v>6</x:v>
      </x:c>
      <x:c r="J315" s="19" t="n">
        <x:v>1</x:v>
      </x:c>
      <x:c r="K315" s="16" t="str">
        <x:v>5. Major deterioration</x:v>
      </x:c>
      <x:c r="L315" s="16" t="str">
        <x:v>Likely</x:v>
      </x:c>
      <x:c r="M315" s="16" t="str">
        <x:v>Significant</x:v>
      </x:c>
      <x:c r="N315" s="16" t="str">
        <x:v>Critical</x:v>
      </x:c>
    </x:row>
    <x:row r="316" ht="37" customHeight="1">
      <x:c r="A316" s="16" t="str">
        <x:v>RAW-00310</x:v>
      </x:c>
      <x:c r="B316" s="16" t="str">
        <x:v>Observation</x:v>
      </x:c>
      <x:c r="C316" s="16" t="str">
        <x:v>– Row 1 Column 1 corrosion to the lower portion of column.</x:v>
      </x:c>
      <x:c r="D316" s="16" t="str">
        <x:v>Columns</x:v>
      </x:c>
      <x:c r="E316" s="16" t="str">
        <x:v>SRC-010</x:v>
      </x:c>
      <x:c r="F316" s="16" t="str">
        <x:v>OBS-0516</x:v>
      </x:c>
      <x:c r="G316" s="16" t="str">
        <x:v>正式报告</x:v>
      </x:c>
      <x:c r="H316" s="19" t="n">
        <x:v>3</x:v>
      </x:c>
      <x:c r="I316" s="19" t="n">
        <x:v>7</x:v>
      </x:c>
      <x:c r="J316" s="19" t="n">
        <x:v>2</x:v>
      </x:c>
      <x:c r="K316" s="16" t="str">
        <x:v>5. Major deterioration</x:v>
      </x:c>
      <x:c r="L316" s="16" t="str">
        <x:v>Likely</x:v>
      </x:c>
      <x:c r="M316" s="16" t="str">
        <x:v>Significant</x:v>
      </x:c>
      <x:c r="N316" s="16" t="str">
        <x:v>Critical</x:v>
      </x:c>
    </x:row>
    <x:row r="317" ht="37" customHeight="1">
      <x:c r="A317" s="16" t="str">
        <x:v>RAW-00311</x:v>
      </x:c>
      <x:c r="B317" s="16" t="str">
        <x:v>Recommendation</x:v>
      </x:c>
      <x:c r="C317" s="16" t="str">
        <x:v>– Clean, wire brush and repaint.</x:v>
      </x:c>
      <x:c r="D317" s="16" t="str">
        <x:v>Columns</x:v>
      </x:c>
      <x:c r="E317" s="16" t="str">
        <x:v>SRC-010</x:v>
      </x:c>
      <x:c r="F317" s="16" t="str">
        <x:v>REC-0001</x:v>
      </x:c>
      <x:c r="G317" s="16" t="str">
        <x:v>正式报告</x:v>
      </x:c>
      <x:c r="H317" s="19" t="n">
        <x:v>3</x:v>
      </x:c>
      <x:c r="I317" s="19" t="n">
        <x:v>7</x:v>
      </x:c>
      <x:c r="J317" s="19" t="n">
        <x:v>2</x:v>
      </x:c>
      <x:c r="K317" s="16" t="str">
        <x:v>5. Major deterioration</x:v>
      </x:c>
      <x:c r="L317" s="16" t="str">
        <x:v>Likely</x:v>
      </x:c>
      <x:c r="M317" s="16" t="str">
        <x:v>Significant</x:v>
      </x:c>
      <x:c r="N317" s="16" t="str">
        <x:v>Critical</x:v>
      </x:c>
    </x:row>
    <x:row r="318" ht="37" customHeight="1">
      <x:c r="A318" s="16" t="str">
        <x:v>RAW-00312</x:v>
      </x:c>
      <x:c r="B318" s="16" t="str">
        <x:v>Observation</x:v>
      </x:c>
      <x:c r="C318" s="16" t="str">
        <x:v>– Row 1 Column 2 in good condition.</x:v>
      </x:c>
      <x:c r="D318" s="16" t="str">
        <x:v>Columns</x:v>
      </x:c>
      <x:c r="E318" s="16" t="str">
        <x:v>SRC-010</x:v>
      </x:c>
      <x:c r="F318" s="16" t="str">
        <x:v>OBS-0522</x:v>
      </x:c>
      <x:c r="G318" s="16" t="str">
        <x:v>正式报告</x:v>
      </x:c>
      <x:c r="H318" s="19" t="n">
        <x:v>3</x:v>
      </x:c>
      <x:c r="I318" s="19" t="n">
        <x:v>9</x:v>
      </x:c>
      <x:c r="J318" s="19" t="n">
        <x:v>1</x:v>
      </x:c>
      <x:c r="K318" s="16" t="str">
        <x:v>5. Major deterioration</x:v>
      </x:c>
      <x:c r="L318" s="16" t="str">
        <x:v>Likely</x:v>
      </x:c>
      <x:c r="M318" s="16" t="str">
        <x:v>Significant</x:v>
      </x:c>
      <x:c r="N318" s="16" t="str">
        <x:v>Critical</x:v>
      </x:c>
    </x:row>
    <x:row r="319" ht="37" customHeight="1">
      <x:c r="A319" s="16" t="str">
        <x:v>RAW-00313</x:v>
      </x:c>
      <x:c r="B319" s="16" t="str">
        <x:v>Recommendation</x:v>
      </x:c>
      <x:c r="C319" s="16" t="str">
        <x:v>– Clean, wire brush and repaint.</x:v>
      </x:c>
      <x:c r="D319" s="16" t="str">
        <x:v>Columns</x:v>
      </x:c>
      <x:c r="E319" s="16" t="str">
        <x:v>SRC-010</x:v>
      </x:c>
      <x:c r="F319" s="16" t="str">
        <x:v>REC-0001</x:v>
      </x:c>
      <x:c r="G319" s="16" t="str">
        <x:v>正式报告</x:v>
      </x:c>
      <x:c r="H319" s="19" t="n">
        <x:v>3</x:v>
      </x:c>
      <x:c r="I319" s="19" t="n">
        <x:v>9</x:v>
      </x:c>
      <x:c r="J319" s="19" t="n">
        <x:v>1</x:v>
      </x:c>
      <x:c r="K319" s="16" t="str">
        <x:v>5. Major deterioration</x:v>
      </x:c>
      <x:c r="L319" s="16" t="str">
        <x:v>Likely</x:v>
      </x:c>
      <x:c r="M319" s="16" t="str">
        <x:v>Significant</x:v>
      </x:c>
      <x:c r="N319" s="16" t="str">
        <x:v>Critical</x:v>
      </x:c>
    </x:row>
    <x:row r="320" ht="37" customHeight="1">
      <x:c r="A320" s="16" t="str">
        <x:v>RAW-00314</x:v>
      </x:c>
      <x:c r="B320" s="16" t="str">
        <x:v>Observation</x:v>
      </x:c>
      <x:c r="C320" s="16" t="str">
        <x:v>– Left hand side of property facing front entrance. Photo taken in backyard.</x:v>
      </x:c>
      <x:c r="D320" s="16" t="str">
        <x:v>Fencing posts</x:v>
      </x:c>
      <x:c r="E320" s="16" t="str">
        <x:v>SRC-010</x:v>
      </x:c>
      <x:c r="F320" s="16" t="str">
        <x:v>OBS-0357</x:v>
      </x:c>
      <x:c r="G320" s="16" t="str">
        <x:v>正式报告</x:v>
      </x:c>
      <x:c r="H320" s="19" t="n">
        <x:v>4</x:v>
      </x:c>
      <x:c r="I320" s="19" t="n">
        <x:v>6</x:v>
      </x:c>
      <x:c r="J320" s="19" t="n">
        <x:v>1</x:v>
      </x:c>
      <x:c r="K320" s="16" t="str">
        <x:v>3. Minor deterioration</x:v>
      </x:c>
      <x:c r="L320" s="16" t="str">
        <x:v>Unlikely</x:v>
      </x:c>
      <x:c r="M320" s="16" t="str">
        <x:v>Moderate</x:v>
      </x:c>
      <x:c r="N320" s="16" t="str">
        <x:v>Moderate</x:v>
      </x:c>
    </x:row>
    <x:row r="321" ht="41" customHeight="1">
      <x:c r="A321" s="16" t="str">
        <x:v>RAW-00315</x:v>
      </x:c>
      <x:c r="B321" s="16" t="str">
        <x:v>Recommendation</x:v>
      </x:c>
      <x:c r="C321" s="16" t="str">
        <x:v>– Clean, wire brush and repaint. Expose the posts base and investigate the condition. Undertake appropriate repair stated within Section 3.</x:v>
      </x:c>
      <x:c r="D321" s="16" t="str">
        <x:v>Fencing posts</x:v>
      </x:c>
      <x:c r="E321" s="16" t="str">
        <x:v>SRC-010</x:v>
      </x:c>
      <x:c r="F321" s="16" t="str">
        <x:v>REC-0026</x:v>
      </x:c>
      <x:c r="G321" s="16" t="str">
        <x:v>正式报告</x:v>
      </x:c>
      <x:c r="H321" s="19" t="n">
        <x:v>4</x:v>
      </x:c>
      <x:c r="I321" s="19" t="n">
        <x:v>6</x:v>
      </x:c>
      <x:c r="J321" s="19" t="n">
        <x:v>1</x:v>
      </x:c>
      <x:c r="K321" s="16" t="str">
        <x:v>3. Minor deterioration</x:v>
      </x:c>
      <x:c r="L321" s="16" t="str">
        <x:v>Unlikely</x:v>
      </x:c>
      <x:c r="M321" s="16" t="str">
        <x:v>Moderate</x:v>
      </x:c>
      <x:c r="N321" s="16" t="str">
        <x:v>Moderate</x:v>
      </x:c>
    </x:row>
    <x:row r="322" ht="37" customHeight="1">
      <x:c r="A322" s="16" t="str">
        <x:v>RAW-00316</x:v>
      </x:c>
      <x:c r="B322" s="16" t="str">
        <x:v>Observation</x:v>
      </x:c>
      <x:c r="C322" s="16" t="str">
        <x:v>– Overview of carport verandah.</x:v>
      </x:c>
      <x:c r="D322" s="16" t="str">
        <x:v>Rafters and purlins</x:v>
      </x:c>
      <x:c r="E322" s="16" t="str">
        <x:v>SRC-010</x:v>
      </x:c>
      <x:c r="F322" s="16" t="str">
        <x:v>OBS-0009</x:v>
      </x:c>
      <x:c r="G322" s="16" t="str">
        <x:v>正式报告</x:v>
      </x:c>
      <x:c r="H322" s="19" t="n">
        <x:v>5</x:v>
      </x:c>
      <x:c r="I322" s="19" t="n">
        <x:v>6</x:v>
      </x:c>
      <x:c r="J322" s="19" t="n">
        <x:v>1</x:v>
      </x:c>
      <x:c r="K322" s="16" t="str">
        <x:v>3. Minor deterioration</x:v>
      </x:c>
      <x:c r="L322" s="16" t="str">
        <x:v>Unlikely</x:v>
      </x:c>
      <x:c r="M322" s="16" t="str">
        <x:v>Significant</x:v>
      </x:c>
      <x:c r="N322" s="16" t="str">
        <x:v>Moderate</x:v>
      </x:c>
    </x:row>
    <x:row r="323" ht="37" customHeight="1">
      <x:c r="A323" s="16" t="str">
        <x:v>RAW-00317</x:v>
      </x:c>
      <x:c r="B323" s="16" t="str">
        <x:v>Observation</x:v>
      </x:c>
      <x:c r="C323" s="16" t="str">
        <x:v>– Right hand side of house facing the entrance. Minor corrosion of verandah beams and posts.</x:v>
      </x:c>
      <x:c r="D323" s="16" t="str">
        <x:v>Rafters and purlins</x:v>
      </x:c>
      <x:c r="E323" s="16" t="str">
        <x:v>SRC-010</x:v>
      </x:c>
      <x:c r="F323" s="16" t="str">
        <x:v>OBS-0493</x:v>
      </x:c>
      <x:c r="G323" s="16" t="str">
        <x:v>正式报告</x:v>
      </x:c>
      <x:c r="H323" s="19" t="n">
        <x:v>5</x:v>
      </x:c>
      <x:c r="I323" s="19" t="n">
        <x:v>7</x:v>
      </x:c>
      <x:c r="J323" s="19" t="n">
        <x:v>3</x:v>
      </x:c>
      <x:c r="K323" s="16" t="str">
        <x:v>3. Minor deterioration</x:v>
      </x:c>
      <x:c r="L323" s="16" t="str">
        <x:v>Unlikely</x:v>
      </x:c>
      <x:c r="M323" s="16" t="str">
        <x:v>Significant</x:v>
      </x:c>
      <x:c r="N323" s="16" t="str">
        <x:v>Moderate</x:v>
      </x:c>
    </x:row>
    <x:row r="324" ht="37" customHeight="1">
      <x:c r="A324" s="16" t="str">
        <x:v>RAW-00318</x:v>
      </x:c>
      <x:c r="B324" s="16" t="str">
        <x:v>Observation</x:v>
      </x:c>
      <x:c r="C324" s="16" t="str">
        <x:v>– Right hand side of house facing the entrance. Minor corrosion of verandah column and beam.</x:v>
      </x:c>
      <x:c r="D324" s="16" t="str">
        <x:v>Rafters and purlins</x:v>
      </x:c>
      <x:c r="E324" s="16" t="str">
        <x:v>SRC-010</x:v>
      </x:c>
      <x:c r="F324" s="16" t="str">
        <x:v>OBS-0494</x:v>
      </x:c>
      <x:c r="G324" s="16" t="str">
        <x:v>正式报告</x:v>
      </x:c>
      <x:c r="H324" s="19" t="n">
        <x:v>5</x:v>
      </x:c>
      <x:c r="I324" s="19" t="n">
        <x:v>10</x:v>
      </x:c>
      <x:c r="J324" s="19" t="n">
        <x:v>1</x:v>
      </x:c>
      <x:c r="K324" s="16" t="str">
        <x:v>3. Minor deterioration</x:v>
      </x:c>
      <x:c r="L324" s="16" t="str">
        <x:v>Unlikely</x:v>
      </x:c>
      <x:c r="M324" s="16" t="str">
        <x:v>Significant</x:v>
      </x:c>
      <x:c r="N324" s="16" t="str">
        <x:v>Moderate</x:v>
      </x:c>
    </x:row>
    <x:row r="325" ht="37" customHeight="1">
      <x:c r="A325" s="16" t="str">
        <x:v>RAW-00319</x:v>
      </x:c>
      <x:c r="B325" s="16" t="str">
        <x:v>Observation</x:v>
      </x:c>
      <x:c r="C325" s="16" t="str">
        <x:v>– Right hand side corner of house facing the entrance. Minor corrosion at beam connection.</x:v>
      </x:c>
      <x:c r="D325" s="16" t="str">
        <x:v>Rafters and purlins</x:v>
      </x:c>
      <x:c r="E325" s="16" t="str">
        <x:v>SRC-010</x:v>
      </x:c>
      <x:c r="F325" s="16" t="str">
        <x:v>OBS-0480</x:v>
      </x:c>
      <x:c r="G325" s="16" t="str">
        <x:v>正式报告</x:v>
      </x:c>
      <x:c r="H325" s="19" t="n">
        <x:v>5</x:v>
      </x:c>
      <x:c r="I325" s="19" t="n">
        <x:v>11</x:v>
      </x:c>
      <x:c r="J325" s="19" t="n">
        <x:v>1</x:v>
      </x:c>
      <x:c r="K325" s="16" t="str">
        <x:v>3. Minor deterioration</x:v>
      </x:c>
      <x:c r="L325" s="16" t="str">
        <x:v>Unlikely</x:v>
      </x:c>
      <x:c r="M325" s="16" t="str">
        <x:v>Significant</x:v>
      </x:c>
      <x:c r="N325" s="16" t="str">
        <x:v>Moderate</x:v>
      </x:c>
    </x:row>
    <x:row r="326" ht="37" customHeight="1">
      <x:c r="A326" s="16" t="str">
        <x:v>RAW-00320</x:v>
      </x:c>
      <x:c r="B326" s="16" t="str">
        <x:v>Recommendation</x:v>
      </x:c>
      <x:c r="C326" s="16" t="str">
        <x:v>– Clean, wire brush and repaint.</x:v>
      </x:c>
      <x:c r="D326" s="16" t="str">
        <x:v>Rafters and purlins</x:v>
      </x:c>
      <x:c r="E326" s="16" t="str">
        <x:v>SRC-010</x:v>
      </x:c>
      <x:c r="F326" s="16" t="str">
        <x:v>REC-0001</x:v>
      </x:c>
      <x:c r="G326" s="16" t="str">
        <x:v>正式报告</x:v>
      </x:c>
      <x:c r="H326" s="19" t="n">
        <x:v>5</x:v>
      </x:c>
      <x:c r="I326" s="19" t="n">
        <x:v>11</x:v>
      </x:c>
      <x:c r="J326" s="19" t="n">
        <x:v>1</x:v>
      </x:c>
      <x:c r="K326" s="16" t="str">
        <x:v>3. Minor deterioration</x:v>
      </x:c>
      <x:c r="L326" s="16" t="str">
        <x:v>Unlikely</x:v>
      </x:c>
      <x:c r="M326" s="16" t="str">
        <x:v>Significant</x:v>
      </x:c>
      <x:c r="N326" s="16" t="str">
        <x:v>Moderate</x:v>
      </x:c>
    </x:row>
    <x:row r="327" ht="37" customHeight="1">
      <x:c r="A327" s="16" t="str">
        <x:v>RAW-00321</x:v>
      </x:c>
      <x:c r="B327" s="16" t="str">
        <x:v>Observation</x:v>
      </x:c>
      <x:c r="C327" s="16" t="str">
        <x:v>– Overview of carport verandah.</x:v>
      </x:c>
      <x:c r="D327" s="16" t="str">
        <x:v>Roof</x:v>
      </x:c>
      <x:c r="E327" s="16" t="str">
        <x:v>SRC-010</x:v>
      </x:c>
      <x:c r="F327" s="16" t="str">
        <x:v>OBS-0009</x:v>
      </x:c>
      <x:c r="G327" s="16" t="str">
        <x:v>正式报告</x:v>
      </x:c>
      <x:c r="H327" s="19" t="n">
        <x:v>6</x:v>
      </x:c>
      <x:c r="I327" s="19" t="n">
        <x:v>6</x:v>
      </x:c>
      <x:c r="J327" s="19" t="n">
        <x:v>1</x:v>
      </x:c>
      <x:c r="K327" s="16" t="str">
        <x:v>5. Major deterioration</x:v>
      </x:c>
      <x:c r="L327" s="16" t="str">
        <x:v>Likely</x:v>
      </x:c>
      <x:c r="M327" s="16" t="str">
        <x:v>Minor</x:v>
      </x:c>
      <x:c r="N327" s="16" t="str">
        <x:v>Moderate</x:v>
      </x:c>
    </x:row>
    <x:row r="328" ht="37" customHeight="1">
      <x:c r="A328" s="16" t="str">
        <x:v>RAW-00322</x:v>
      </x:c>
      <x:c r="B328" s="16" t="str">
        <x:v>Observation</x:v>
      </x:c>
      <x:c r="C328" s="16" t="str">
        <x:v>– Corroded Tek screw and surrounding sheeting.</x:v>
      </x:c>
      <x:c r="D328" s="16" t="str">
        <x:v>Roof</x:v>
      </x:c>
      <x:c r="E328" s="16" t="str">
        <x:v>SRC-010</x:v>
      </x:c>
      <x:c r="F328" s="16" t="str">
        <x:v>OBS-0219</x:v>
      </x:c>
      <x:c r="G328" s="16" t="str">
        <x:v>正式报告</x:v>
      </x:c>
      <x:c r="H328" s="19" t="n">
        <x:v>6</x:v>
      </x:c>
      <x:c r="I328" s="19" t="n">
        <x:v>7</x:v>
      </x:c>
      <x:c r="J328" s="19" t="n">
        <x:v>1</x:v>
      </x:c>
      <x:c r="K328" s="16" t="str">
        <x:v>5. Major deterioration</x:v>
      </x:c>
      <x:c r="L328" s="16" t="str">
        <x:v>Likely</x:v>
      </x:c>
      <x:c r="M328" s="16" t="str">
        <x:v>Minor</x:v>
      </x:c>
      <x:c r="N328" s="16" t="str">
        <x:v>Moderate</x:v>
      </x:c>
    </x:row>
    <x:row r="329" ht="37" customHeight="1">
      <x:c r="A329" s="16" t="str">
        <x:v>RAW-00323</x:v>
      </x:c>
      <x:c r="B329" s="16" t="str">
        <x:v>Recommendation</x:v>
      </x:c>
      <x:c r="C329" s="16" t="str">
        <x:v>– Clean, wire brush and repaint. Replace corroded screw.</x:v>
      </x:c>
      <x:c r="D329" s="16" t="str">
        <x:v>Roof</x:v>
      </x:c>
      <x:c r="E329" s="16" t="str">
        <x:v>SRC-010</x:v>
      </x:c>
      <x:c r="F329" s="16" t="str">
        <x:v>REC-0083</x:v>
      </x:c>
      <x:c r="G329" s="16" t="str">
        <x:v>正式报告</x:v>
      </x:c>
      <x:c r="H329" s="19" t="n">
        <x:v>6</x:v>
      </x:c>
      <x:c r="I329" s="19" t="n">
        <x:v>7</x:v>
      </x:c>
      <x:c r="J329" s="19" t="n">
        <x:v>1</x:v>
      </x:c>
      <x:c r="K329" s="16" t="str">
        <x:v>5. Major deterioration</x:v>
      </x:c>
      <x:c r="L329" s="16" t="str">
        <x:v>Likely</x:v>
      </x:c>
      <x:c r="M329" s="16" t="str">
        <x:v>Minor</x:v>
      </x:c>
      <x:c r="N329" s="16" t="str">
        <x:v>Moderate</x:v>
      </x:c>
    </x:row>
    <x:row r="330" ht="41" customHeight="1">
      <x:c r="A330" s="16" t="str">
        <x:v>RAW-00324</x:v>
      </x:c>
      <x:c r="B330" s="16" t="str">
        <x:v>Observation</x:v>
      </x:c>
      <x:c r="C330" s="16" t="str">
        <x:v>– Left-hand side of house facing front entrance. Soffit flashing plate failed and soffit sheeting corroded.</x:v>
      </x:c>
      <x:c r="D330" s="16" t="str">
        <x:v>Roof</x:v>
      </x:c>
      <x:c r="E330" s="16" t="str">
        <x:v>SRC-010</x:v>
      </x:c>
      <x:c r="F330" s="16" t="str">
        <x:v>OBS-0368</x:v>
      </x:c>
      <x:c r="G330" s="16" t="str">
        <x:v>正式报告</x:v>
      </x:c>
      <x:c r="H330" s="19" t="n">
        <x:v>6</x:v>
      </x:c>
      <x:c r="I330" s="19" t="n">
        <x:v>8</x:v>
      </x:c>
      <x:c r="J330" s="19" t="n">
        <x:v>1</x:v>
      </x:c>
      <x:c r="K330" s="16" t="str">
        <x:v>5. Major deterioration</x:v>
      </x:c>
      <x:c r="L330" s="16" t="str">
        <x:v>Likely</x:v>
      </x:c>
      <x:c r="M330" s="16" t="str">
        <x:v>Minor</x:v>
      </x:c>
      <x:c r="N330" s="16" t="str">
        <x:v>Moderate</x:v>
      </x:c>
    </x:row>
    <x:row r="331" ht="37" customHeight="1">
      <x:c r="A331" s="16" t="str">
        <x:v>RAW-00325</x:v>
      </x:c>
      <x:c r="B331" s="16" t="str">
        <x:v>Recommendation</x:v>
      </x:c>
      <x:c r="C331" s="16" t="str">
        <x:v>– Clean, wire brush and repaint. Reattach flashing plate.</x:v>
      </x:c>
      <x:c r="D331" s="16" t="str">
        <x:v>Roof</x:v>
      </x:c>
      <x:c r="E331" s="16" t="str">
        <x:v>SRC-010</x:v>
      </x:c>
      <x:c r="F331" s="16" t="str">
        <x:v>REC-0082</x:v>
      </x:c>
      <x:c r="G331" s="16" t="str">
        <x:v>正式报告</x:v>
      </x:c>
      <x:c r="H331" s="19" t="n">
        <x:v>6</x:v>
      </x:c>
      <x:c r="I331" s="19" t="n">
        <x:v>8</x:v>
      </x:c>
      <x:c r="J331" s="19" t="n">
        <x:v>1</x:v>
      </x:c>
      <x:c r="K331" s="16" t="str">
        <x:v>5. Major deterioration</x:v>
      </x:c>
      <x:c r="L331" s="16" t="str">
        <x:v>Likely</x:v>
      </x:c>
      <x:c r="M331" s="16" t="str">
        <x:v>Minor</x:v>
      </x:c>
      <x:c r="N331" s="16" t="str">
        <x:v>Moderate</x:v>
      </x:c>
    </x:row>
    <x:row r="332" ht="37" customHeight="1">
      <x:c r="A332" s="16" t="str">
        <x:v>RAW-00326</x:v>
      </x:c>
      <x:c r="B332" s="16" t="str">
        <x:v>Observation</x:v>
      </x:c>
      <x:c r="C332" s="16" t="str">
        <x:v>– Overview of right-hand side of house windows.</x:v>
      </x:c>
      <x:c r="D332" s="16" t="str">
        <x:v>Cladding and framing</x:v>
      </x:c>
      <x:c r="E332" s="16" t="str">
        <x:v>SRC-010</x:v>
      </x:c>
      <x:c r="F332" s="16" t="str">
        <x:v>OBS-0027</x:v>
      </x:c>
      <x:c r="G332" s="16" t="str">
        <x:v>正式报告</x:v>
      </x:c>
      <x:c r="H332" s="19" t="n">
        <x:v>7</x:v>
      </x:c>
      <x:c r="I332" s="19" t="n">
        <x:v>6</x:v>
      </x:c>
      <x:c r="J332" s="19" t="n">
        <x:v>1</x:v>
      </x:c>
      <x:c r="K332" s="16" t="str">
        <x:v>3. Minor deterioration</x:v>
      </x:c>
      <x:c r="L332" s="16" t="str">
        <x:v>Unlikely</x:v>
      </x:c>
      <x:c r="M332" s="16" t="str">
        <x:v>Negligible</x:v>
      </x:c>
      <x:c r="N332" s="16" t="str">
        <x:v>Low</x:v>
      </x:c>
    </x:row>
    <x:row r="333" ht="37" customHeight="1">
      <x:c r="A333" s="16" t="str">
        <x:v>RAW-00327</x:v>
      </x:c>
      <x:c r="B333" s="16" t="str">
        <x:v>Observation</x:v>
      </x:c>
      <x:c r="C333" s="16" t="str">
        <x:v>– Minor surface corrosion of top steel plate.</x:v>
      </x:c>
      <x:c r="D333" s="16" t="str">
        <x:v>Cladding and framing</x:v>
      </x:c>
      <x:c r="E333" s="16" t="str">
        <x:v>SRC-010</x:v>
      </x:c>
      <x:c r="F333" s="16" t="str">
        <x:v>OBS-0070</x:v>
      </x:c>
      <x:c r="G333" s="16" t="str">
        <x:v>正式报告</x:v>
      </x:c>
      <x:c r="H333" s="19" t="n">
        <x:v>7</x:v>
      </x:c>
      <x:c r="I333" s="19" t="n">
        <x:v>7</x:v>
      </x:c>
      <x:c r="J333" s="19" t="n">
        <x:v>1</x:v>
      </x:c>
      <x:c r="K333" s="16" t="str">
        <x:v>3. Minor deterioration</x:v>
      </x:c>
      <x:c r="L333" s="16" t="str">
        <x:v>Unlikely</x:v>
      </x:c>
      <x:c r="M333" s="16" t="str">
        <x:v>Negligible</x:v>
      </x:c>
      <x:c r="N333" s="16" t="str">
        <x:v>Low</x:v>
      </x:c>
    </x:row>
    <x:row r="334" ht="37" customHeight="1">
      <x:c r="A334" s="16" t="str">
        <x:v>RAW-00328</x:v>
      </x:c>
      <x:c r="B334" s="16" t="str">
        <x:v>Observation</x:v>
      </x:c>
      <x:c r="C334" s="16" t="str">
        <x:v>– Minor surface corrosion of wall cladding and bolts.</x:v>
      </x:c>
      <x:c r="D334" s="16" t="str">
        <x:v>Cladding and framing</x:v>
      </x:c>
      <x:c r="E334" s="16" t="str">
        <x:v>SRC-010</x:v>
      </x:c>
      <x:c r="F334" s="16" t="str">
        <x:v>OBS-0407</x:v>
      </x:c>
      <x:c r="G334" s="16" t="str">
        <x:v>正式报告</x:v>
      </x:c>
      <x:c r="H334" s="19" t="n">
        <x:v>7</x:v>
      </x:c>
      <x:c r="I334" s="19" t="n">
        <x:v>8</x:v>
      </x:c>
      <x:c r="J334" s="19" t="n">
        <x:v>1</x:v>
      </x:c>
      <x:c r="K334" s="16" t="str">
        <x:v>3. Minor deterioration</x:v>
      </x:c>
      <x:c r="L334" s="16" t="str">
        <x:v>Unlikely</x:v>
      </x:c>
      <x:c r="M334" s="16" t="str">
        <x:v>Negligible</x:v>
      </x:c>
      <x:c r="N334" s="16" t="str">
        <x:v>Low</x:v>
      </x:c>
    </x:row>
    <x:row r="335" ht="37" customHeight="1">
      <x:c r="A335" s="16" t="str">
        <x:v>RAW-00329</x:v>
      </x:c>
      <x:c r="B335" s="16" t="str">
        <x:v>Observation</x:v>
      </x:c>
      <x:c r="C335" s="16" t="str">
        <x:v>– Minor surface corrosion of window corner.</x:v>
      </x:c>
      <x:c r="D335" s="16" t="str">
        <x:v>Cladding and framing</x:v>
      </x:c>
      <x:c r="E335" s="16" t="str">
        <x:v>SRC-010</x:v>
      </x:c>
      <x:c r="F335" s="16" t="str">
        <x:v>OBS-0408</x:v>
      </x:c>
      <x:c r="G335" s="16" t="str">
        <x:v>正式报告</x:v>
      </x:c>
      <x:c r="H335" s="19" t="n">
        <x:v>7</x:v>
      </x:c>
      <x:c r="I335" s="19" t="n">
        <x:v>9</x:v>
      </x:c>
      <x:c r="J335" s="19" t="n">
        <x:v>1</x:v>
      </x:c>
      <x:c r="K335" s="16" t="str">
        <x:v>3. Minor deterioration</x:v>
      </x:c>
      <x:c r="L335" s="16" t="str">
        <x:v>Unlikely</x:v>
      </x:c>
      <x:c r="M335" s="16" t="str">
        <x:v>Negligible</x:v>
      </x:c>
      <x:c r="N335" s="16" t="str">
        <x:v>Low</x:v>
      </x:c>
    </x:row>
    <x:row r="336" ht="37" customHeight="1">
      <x:c r="A336" s="16" t="str">
        <x:v>RAW-00330</x:v>
      </x:c>
      <x:c r="B336" s="16" t="str">
        <x:v>Recommendation</x:v>
      </x:c>
      <x:c r="C336" s="16" t="str">
        <x:v>– Clean, wire brush and repaint.</x:v>
      </x:c>
      <x:c r="D336" s="16" t="str">
        <x:v>Cladding and framing</x:v>
      </x:c>
      <x:c r="E336" s="16" t="str">
        <x:v>SRC-010</x:v>
      </x:c>
      <x:c r="F336" s="16" t="str">
        <x:v>REC-0001</x:v>
      </x:c>
      <x:c r="G336" s="16" t="str">
        <x:v>正式报告</x:v>
      </x:c>
      <x:c r="H336" s="19" t="n">
        <x:v>7</x:v>
      </x:c>
      <x:c r="I336" s="19" t="n">
        <x:v>9</x:v>
      </x:c>
      <x:c r="J336" s="19" t="n">
        <x:v>1</x:v>
      </x:c>
      <x:c r="K336" s="16" t="str">
        <x:v>3. Minor deterioration</x:v>
      </x:c>
      <x:c r="L336" s="16" t="str">
        <x:v>Unlikely</x:v>
      </x:c>
      <x:c r="M336" s="16" t="str">
        <x:v>Negligible</x:v>
      </x:c>
      <x:c r="N336" s="16" t="str">
        <x:v>Low</x:v>
      </x:c>
    </x:row>
    <x:row r="337" ht="37" customHeight="1">
      <x:c r="A337" s="16" t="str">
        <x:v>RAW-00331</x:v>
      </x:c>
      <x:c r="B337" s="16" t="str">
        <x:v>Observation</x:v>
      </x:c>
      <x:c r="C337" s="16" t="str">
        <x:v>– Minor corrosion of outdoor fan.</x:v>
      </x:c>
      <x:c r="D337" s="16" t="str">
        <x:v>Outdoor fan</x:v>
      </x:c>
      <x:c r="E337" s="16" t="str">
        <x:v>SRC-010</x:v>
      </x:c>
      <x:c r="F337" s="16" t="str">
        <x:v>OBS-0391</x:v>
      </x:c>
      <x:c r="G337" s="16" t="str">
        <x:v>正式报告</x:v>
      </x:c>
      <x:c r="H337" s="19" t="n">
        <x:v>8</x:v>
      </x:c>
      <x:c r="I337" s="19" t="n">
        <x:v>6</x:v>
      </x:c>
      <x:c r="J337" s="19" t="n">
        <x:v>1</x:v>
      </x:c>
      <x:c r="K337" s="16" t="str">
        <x:v>3. Minor deterioration</x:v>
      </x:c>
      <x:c r="L337" s="16" t="str">
        <x:v>Unlikely</x:v>
      </x:c>
      <x:c r="M337" s="16" t="str">
        <x:v>Minor</x:v>
      </x:c>
      <x:c r="N337" s="16" t="str">
        <x:v>Low</x:v>
      </x:c>
    </x:row>
    <x:row r="338" ht="37" customHeight="1">
      <x:c r="A338" s="16" t="str">
        <x:v>RAW-00332</x:v>
      </x:c>
      <x:c r="B338" s="16" t="str">
        <x:v>Recommendation</x:v>
      </x:c>
      <x:c r="C338" s="16" t="str">
        <x:v>– Clean, wire brush and repaint.</x:v>
      </x:c>
      <x:c r="D338" s="16" t="str">
        <x:v>Outdoor fan</x:v>
      </x:c>
      <x:c r="E338" s="16" t="str">
        <x:v>SRC-010</x:v>
      </x:c>
      <x:c r="F338" s="16" t="str">
        <x:v>REC-0001</x:v>
      </x:c>
      <x:c r="G338" s="16" t="str">
        <x:v>正式报告</x:v>
      </x:c>
      <x:c r="H338" s="19" t="n">
        <x:v>8</x:v>
      </x:c>
      <x:c r="I338" s="19" t="n">
        <x:v>6</x:v>
      </x:c>
      <x:c r="J338" s="19" t="n">
        <x:v>1</x:v>
      </x:c>
      <x:c r="K338" s="16" t="str">
        <x:v>3. Minor deterioration</x:v>
      </x:c>
      <x:c r="L338" s="16" t="str">
        <x:v>Unlikely</x:v>
      </x:c>
      <x:c r="M338" s="16" t="str">
        <x:v>Minor</x:v>
      </x:c>
      <x:c r="N338" s="16" t="str">
        <x:v>Low</x:v>
      </x:c>
    </x:row>
    <x:row r="339" ht="37" customHeight="1">
      <x:c r="A339" s="16" t="str">
        <x:v>RAW-00333</x:v>
      </x:c>
      <x:c r="B339" s="16" t="str">
        <x:v>Observation</x:v>
      </x:c>
      <x:c r="C339" s="16" t="str">
        <x:v>– Front verandah column.</x:v>
      </x:c>
      <x:c r="D339" s="16" t="str">
        <x:v>Columns</x:v>
      </x:c>
      <x:c r="E339" s="16" t="str">
        <x:v>SRC-011</x:v>
      </x:c>
      <x:c r="F339" s="16" t="str">
        <x:v>OBS-0290</x:v>
      </x:c>
      <x:c r="G339" s="16" t="str">
        <x:v>正式报告</x:v>
      </x:c>
      <x:c r="H339" s="19" t="n">
        <x:v>3</x:v>
      </x:c>
      <x:c r="I339" s="19" t="n">
        <x:v>6</x:v>
      </x:c>
      <x:c r="J339" s="19" t="n">
        <x:v>1</x:v>
      </x:c>
      <x:c r="K339" s="16" t="str">
        <x:v>5. Major deterioration</x:v>
      </x:c>
      <x:c r="L339" s="16" t="str">
        <x:v>Likely</x:v>
      </x:c>
      <x:c r="M339" s="16" t="str">
        <x:v>Significant</x:v>
      </x:c>
      <x:c r="N339" s="16" t="str">
        <x:v>Critical</x:v>
      </x:c>
    </x:row>
    <x:row r="340" ht="37" customHeight="1">
      <x:c r="A340" s="16" t="str">
        <x:v>RAW-00334</x:v>
      </x:c>
      <x:c r="B340" s="16" t="str">
        <x:v>Observation</x:v>
      </x:c>
      <x:c r="C340" s="16" t="str">
        <x:v>– Front verandah column. Staining at lower section.</x:v>
      </x:c>
      <x:c r="D340" s="16" t="str">
        <x:v>Columns</x:v>
      </x:c>
      <x:c r="E340" s="16" t="str">
        <x:v>SRC-011</x:v>
      </x:c>
      <x:c r="F340" s="16" t="str">
        <x:v>OBS-0291</x:v>
      </x:c>
      <x:c r="G340" s="16" t="str">
        <x:v>正式报告</x:v>
      </x:c>
      <x:c r="H340" s="19" t="n">
        <x:v>3</x:v>
      </x:c>
      <x:c r="I340" s="19" t="n">
        <x:v>7</x:v>
      </x:c>
      <x:c r="J340" s="19" t="n">
        <x:v>1</x:v>
      </x:c>
      <x:c r="K340" s="16" t="str">
        <x:v>5. Major deterioration</x:v>
      </x:c>
      <x:c r="L340" s="16" t="str">
        <x:v>Likely</x:v>
      </x:c>
      <x:c r="M340" s="16" t="str">
        <x:v>Significant</x:v>
      </x:c>
      <x:c r="N340" s="16" t="str">
        <x:v>Critical</x:v>
      </x:c>
    </x:row>
    <x:row r="341" ht="37" customHeight="1">
      <x:c r="A341" s="16" t="str">
        <x:v>RAW-00335</x:v>
      </x:c>
      <x:c r="B341" s="16" t="str">
        <x:v>Recommendation</x:v>
      </x:c>
      <x:c r="C341" s="16" t="str">
        <x:v>– Remove salt staining.</x:v>
      </x:c>
      <x:c r="D341" s="16" t="str">
        <x:v>Columns</x:v>
      </x:c>
      <x:c r="E341" s="16" t="str">
        <x:v>SRC-011</x:v>
      </x:c>
      <x:c r="F341" s="16" t="str">
        <x:v>REC-0004</x:v>
      </x:c>
      <x:c r="G341" s="16" t="str">
        <x:v>正式报告</x:v>
      </x:c>
      <x:c r="H341" s="19" t="n">
        <x:v>3</x:v>
      </x:c>
      <x:c r="I341" s="19" t="n">
        <x:v>7</x:v>
      </x:c>
      <x:c r="J341" s="19" t="n">
        <x:v>1</x:v>
      </x:c>
      <x:c r="K341" s="16" t="str">
        <x:v>5. Major deterioration</x:v>
      </x:c>
      <x:c r="L341" s="16" t="str">
        <x:v>Likely</x:v>
      </x:c>
      <x:c r="M341" s="16" t="str">
        <x:v>Significant</x:v>
      </x:c>
      <x:c r="N341" s="16" t="str">
        <x:v>Critical</x:v>
      </x:c>
    </x:row>
    <x:row r="342" ht="37" customHeight="1">
      <x:c r="A342" s="16" t="str">
        <x:v>RAW-00336</x:v>
      </x:c>
      <x:c r="B342" s="16" t="str">
        <x:v>Observation</x:v>
      </x:c>
      <x:c r="C342" s="16" t="str">
        <x:v>– Back verandah columns in good condition.</x:v>
      </x:c>
      <x:c r="D342" s="16" t="str">
        <x:v>Columns</x:v>
      </x:c>
      <x:c r="E342" s="16" t="str">
        <x:v>SRC-011</x:v>
      </x:c>
      <x:c r="F342" s="16" t="str">
        <x:v>OBS-0021</x:v>
      </x:c>
      <x:c r="G342" s="16" t="str">
        <x:v>正式报告</x:v>
      </x:c>
      <x:c r="H342" s="19" t="n">
        <x:v>3</x:v>
      </x:c>
      <x:c r="I342" s="19" t="n">
        <x:v>8</x:v>
      </x:c>
      <x:c r="J342" s="19" t="n">
        <x:v>2</x:v>
      </x:c>
      <x:c r="K342" s="16" t="str">
        <x:v>5. Major deterioration</x:v>
      </x:c>
      <x:c r="L342" s="16" t="str">
        <x:v>Likely</x:v>
      </x:c>
      <x:c r="M342" s="16" t="str">
        <x:v>Significant</x:v>
      </x:c>
      <x:c r="N342" s="16" t="str">
        <x:v>Critical</x:v>
      </x:c>
    </x:row>
    <x:row r="343" ht="37" customHeight="1">
      <x:c r="A343" s="16" t="str">
        <x:v>RAW-00337</x:v>
      </x:c>
      <x:c r="B343" s="16" t="str">
        <x:v>Recommendation</x:v>
      </x:c>
      <x:c r="C343" s="16" t="str">
        <x:v>– Remove salt staining.</x:v>
      </x:c>
      <x:c r="D343" s="16" t="str">
        <x:v>Columns</x:v>
      </x:c>
      <x:c r="E343" s="16" t="str">
        <x:v>SRC-011</x:v>
      </x:c>
      <x:c r="F343" s="16" t="str">
        <x:v>REC-0004</x:v>
      </x:c>
      <x:c r="G343" s="16" t="str">
        <x:v>正式报告</x:v>
      </x:c>
      <x:c r="H343" s="19" t="n">
        <x:v>3</x:v>
      </x:c>
      <x:c r="I343" s="19" t="n">
        <x:v>8</x:v>
      </x:c>
      <x:c r="J343" s="19" t="n">
        <x:v>2</x:v>
      </x:c>
      <x:c r="K343" s="16" t="str">
        <x:v>5. Major deterioration</x:v>
      </x:c>
      <x:c r="L343" s="16" t="str">
        <x:v>Likely</x:v>
      </x:c>
      <x:c r="M343" s="16" t="str">
        <x:v>Significant</x:v>
      </x:c>
      <x:c r="N343" s="16" t="str">
        <x:v>Critical</x:v>
      </x:c>
    </x:row>
    <x:row r="344" ht="37" customHeight="1">
      <x:c r="A344" s="16" t="str">
        <x:v>RAW-00338</x:v>
      </x:c>
      <x:c r="B344" s="16" t="str">
        <x:v>Observation</x:v>
      </x:c>
      <x:c r="C344" s="16" t="str">
        <x:v>– Carport wall columns with water tap attached.</x:v>
      </x:c>
      <x:c r="D344" s="16" t="str">
        <x:v>Columns</x:v>
      </x:c>
      <x:c r="E344" s="16" t="str">
        <x:v>SRC-011</x:v>
      </x:c>
      <x:c r="F344" s="16" t="str">
        <x:v>OBS-0177</x:v>
      </x:c>
      <x:c r="G344" s="16" t="str">
        <x:v>正式报告</x:v>
      </x:c>
      <x:c r="H344" s="19" t="n">
        <x:v>3</x:v>
      </x:c>
      <x:c r="I344" s="19" t="n">
        <x:v>10</x:v>
      </x:c>
      <x:c r="J344" s="19" t="n">
        <x:v>2</x:v>
      </x:c>
      <x:c r="K344" s="16" t="str">
        <x:v>5. Major deterioration</x:v>
      </x:c>
      <x:c r="L344" s="16" t="str">
        <x:v>Likely</x:v>
      </x:c>
      <x:c r="M344" s="16" t="str">
        <x:v>Significant</x:v>
      </x:c>
      <x:c r="N344" s="16" t="str">
        <x:v>Critical</x:v>
      </x:c>
    </x:row>
    <x:row r="345" ht="37" customHeight="1">
      <x:c r="A345" s="16" t="str">
        <x:v>RAW-00339</x:v>
      </x:c>
      <x:c r="B345" s="16" t="str">
        <x:v>Recommendation</x:v>
      </x:c>
      <x:c r="C345" s="16" t="str">
        <x:v>– Clean, wire brush and repaint corroded areas.</x:v>
      </x:c>
      <x:c r="D345" s="16" t="str">
        <x:v>Columns</x:v>
      </x:c>
      <x:c r="E345" s="16" t="str">
        <x:v>SRC-011</x:v>
      </x:c>
      <x:c r="F345" s="16" t="str">
        <x:v>REC-0005</x:v>
      </x:c>
      <x:c r="G345" s="16" t="str">
        <x:v>正式报告</x:v>
      </x:c>
      <x:c r="H345" s="19" t="n">
        <x:v>3</x:v>
      </x:c>
      <x:c r="I345" s="19" t="n">
        <x:v>10</x:v>
      </x:c>
      <x:c r="J345" s="19" t="n">
        <x:v>2</x:v>
      </x:c>
      <x:c r="K345" s="16" t="str">
        <x:v>5. Major deterioration</x:v>
      </x:c>
      <x:c r="L345" s="16" t="str">
        <x:v>Likely</x:v>
      </x:c>
      <x:c r="M345" s="16" t="str">
        <x:v>Significant</x:v>
      </x:c>
      <x:c r="N345" s="16" t="str">
        <x:v>Critical</x:v>
      </x:c>
    </x:row>
    <x:row r="346" ht="37" customHeight="1">
      <x:c r="A346" s="16" t="str">
        <x:v>RAW-00340</x:v>
      </x:c>
      <x:c r="B346" s="16" t="str">
        <x:v>Observation</x:v>
      </x:c>
      <x:c r="C346" s="16" t="str">
        <x:v>– Backyard fencing post. Bitumen Paint deterioration.</x:v>
      </x:c>
      <x:c r="D346" s="16" t="str">
        <x:v>Fencing posts</x:v>
      </x:c>
      <x:c r="E346" s="16" t="str">
        <x:v>SRC-011</x:v>
      </x:c>
      <x:c r="F346" s="16" t="str">
        <x:v>OBS-0129</x:v>
      </x:c>
      <x:c r="G346" s="16" t="str">
        <x:v>正式报告</x:v>
      </x:c>
      <x:c r="H346" s="19" t="n">
        <x:v>4</x:v>
      </x:c>
      <x:c r="I346" s="19" t="n">
        <x:v>6</x:v>
      </x:c>
      <x:c r="J346" s="19" t="n">
        <x:v>2</x:v>
      </x:c>
      <x:c r="K346" s="16" t="str">
        <x:v>5. Major deterioration</x:v>
      </x:c>
      <x:c r="L346" s="16" t="str">
        <x:v>Likely</x:v>
      </x:c>
      <x:c r="M346" s="16" t="str">
        <x:v>Moderate</x:v>
      </x:c>
      <x:c r="N346" s="16" t="str">
        <x:v>High</x:v>
      </x:c>
    </x:row>
    <x:row r="347" ht="37" customHeight="1">
      <x:c r="A347" s="16" t="str">
        <x:v>RAW-00341</x:v>
      </x:c>
      <x:c r="B347" s="16" t="str">
        <x:v>Observation</x:v>
      </x:c>
      <x:c r="C347" s="16" t="str">
        <x:v>– Backyard fencing. Severe corrosion and bitumen paint deterioration.</x:v>
      </x:c>
      <x:c r="D347" s="16" t="str">
        <x:v>Fencing posts</x:v>
      </x:c>
      <x:c r="E347" s="16" t="str">
        <x:v>SRC-011</x:v>
      </x:c>
      <x:c r="F347" s="16" t="str">
        <x:v>OBS-0135</x:v>
      </x:c>
      <x:c r="G347" s="16" t="str">
        <x:v>正式报告</x:v>
      </x:c>
      <x:c r="H347" s="19" t="n">
        <x:v>4</x:v>
      </x:c>
      <x:c r="I347" s="19" t="n">
        <x:v>8</x:v>
      </x:c>
      <x:c r="J347" s="19" t="n">
        <x:v>2</x:v>
      </x:c>
      <x:c r="K347" s="16" t="str">
        <x:v>5. Major deterioration</x:v>
      </x:c>
      <x:c r="L347" s="16" t="str">
        <x:v>Likely</x:v>
      </x:c>
      <x:c r="M347" s="16" t="str">
        <x:v>Moderate</x:v>
      </x:c>
      <x:c r="N347" s="16" t="str">
        <x:v>High</x:v>
      </x:c>
    </x:row>
    <x:row r="348" ht="41" customHeight="1">
      <x:c r="A348" s="16" t="str">
        <x:v>RAW-00342</x:v>
      </x:c>
      <x:c r="B348" s="16" t="str">
        <x:v>Recommendation</x:v>
      </x:c>
      <x:c r="C348" s="16" t="str">
        <x:v>– Clean, remove corrosion and repaint. Excavate all fencing posts to the base and investigate the condition. Undertake appropriate repair stated within Section 3.</x:v>
      </x:c>
      <x:c r="D348" s="16" t="str">
        <x:v>Fencing posts</x:v>
      </x:c>
      <x:c r="E348" s="16" t="str">
        <x:v>SRC-011</x:v>
      </x:c>
      <x:c r="F348" s="16" t="str">
        <x:v>REC-0065</x:v>
      </x:c>
      <x:c r="G348" s="16" t="str">
        <x:v>正式报告</x:v>
      </x:c>
      <x:c r="H348" s="19" t="n">
        <x:v>4</x:v>
      </x:c>
      <x:c r="I348" s="19" t="n">
        <x:v>8</x:v>
      </x:c>
      <x:c r="J348" s="19" t="n">
        <x:v>2</x:v>
      </x:c>
      <x:c r="K348" s="16" t="str">
        <x:v>5. Major deterioration</x:v>
      </x:c>
      <x:c r="L348" s="16" t="str">
        <x:v>Likely</x:v>
      </x:c>
      <x:c r="M348" s="16" t="str">
        <x:v>Moderate</x:v>
      </x:c>
      <x:c r="N348" s="16" t="str">
        <x:v>High</x:v>
      </x:c>
    </x:row>
    <x:row r="349" ht="37" customHeight="1">
      <x:c r="A349" s="16" t="str">
        <x:v>RAW-00343</x:v>
      </x:c>
      <x:c r="B349" s="16" t="str">
        <x:v>Observation</x:v>
      </x:c>
      <x:c r="C349" s="16" t="str">
        <x:v>– Front verandah in good condition.</x:v>
      </x:c>
      <x:c r="D349" s="16" t="str">
        <x:v>Rafters and purlins</x:v>
      </x:c>
      <x:c r="E349" s="16" t="str">
        <x:v>SRC-011</x:v>
      </x:c>
      <x:c r="F349" s="16" t="str">
        <x:v>OBS-0013</x:v>
      </x:c>
      <x:c r="G349" s="16" t="str">
        <x:v>正式报告</x:v>
      </x:c>
      <x:c r="H349" s="19" t="n">
        <x:v>5</x:v>
      </x:c>
      <x:c r="I349" s="19" t="n">
        <x:v>6</x:v>
      </x:c>
      <x:c r="J349" s="19" t="n">
        <x:v>1</x:v>
      </x:c>
      <x:c r="K349" s="16" t="str">
        <x:v>2. New with slight deterioration</x:v>
      </x:c>
      <x:c r="L349" s="16" t="str">
        <x:v>Very unlikely</x:v>
      </x:c>
      <x:c r="M349" s="16" t="str">
        <x:v>Significant</x:v>
      </x:c>
      <x:c r="N349" s="16" t="str">
        <x:v>Low</x:v>
      </x:c>
    </x:row>
    <x:row r="350" ht="37" customHeight="1">
      <x:c r="A350" s="16" t="str">
        <x:v>RAW-00344</x:v>
      </x:c>
      <x:c r="B350" s="16" t="str">
        <x:v>Observation</x:v>
      </x:c>
      <x:c r="C350" s="16" t="str">
        <x:v>– Carport verandah in good condition.</x:v>
      </x:c>
      <x:c r="D350" s="16" t="str">
        <x:v>Rafters and purlins</x:v>
      </x:c>
      <x:c r="E350" s="16" t="str">
        <x:v>SRC-011</x:v>
      </x:c>
      <x:c r="F350" s="16" t="str">
        <x:v>OBS-0003</x:v>
      </x:c>
      <x:c r="G350" s="16" t="str">
        <x:v>正式报告</x:v>
      </x:c>
      <x:c r="H350" s="19" t="n">
        <x:v>5</x:v>
      </x:c>
      <x:c r="I350" s="19" t="n">
        <x:v>7</x:v>
      </x:c>
      <x:c r="J350" s="19" t="n">
        <x:v>1</x:v>
      </x:c>
      <x:c r="K350" s="16" t="str">
        <x:v>2. New with slight deterioration</x:v>
      </x:c>
      <x:c r="L350" s="16" t="str">
        <x:v>Very unlikely</x:v>
      </x:c>
      <x:c r="M350" s="16" t="str">
        <x:v>Significant</x:v>
      </x:c>
      <x:c r="N350" s="16" t="str">
        <x:v>Low</x:v>
      </x:c>
    </x:row>
    <x:row r="351" ht="37" customHeight="1">
      <x:c r="A351" s="16" t="str">
        <x:v>RAW-00345</x:v>
      </x:c>
      <x:c r="B351" s="16" t="str">
        <x:v>Observation</x:v>
      </x:c>
      <x:c r="C351" s="16" t="str">
        <x:v>– Back verandah in good condition.</x:v>
      </x:c>
      <x:c r="D351" s="16" t="str">
        <x:v>Rafters and purlins</x:v>
      </x:c>
      <x:c r="E351" s="16" t="str">
        <x:v>SRC-011</x:v>
      </x:c>
      <x:c r="F351" s="16" t="str">
        <x:v>OBS-0007</x:v>
      </x:c>
      <x:c r="G351" s="16" t="str">
        <x:v>正式报告</x:v>
      </x:c>
      <x:c r="H351" s="19" t="n">
        <x:v>5</x:v>
      </x:c>
      <x:c r="I351" s="19" t="n">
        <x:v>8</x:v>
      </x:c>
      <x:c r="J351" s="19" t="n">
        <x:v>1</x:v>
      </x:c>
      <x:c r="K351" s="16" t="str">
        <x:v>2. New with slight deterioration</x:v>
      </x:c>
      <x:c r="L351" s="16" t="str">
        <x:v>Very unlikely</x:v>
      </x:c>
      <x:c r="M351" s="16" t="str">
        <x:v>Significant</x:v>
      </x:c>
      <x:c r="N351" s="16" t="str">
        <x:v>Low</x:v>
      </x:c>
    </x:row>
    <x:row r="352" ht="37" customHeight="1">
      <x:c r="A352" s="16" t="str">
        <x:v>RAW-00346</x:v>
      </x:c>
      <x:c r="B352" s="16" t="str">
        <x:v>Observation</x:v>
      </x:c>
      <x:c r="C352" s="16" t="str">
        <x:v>– Salt staining on rafters and purlins supporting roof overhang.</x:v>
      </x:c>
      <x:c r="D352" s="16" t="str">
        <x:v>Rafters and purlins</x:v>
      </x:c>
      <x:c r="E352" s="16" t="str">
        <x:v>SRC-011</x:v>
      </x:c>
      <x:c r="F352" s="16" t="str">
        <x:v>OBS-0006</x:v>
      </x:c>
      <x:c r="G352" s="16" t="str">
        <x:v>正式报告</x:v>
      </x:c>
      <x:c r="H352" s="19" t="n">
        <x:v>5</x:v>
      </x:c>
      <x:c r="I352" s="19" t="n">
        <x:v>9</x:v>
      </x:c>
      <x:c r="J352" s="19" t="n">
        <x:v>1</x:v>
      </x:c>
      <x:c r="K352" s="16" t="str">
        <x:v>2. New with slight deterioration</x:v>
      </x:c>
      <x:c r="L352" s="16" t="str">
        <x:v>Very unlikely</x:v>
      </x:c>
      <x:c r="M352" s="16" t="str">
        <x:v>Significant</x:v>
      </x:c>
      <x:c r="N352" s="16" t="str">
        <x:v>Low</x:v>
      </x:c>
    </x:row>
    <x:row r="353" ht="37" customHeight="1">
      <x:c r="A353" s="16" t="str">
        <x:v>RAW-00347</x:v>
      </x:c>
      <x:c r="B353" s="16" t="str">
        <x:v>Recommendation</x:v>
      </x:c>
      <x:c r="C353" s="16" t="str">
        <x:v>– Clean off salt staining.</x:v>
      </x:c>
      <x:c r="D353" s="16" t="str">
        <x:v>Rafters and purlins</x:v>
      </x:c>
      <x:c r="E353" s="16" t="str">
        <x:v>SRC-011</x:v>
      </x:c>
      <x:c r="F353" s="16" t="str">
        <x:v>REC-0008</x:v>
      </x:c>
      <x:c r="G353" s="16" t="str">
        <x:v>正式报告</x:v>
      </x:c>
      <x:c r="H353" s="19" t="n">
        <x:v>5</x:v>
      </x:c>
      <x:c r="I353" s="19" t="n">
        <x:v>9</x:v>
      </x:c>
      <x:c r="J353" s="19" t="n">
        <x:v>1</x:v>
      </x:c>
      <x:c r="K353" s="16" t="str">
        <x:v>2. New with slight deterioration</x:v>
      </x:c>
      <x:c r="L353" s="16" t="str">
        <x:v>Very unlikely</x:v>
      </x:c>
      <x:c r="M353" s="16" t="str">
        <x:v>Significant</x:v>
      </x:c>
      <x:c r="N353" s="16" t="str">
        <x:v>Low</x:v>
      </x:c>
    </x:row>
    <x:row r="354" ht="37" customHeight="1">
      <x:c r="A354" s="16" t="str">
        <x:v>RAW-00348</x:v>
      </x:c>
      <x:c r="B354" s="16" t="str">
        <x:v>Observation</x:v>
      </x:c>
      <x:c r="C354" s="16" t="str">
        <x:v>– Front of property. Cladding and framing in good condition.</x:v>
      </x:c>
      <x:c r="D354" s="16" t="str">
        <x:v>Cladding and framing</x:v>
      </x:c>
      <x:c r="E354" s="16" t="str">
        <x:v>SRC-011</x:v>
      </x:c>
      <x:c r="F354" s="16" t="str">
        <x:v>OBS-0004</x:v>
      </x:c>
      <x:c r="G354" s="16" t="str">
        <x:v>正式报告</x:v>
      </x:c>
      <x:c r="H354" s="19" t="n">
        <x:v>6</x:v>
      </x:c>
      <x:c r="I354" s="19" t="n">
        <x:v>6</x:v>
      </x:c>
      <x:c r="J354" s="19" t="n">
        <x:v>1</x:v>
      </x:c>
      <x:c r="K354" s="16" t="str">
        <x:v>3. Minor deterioration</x:v>
      </x:c>
      <x:c r="L354" s="16" t="str">
        <x:v>Unlikely</x:v>
      </x:c>
      <x:c r="M354" s="16" t="str">
        <x:v>Negligible</x:v>
      </x:c>
      <x:c r="N354" s="16" t="str">
        <x:v>Low</x:v>
      </x:c>
    </x:row>
    <x:row r="355" ht="37" customHeight="1">
      <x:c r="A355" s="16" t="str">
        <x:v>RAW-00349</x:v>
      </x:c>
      <x:c r="B355" s="16" t="str">
        <x:v>Observation</x:v>
      </x:c>
      <x:c r="C355" s="16" t="str">
        <x:v>– Back of property. Cladding and framing in good condition.</x:v>
      </x:c>
      <x:c r="D355" s="16" t="str">
        <x:v>Cladding and framing</x:v>
      </x:c>
      <x:c r="E355" s="16" t="str">
        <x:v>SRC-011</x:v>
      </x:c>
      <x:c r="F355" s="16" t="str">
        <x:v>OBS-0011</x:v>
      </x:c>
      <x:c r="G355" s="16" t="str">
        <x:v>正式报告</x:v>
      </x:c>
      <x:c r="H355" s="19" t="n">
        <x:v>6</x:v>
      </x:c>
      <x:c r="I355" s="19" t="n">
        <x:v>7</x:v>
      </x:c>
      <x:c r="J355" s="19" t="n">
        <x:v>1</x:v>
      </x:c>
      <x:c r="K355" s="16" t="str">
        <x:v>3. Minor deterioration</x:v>
      </x:c>
      <x:c r="L355" s="16" t="str">
        <x:v>Unlikely</x:v>
      </x:c>
      <x:c r="M355" s="16" t="str">
        <x:v>Negligible</x:v>
      </x:c>
      <x:c r="N355" s="16" t="str">
        <x:v>Low</x:v>
      </x:c>
    </x:row>
    <x:row r="356" ht="37" customHeight="1">
      <x:c r="A356" s="16" t="str">
        <x:v>RAW-00350</x:v>
      </x:c>
      <x:c r="B356" s="16" t="str">
        <x:v>Observation</x:v>
      </x:c>
      <x:c r="C356" s="16" t="str">
        <x:v>– Back of property. Corrosion around outlet pipe.</x:v>
      </x:c>
      <x:c r="D356" s="16" t="str">
        <x:v>Cladding and framing</x:v>
      </x:c>
      <x:c r="E356" s="16" t="str">
        <x:v>SRC-011</x:v>
      </x:c>
      <x:c r="F356" s="16" t="str">
        <x:v>OBS-0020</x:v>
      </x:c>
      <x:c r="G356" s="16" t="str">
        <x:v>正式报告</x:v>
      </x:c>
      <x:c r="H356" s="19" t="n">
        <x:v>6</x:v>
      </x:c>
      <x:c r="I356" s="19" t="n">
        <x:v>8</x:v>
      </x:c>
      <x:c r="J356" s="19" t="n">
        <x:v>1</x:v>
      </x:c>
      <x:c r="K356" s="16" t="str">
        <x:v>3. Minor deterioration</x:v>
      </x:c>
      <x:c r="L356" s="16" t="str">
        <x:v>Unlikely</x:v>
      </x:c>
      <x:c r="M356" s="16" t="str">
        <x:v>Negligible</x:v>
      </x:c>
      <x:c r="N356" s="16" t="str">
        <x:v>Low</x:v>
      </x:c>
    </x:row>
    <x:row r="357" ht="37" customHeight="1">
      <x:c r="A357" s="16" t="str">
        <x:v>RAW-00351</x:v>
      </x:c>
      <x:c r="B357" s="16" t="str">
        <x:v>Recommendation</x:v>
      </x:c>
      <x:c r="C357" s="16" t="str">
        <x:v>– Clean, wire brush and repaint corroded areas.</x:v>
      </x:c>
      <x:c r="D357" s="16" t="str">
        <x:v>Cladding and framing</x:v>
      </x:c>
      <x:c r="E357" s="16" t="str">
        <x:v>SRC-011</x:v>
      </x:c>
      <x:c r="F357" s="16" t="str">
        <x:v>REC-0005</x:v>
      </x:c>
      <x:c r="G357" s="16" t="str">
        <x:v>正式报告</x:v>
      </x:c>
      <x:c r="H357" s="19" t="n">
        <x:v>6</x:v>
      </x:c>
      <x:c r="I357" s="19" t="n">
        <x:v>8</x:v>
      </x:c>
      <x:c r="J357" s="19" t="n">
        <x:v>1</x:v>
      </x:c>
      <x:c r="K357" s="16" t="str">
        <x:v>3. Minor deterioration</x:v>
      </x:c>
      <x:c r="L357" s="16" t="str">
        <x:v>Unlikely</x:v>
      </x:c>
      <x:c r="M357" s="16" t="str">
        <x:v>Negligible</x:v>
      </x:c>
      <x:c r="N357" s="16" t="str">
        <x:v>Low</x:v>
      </x:c>
    </x:row>
    <x:row r="358" ht="37" customHeight="1">
      <x:c r="A358" s="16" t="str">
        <x:v>RAW-00352</x:v>
      </x:c>
      <x:c r="B358" s="16" t="str">
        <x:v>Observation</x:v>
      </x:c>
      <x:c r="C358" s="16" t="str">
        <x:v>– Minor Cracking of mortar. Crack originates from ground level and tapers towards columns.</x:v>
      </x:c>
      <x:c r="D358" s="16" t="str">
        <x:v>Brick wall</x:v>
      </x:c>
      <x:c r="E358" s="16" t="str">
        <x:v>SRC-011</x:v>
      </x:c>
      <x:c r="F358" s="16" t="str">
        <x:v>OBS-0375</x:v>
      </x:c>
      <x:c r="G358" s="16" t="str">
        <x:v>正式报告</x:v>
      </x:c>
      <x:c r="H358" s="19" t="n">
        <x:v>7</x:v>
      </x:c>
      <x:c r="I358" s="19" t="n">
        <x:v>6</x:v>
      </x:c>
      <x:c r="J358" s="19" t="n">
        <x:v>1</x:v>
      </x:c>
      <x:c r="K358" s="16" t="str">
        <x:v>2. New with slight deterioration</x:v>
      </x:c>
      <x:c r="L358" s="16" t="str">
        <x:v>Very unlikely</x:v>
      </x:c>
      <x:c r="M358" s="16" t="str">
        <x:v>Moderate</x:v>
      </x:c>
      <x:c r="N358" s="16" t="str">
        <x:v>Low</x:v>
      </x:c>
    </x:row>
    <x:row r="359" ht="37" customHeight="1">
      <x:c r="A359" s="16" t="str">
        <x:v>RAW-00353</x:v>
      </x:c>
      <x:c r="B359" s="16" t="str">
        <x:v>Observation</x:v>
      </x:c>
      <x:c r="C359" s="16" t="str">
        <x:v>–Minor Cracking of mortar. Crack originates from ground level and tapers towards column.</x:v>
      </x:c>
      <x:c r="D359" s="16" t="str">
        <x:v>Brick wall</x:v>
      </x:c>
      <x:c r="E359" s="16" t="str">
        <x:v>SRC-011</x:v>
      </x:c>
      <x:c r="F359" s="16" t="str">
        <x:v>OBS-0374</x:v>
      </x:c>
      <x:c r="G359" s="16" t="str">
        <x:v>正式报告</x:v>
      </x:c>
      <x:c r="H359" s="19" t="n">
        <x:v>7</x:v>
      </x:c>
      <x:c r="I359" s="19" t="n">
        <x:v>7</x:v>
      </x:c>
      <x:c r="J359" s="19" t="n">
        <x:v>1</x:v>
      </x:c>
      <x:c r="K359" s="16" t="str">
        <x:v>2. New with slight deterioration</x:v>
      </x:c>
      <x:c r="L359" s="16" t="str">
        <x:v>Very unlikely</x:v>
      </x:c>
      <x:c r="M359" s="16" t="str">
        <x:v>Moderate</x:v>
      </x:c>
      <x:c r="N359" s="16" t="str">
        <x:v>Low</x:v>
      </x:c>
    </x:row>
    <x:row r="360" ht="37" customHeight="1">
      <x:c r="A360" s="16" t="str">
        <x:v>RAW-00354</x:v>
      </x:c>
      <x:c r="B360" s="16" t="str">
        <x:v>Observation</x:v>
      </x:c>
      <x:c r="C360" s="16" t="str">
        <x:v>– Separation between column and brickwork, increasing width with column height.</x:v>
      </x:c>
      <x:c r="D360" s="16" t="str">
        <x:v>Brick wall</x:v>
      </x:c>
      <x:c r="E360" s="16" t="str">
        <x:v>SRC-011</x:v>
      </x:c>
      <x:c r="F360" s="16" t="str">
        <x:v>OBS-0554</x:v>
      </x:c>
      <x:c r="G360" s="16" t="str">
        <x:v>正式报告</x:v>
      </x:c>
      <x:c r="H360" s="19" t="n">
        <x:v>7</x:v>
      </x:c>
      <x:c r="I360" s="19" t="n">
        <x:v>8</x:v>
      </x:c>
      <x:c r="J360" s="19" t="n">
        <x:v>1</x:v>
      </x:c>
      <x:c r="K360" s="16" t="str">
        <x:v>2. New with slight deterioration</x:v>
      </x:c>
      <x:c r="L360" s="16" t="str">
        <x:v>Very unlikely</x:v>
      </x:c>
      <x:c r="M360" s="16" t="str">
        <x:v>Moderate</x:v>
      </x:c>
      <x:c r="N360" s="16" t="str">
        <x:v>Low</x:v>
      </x:c>
    </x:row>
    <x:row r="361" ht="41" customHeight="1">
      <x:c r="A361" s="16" t="str">
        <x:v>RAW-00355</x:v>
      </x:c>
      <x:c r="B361" s="16" t="str">
        <x:v>Recommendation</x:v>
      </x:c>
      <x:c r="C361" s="16" t="str">
        <x:v>– Flexible sealant between steel column and wall. Monitor cracking width and length to detect changes over time.</x:v>
      </x:c>
      <x:c r="D361" s="16" t="str">
        <x:v>Brick wall</x:v>
      </x:c>
      <x:c r="E361" s="16" t="str">
        <x:v>SRC-011</x:v>
      </x:c>
      <x:c r="F361" s="16" t="str">
        <x:v>REC-0099</x:v>
      </x:c>
      <x:c r="G361" s="16" t="str">
        <x:v>正式报告</x:v>
      </x:c>
      <x:c r="H361" s="19" t="n">
        <x:v>7</x:v>
      </x:c>
      <x:c r="I361" s="19" t="n">
        <x:v>8</x:v>
      </x:c>
      <x:c r="J361" s="19" t="n">
        <x:v>1</x:v>
      </x:c>
      <x:c r="K361" s="16" t="str">
        <x:v>2. New with slight deterioration</x:v>
      </x:c>
      <x:c r="L361" s="16" t="str">
        <x:v>Very unlikely</x:v>
      </x:c>
      <x:c r="M361" s="16" t="str">
        <x:v>Moderate</x:v>
      </x:c>
      <x:c r="N361" s="16" t="str">
        <x:v>Low</x:v>
      </x:c>
    </x:row>
    <x:row r="362" ht="37" customHeight="1">
      <x:c r="A362" s="16" t="str">
        <x:v>RAW-00356</x:v>
      </x:c>
      <x:c r="B362" s="16" t="str">
        <x:v>Observation</x:v>
      </x:c>
      <x:c r="C362" s="16" t="str">
        <x:v>– Overview of right hand side of house windows.</x:v>
      </x:c>
      <x:c r="D362" s="16" t="str">
        <x:v>Front verandah beams</x:v>
      </x:c>
      <x:c r="E362" s="16" t="str">
        <x:v>SRC-012</x:v>
      </x:c>
      <x:c r="F362" s="16" t="str">
        <x:v>OBS-0027</x:v>
      </x:c>
      <x:c r="G362" s="16" t="str">
        <x:v>正式报告</x:v>
      </x:c>
      <x:c r="H362" s="19" t="n">
        <x:v>3</x:v>
      </x:c>
      <x:c r="I362" s="19" t="n">
        <x:v>6</x:v>
      </x:c>
      <x:c r="J362" s="19" t="n">
        <x:v>1</x:v>
      </x:c>
      <x:c r="K362" s="16" t="str">
        <x:v>7. Very severe deterioration</x:v>
      </x:c>
      <x:c r="L362" s="16" t="str">
        <x:v>Very likely</x:v>
      </x:c>
      <x:c r="M362" s="16" t="str">
        <x:v>Significant</x:v>
      </x:c>
      <x:c r="N362" s="16" t="str">
        <x:v>Urgent</x:v>
      </x:c>
    </x:row>
    <x:row r="363" ht="37" customHeight="1">
      <x:c r="A363" s="16" t="str">
        <x:v>RAW-00357</x:v>
      </x:c>
      <x:c r="B363" s="16" t="str">
        <x:v>Observation</x:v>
      </x:c>
      <x:c r="C363" s="16" t="str">
        <x:v>– Minor surface corrosion of top steel plate.</x:v>
      </x:c>
      <x:c r="D363" s="16" t="str">
        <x:v>Front verandah beams</x:v>
      </x:c>
      <x:c r="E363" s="16" t="str">
        <x:v>SRC-012</x:v>
      </x:c>
      <x:c r="F363" s="16" t="str">
        <x:v>OBS-0070</x:v>
      </x:c>
      <x:c r="G363" s="16" t="str">
        <x:v>正式报告</x:v>
      </x:c>
      <x:c r="H363" s="19" t="n">
        <x:v>3</x:v>
      </x:c>
      <x:c r="I363" s="19" t="n">
        <x:v>7</x:v>
      </x:c>
      <x:c r="J363" s="19" t="n">
        <x:v>1</x:v>
      </x:c>
      <x:c r="K363" s="16" t="str">
        <x:v>7. Very severe deterioration</x:v>
      </x:c>
      <x:c r="L363" s="16" t="str">
        <x:v>Very likely</x:v>
      </x:c>
      <x:c r="M363" s="16" t="str">
        <x:v>Significant</x:v>
      </x:c>
      <x:c r="N363" s="16" t="str">
        <x:v>Urgent</x:v>
      </x:c>
    </x:row>
    <x:row r="364" ht="37" customHeight="1">
      <x:c r="A364" s="16" t="str">
        <x:v>RAW-00358</x:v>
      </x:c>
      <x:c r="B364" s="16" t="str">
        <x:v>Recommendation</x:v>
      </x:c>
      <x:c r="C364" s="16" t="str">
        <x:v>– Weld on cover plate.</x:v>
      </x:c>
      <x:c r="D364" s="16" t="str">
        <x:v>Front verandah beams</x:v>
      </x:c>
      <x:c r="E364" s="16" t="str">
        <x:v>SRC-012</x:v>
      </x:c>
      <x:c r="F364" s="16" t="str">
        <x:v>REC-0170</x:v>
      </x:c>
      <x:c r="G364" s="16" t="str">
        <x:v>正式报告</x:v>
      </x:c>
      <x:c r="H364" s="19" t="n">
        <x:v>3</x:v>
      </x:c>
      <x:c r="I364" s="19" t="n">
        <x:v>7</x:v>
      </x:c>
      <x:c r="J364" s="19" t="n">
        <x:v>1</x:v>
      </x:c>
      <x:c r="K364" s="16" t="str">
        <x:v>7. Very severe deterioration</x:v>
      </x:c>
      <x:c r="L364" s="16" t="str">
        <x:v>Very likely</x:v>
      </x:c>
      <x:c r="M364" s="16" t="str">
        <x:v>Significant</x:v>
      </x:c>
      <x:c r="N364" s="16" t="str">
        <x:v>Urgent</x:v>
      </x:c>
    </x:row>
    <x:row r="365" ht="37" customHeight="1">
      <x:c r="A365" s="16" t="str">
        <x:v>RAW-00359</x:v>
      </x:c>
      <x:c r="B365" s="16" t="str">
        <x:v>Observation</x:v>
      </x:c>
      <x:c r="C365" s="16" t="str">
        <x:v>– Overview of right hand side of house windows.</x:v>
      </x:c>
      <x:c r="D365" s="16" t="str">
        <x:v>Standalone verandah</x:v>
      </x:c>
      <x:c r="E365" s="16" t="str">
        <x:v>SRC-012</x:v>
      </x:c>
      <x:c r="F365" s="16" t="str">
        <x:v>OBS-0027</x:v>
      </x:c>
      <x:c r="G365" s="16" t="str">
        <x:v>正式报告</x:v>
      </x:c>
      <x:c r="H365" s="19" t="n">
        <x:v>4</x:v>
      </x:c>
      <x:c r="I365" s="19" t="n">
        <x:v>6</x:v>
      </x:c>
      <x:c r="J365" s="19" t="n">
        <x:v>1</x:v>
      </x:c>
      <x:c r="K365" s="16" t="str">
        <x:v>7. Very severe deterioration</x:v>
      </x:c>
      <x:c r="L365" s="16" t="str">
        <x:v>Very likely</x:v>
      </x:c>
      <x:c r="M365" s="16" t="str">
        <x:v>Significant</x:v>
      </x:c>
      <x:c r="N365" s="16" t="str">
        <x:v>Urgent</x:v>
      </x:c>
    </x:row>
    <x:row r="366" ht="37" customHeight="1">
      <x:c r="A366" s="16" t="str">
        <x:v>RAW-00360</x:v>
      </x:c>
      <x:c r="B366" s="16" t="str">
        <x:v>Observation</x:v>
      </x:c>
      <x:c r="C366" s="16" t="str">
        <x:v>– Timber splitting and significant sagging observed.</x:v>
      </x:c>
      <x:c r="D366" s="16" t="str">
        <x:v>Standalone verandah</x:v>
      </x:c>
      <x:c r="E366" s="16" t="str">
        <x:v>SRC-012</x:v>
      </x:c>
      <x:c r="F366" s="16" t="str">
        <x:v>OBS-0595</x:v>
      </x:c>
      <x:c r="G366" s="16" t="str">
        <x:v>正式报告</x:v>
      </x:c>
      <x:c r="H366" s="19" t="n">
        <x:v>4</x:v>
      </x:c>
      <x:c r="I366" s="19" t="n">
        <x:v>7</x:v>
      </x:c>
      <x:c r="J366" s="19" t="n">
        <x:v>1</x:v>
      </x:c>
      <x:c r="K366" s="16" t="str">
        <x:v>7. Very severe deterioration</x:v>
      </x:c>
      <x:c r="L366" s="16" t="str">
        <x:v>Very likely</x:v>
      </x:c>
      <x:c r="M366" s="16" t="str">
        <x:v>Significant</x:v>
      </x:c>
      <x:c r="N366" s="16" t="str">
        <x:v>Urgent</x:v>
      </x:c>
    </x:row>
    <x:row r="367" ht="41" customHeight="1">
      <x:c r="A367" s="16" t="str">
        <x:v>RAW-00361</x:v>
      </x:c>
      <x:c r="B367" s="16" t="str">
        <x:v>Recommendation</x:v>
      </x:c>
      <x:c r="C367" s="16" t="str">
        <x:v>– In the short term, remove all timber joists.
Long term, replace all timer beams.</x:v>
      </x:c>
      <x:c r="D367" s="16" t="str">
        <x:v>Standalone verandah</x:v>
      </x:c>
      <x:c r="E367" s="16" t="str">
        <x:v>SRC-012</x:v>
      </x:c>
      <x:c r="F367" s="16" t="str">
        <x:v>REC-0104</x:v>
      </x:c>
      <x:c r="G367" s="16" t="str">
        <x:v>正式报告</x:v>
      </x:c>
      <x:c r="H367" s="19" t="n">
        <x:v>4</x:v>
      </x:c>
      <x:c r="I367" s="19" t="n">
        <x:v>7</x:v>
      </x:c>
      <x:c r="J367" s="19" t="n">
        <x:v>1</x:v>
      </x:c>
      <x:c r="K367" s="16" t="str">
        <x:v>7. Very severe deterioration</x:v>
      </x:c>
      <x:c r="L367" s="16" t="str">
        <x:v>Very likely</x:v>
      </x:c>
      <x:c r="M367" s="16" t="str">
        <x:v>Significant</x:v>
      </x:c>
      <x:c r="N367" s="16" t="str">
        <x:v>Urgent</x:v>
      </x:c>
    </x:row>
    <x:row r="368" ht="37" customHeight="1">
      <x:c r="A368" s="16" t="str">
        <x:v>RAW-00362</x:v>
      </x:c>
      <x:c r="B368" s="16" t="str">
        <x:v>Observation</x:v>
      </x:c>
      <x:c r="C368" s="16" t="str">
        <x:v>– Moderate corrosion on the lower section of standalone verandah columns.</x:v>
      </x:c>
      <x:c r="D368" s="16" t="str">
        <x:v>Standalone verandah</x:v>
      </x:c>
      <x:c r="E368" s="16" t="str">
        <x:v>SRC-012</x:v>
      </x:c>
      <x:c r="F368" s="16" t="str">
        <x:v>OBS-0416</x:v>
      </x:c>
      <x:c r="G368" s="16" t="str">
        <x:v>正式报告</x:v>
      </x:c>
      <x:c r="H368" s="19" t="n">
        <x:v>4</x:v>
      </x:c>
      <x:c r="I368" s="19" t="n">
        <x:v>8</x:v>
      </x:c>
      <x:c r="J368" s="19" t="n">
        <x:v>1</x:v>
      </x:c>
      <x:c r="K368" s="16" t="str">
        <x:v>7. Very severe deterioration</x:v>
      </x:c>
      <x:c r="L368" s="16" t="str">
        <x:v>Very likely</x:v>
      </x:c>
      <x:c r="M368" s="16" t="str">
        <x:v>Significant</x:v>
      </x:c>
      <x:c r="N368" s="16" t="str">
        <x:v>Urgent</x:v>
      </x:c>
    </x:row>
    <x:row r="369" ht="41" customHeight="1">
      <x:c r="A369" s="16" t="str">
        <x:v>RAW-00363</x:v>
      </x:c>
      <x:c r="B369" s="16" t="str">
        <x:v>Recommendation</x:v>
      </x:c>
      <x:c r="C369" s="16" t="str">
        <x:v>– Excavate all columns to the base and investigate the condition. Undertake appropriate repair stated within Section 3.</x:v>
      </x:c>
      <x:c r="D369" s="16" t="str">
        <x:v>Standalone verandah</x:v>
      </x:c>
      <x:c r="E369" s="16" t="str">
        <x:v>SRC-012</x:v>
      </x:c>
      <x:c r="F369" s="16" t="str">
        <x:v>REC-0090</x:v>
      </x:c>
      <x:c r="G369" s="16" t="str">
        <x:v>正式报告</x:v>
      </x:c>
      <x:c r="H369" s="19" t="n">
        <x:v>4</x:v>
      </x:c>
      <x:c r="I369" s="19" t="n">
        <x:v>8</x:v>
      </x:c>
      <x:c r="J369" s="19" t="n">
        <x:v>1</x:v>
      </x:c>
      <x:c r="K369" s="16" t="str">
        <x:v>7. Very severe deterioration</x:v>
      </x:c>
      <x:c r="L369" s="16" t="str">
        <x:v>Very likely</x:v>
      </x:c>
      <x:c r="M369" s="16" t="str">
        <x:v>Significant</x:v>
      </x:c>
      <x:c r="N369" s="16" t="str">
        <x:v>Urgent</x:v>
      </x:c>
    </x:row>
    <x:row r="370" ht="37" customHeight="1">
      <x:c r="A370" s="16" t="str">
        <x:v>RAW-00364</x:v>
      </x:c>
      <x:c r="B370" s="16" t="str">
        <x:v>Observation</x:v>
      </x:c>
      <x:c r="C370" s="16" t="str">
        <x:v>– Back verandah overview.</x:v>
      </x:c>
      <x:c r="D370" s="16" t="str">
        <x:v>Back verandah columns</x:v>
      </x:c>
      <x:c r="E370" s="16" t="str">
        <x:v>SRC-012</x:v>
      </x:c>
      <x:c r="F370" s="16" t="str">
        <x:v>OBS-0117</x:v>
      </x:c>
      <x:c r="G370" s="16" t="str">
        <x:v>正式报告</x:v>
      </x:c>
      <x:c r="H370" s="19" t="n">
        <x:v>5</x:v>
      </x:c>
      <x:c r="I370" s="19" t="n">
        <x:v>6</x:v>
      </x:c>
      <x:c r="J370" s="19" t="n">
        <x:v>1</x:v>
      </x:c>
      <x:c r="K370" s="16" t="str">
        <x:v>3. Minor deterioration</x:v>
      </x:c>
      <x:c r="L370" s="16" t="str">
        <x:v>Unlikely</x:v>
      </x:c>
      <x:c r="M370" s="16" t="str">
        <x:v>Significant</x:v>
      </x:c>
      <x:c r="N370" s="16" t="str">
        <x:v>Moderate</x:v>
      </x:c>
    </x:row>
    <x:row r="371" ht="37" customHeight="1">
      <x:c r="A371" s="16" t="str">
        <x:v>RAW-00365</x:v>
      </x:c>
      <x:c r="B371" s="16" t="str">
        <x:v>Observation</x:v>
      </x:c>
      <x:c r="C371" s="16" t="str">
        <x:v>– Minor corrosion at the lower section of column where water is pooling.</x:v>
      </x:c>
      <x:c r="D371" s="16" t="str">
        <x:v>Back verandah columns</x:v>
      </x:c>
      <x:c r="E371" s="16" t="str">
        <x:v>SRC-012</x:v>
      </x:c>
      <x:c r="F371" s="16" t="str">
        <x:v>OBS-0385</x:v>
      </x:c>
      <x:c r="G371" s="16" t="str">
        <x:v>正式报告</x:v>
      </x:c>
      <x:c r="H371" s="19" t="n">
        <x:v>5</x:v>
      </x:c>
      <x:c r="I371" s="19" t="n">
        <x:v>7</x:v>
      </x:c>
      <x:c r="J371" s="19" t="n">
        <x:v>3</x:v>
      </x:c>
      <x:c r="K371" s="16" t="str">
        <x:v>3. Minor deterioration</x:v>
      </x:c>
      <x:c r="L371" s="16" t="str">
        <x:v>Unlikely</x:v>
      </x:c>
      <x:c r="M371" s="16" t="str">
        <x:v>Significant</x:v>
      </x:c>
      <x:c r="N371" s="16" t="str">
        <x:v>Moderate</x:v>
      </x:c>
    </x:row>
    <x:row r="372" ht="37" customHeight="1">
      <x:c r="A372" s="16" t="str">
        <x:v>RAW-00366</x:v>
      </x:c>
      <x:c r="B372" s="16" t="str">
        <x:v>Recommendation</x:v>
      </x:c>
      <x:c r="C372" s="16" t="str">
        <x:v>– Clean, remove corrosion and repaint.</x:v>
      </x:c>
      <x:c r="D372" s="16" t="str">
        <x:v>Back verandah columns</x:v>
      </x:c>
      <x:c r="E372" s="16" t="str">
        <x:v>SRC-012</x:v>
      </x:c>
      <x:c r="F372" s="16" t="str">
        <x:v>REC-0002</x:v>
      </x:c>
      <x:c r="G372" s="16" t="str">
        <x:v>正式报告</x:v>
      </x:c>
      <x:c r="H372" s="19" t="n">
        <x:v>5</x:v>
      </x:c>
      <x:c r="I372" s="19" t="n">
        <x:v>7</x:v>
      </x:c>
      <x:c r="J372" s="19" t="n">
        <x:v>3</x:v>
      </x:c>
      <x:c r="K372" s="16" t="str">
        <x:v>3. Minor deterioration</x:v>
      </x:c>
      <x:c r="L372" s="16" t="str">
        <x:v>Unlikely</x:v>
      </x:c>
      <x:c r="M372" s="16" t="str">
        <x:v>Significant</x:v>
      </x:c>
      <x:c r="N372" s="16" t="str">
        <x:v>Moderate</x:v>
      </x:c>
    </x:row>
    <x:row r="373" ht="37" customHeight="1">
      <x:c r="A373" s="16" t="str">
        <x:v>RAW-00367</x:v>
      </x:c>
      <x:c r="B373" s="16" t="str">
        <x:v>Observation</x:v>
      </x:c>
      <x:c r="C373" s="16" t="str">
        <x:v>– Minor corrosion on baseplates.</x:v>
      </x:c>
      <x:c r="D373" s="16" t="str">
        <x:v>Front verandah baseplates</x:v>
      </x:c>
      <x:c r="E373" s="16" t="str">
        <x:v>SRC-012</x:v>
      </x:c>
      <x:c r="F373" s="16" t="str">
        <x:v>OBS-0396</x:v>
      </x:c>
      <x:c r="G373" s="16" t="str">
        <x:v>正式报告</x:v>
      </x:c>
      <x:c r="H373" s="19" t="n">
        <x:v>6</x:v>
      </x:c>
      <x:c r="I373" s="19" t="n">
        <x:v>6</x:v>
      </x:c>
      <x:c r="J373" s="19" t="n">
        <x:v>4</x:v>
      </x:c>
      <x:c r="K373" s="16" t="str">
        <x:v>2. New with slight deterioration</x:v>
      </x:c>
      <x:c r="L373" s="16" t="str">
        <x:v>Very unlikely</x:v>
      </x:c>
      <x:c r="M373" s="16" t="str">
        <x:v>Significant</x:v>
      </x:c>
      <x:c r="N373" s="16" t="str">
        <x:v>Low</x:v>
      </x:c>
    </x:row>
    <x:row r="374" ht="37" customHeight="1">
      <x:c r="A374" s="16" t="str">
        <x:v>RAW-00368</x:v>
      </x:c>
      <x:c r="B374" s="16" t="str">
        <x:v>Recommendation</x:v>
      </x:c>
      <x:c r="C374" s="16" t="str">
        <x:v>– Clean, remove corrosion and repaint.</x:v>
      </x:c>
      <x:c r="D374" s="16" t="str">
        <x:v>Front verandah baseplates</x:v>
      </x:c>
      <x:c r="E374" s="16" t="str">
        <x:v>SRC-012</x:v>
      </x:c>
      <x:c r="F374" s="16" t="str">
        <x:v>REC-0002</x:v>
      </x:c>
      <x:c r="G374" s="16" t="str">
        <x:v>正式报告</x:v>
      </x:c>
      <x:c r="H374" s="19" t="n">
        <x:v>6</x:v>
      </x:c>
      <x:c r="I374" s="19" t="n">
        <x:v>6</x:v>
      </x:c>
      <x:c r="J374" s="19" t="n">
        <x:v>4</x:v>
      </x:c>
      <x:c r="K374" s="16" t="str">
        <x:v>2. New with slight deterioration</x:v>
      </x:c>
      <x:c r="L374" s="16" t="str">
        <x:v>Very unlikely</x:v>
      </x:c>
      <x:c r="M374" s="16" t="str">
        <x:v>Significant</x:v>
      </x:c>
      <x:c r="N374" s="16" t="str">
        <x:v>Low</x:v>
      </x:c>
    </x:row>
    <x:row r="375" ht="37" customHeight="1">
      <x:c r="A375" s="16" t="str">
        <x:v>RAW-00369</x:v>
      </x:c>
      <x:c r="B375" s="16" t="str">
        <x:v>Observation</x:v>
      </x:c>
      <x:c r="C375" s="16" t="str">
        <x:v>– Adjacent to front entrance. Damp proof course corroded away.</x:v>
      </x:c>
      <x:c r="D375" s="16" t="str">
        <x:v>Damp proof course</x:v>
      </x:c>
      <x:c r="E375" s="16" t="str">
        <x:v>SRC-012</x:v>
      </x:c>
      <x:c r="F375" s="16" t="str">
        <x:v>OBS-0092</x:v>
      </x:c>
      <x:c r="G375" s="16" t="str">
        <x:v>正式报告</x:v>
      </x:c>
      <x:c r="H375" s="19" t="n">
        <x:v>7</x:v>
      </x:c>
      <x:c r="I375" s="19" t="n">
        <x:v>6</x:v>
      </x:c>
      <x:c r="J375" s="19" t="n">
        <x:v>2</x:v>
      </x:c>
      <x:c r="K375" s="16" t="str">
        <x:v>3. Minor deterioration</x:v>
      </x:c>
      <x:c r="L375" s="16" t="str">
        <x:v>Unlikely</x:v>
      </x:c>
      <x:c r="M375" s="16" t="str">
        <x:v>Minor</x:v>
      </x:c>
      <x:c r="N375" s="16" t="str">
        <x:v>Low</x:v>
      </x:c>
    </x:row>
    <x:row r="376" ht="37" customHeight="1">
      <x:c r="A376" s="16" t="str">
        <x:v>RAW-00370</x:v>
      </x:c>
      <x:c r="B376" s="16" t="str">
        <x:v>Recommendation</x:v>
      </x:c>
      <x:c r="C376" s="16" t="str">
        <x:v>– Remove any corroded damp proof course and repaint any sections that are cut.</x:v>
      </x:c>
      <x:c r="D376" s="16" t="str">
        <x:v>Damp proof course</x:v>
      </x:c>
      <x:c r="E376" s="16" t="str">
        <x:v>SRC-012</x:v>
      </x:c>
      <x:c r="F376" s="16" t="str">
        <x:v>REC-0124</x:v>
      </x:c>
      <x:c r="G376" s="16" t="str">
        <x:v>正式报告</x:v>
      </x:c>
      <x:c r="H376" s="19" t="n">
        <x:v>7</x:v>
      </x:c>
      <x:c r="I376" s="19" t="n">
        <x:v>6</x:v>
      </x:c>
      <x:c r="J376" s="19" t="n">
        <x:v>2</x:v>
      </x:c>
      <x:c r="K376" s="16" t="str">
        <x:v>3. Minor deterioration</x:v>
      </x:c>
      <x:c r="L376" s="16" t="str">
        <x:v>Unlikely</x:v>
      </x:c>
      <x:c r="M376" s="16" t="str">
        <x:v>Minor</x:v>
      </x:c>
      <x:c r="N376" s="16" t="str">
        <x:v>Low</x:v>
      </x:c>
    </x:row>
    <x:row r="377" ht="37" customHeight="1">
      <x:c r="A377" s="16" t="str">
        <x:v>RAW-00371</x:v>
      </x:c>
      <x:c r="B377" s="16" t="str">
        <x:v>Observation</x:v>
      </x:c>
      <x:c r="C377" s="16" t="str">
        <x:v>– Front entrance. Damp proof in good condition.</x:v>
      </x:c>
      <x:c r="D377" s="16" t="str">
        <x:v>Damp proof course</x:v>
      </x:c>
      <x:c r="E377" s="16" t="str">
        <x:v>SRC-012</x:v>
      </x:c>
      <x:c r="F377" s="16" t="str">
        <x:v>OBS-0271</x:v>
      </x:c>
      <x:c r="G377" s="16" t="str">
        <x:v>正式报告</x:v>
      </x:c>
      <x:c r="H377" s="19" t="n">
        <x:v>7</x:v>
      </x:c>
      <x:c r="I377" s="19" t="n">
        <x:v>8</x:v>
      </x:c>
      <x:c r="J377" s="19" t="n">
        <x:v>1</x:v>
      </x:c>
      <x:c r="K377" s="16" t="str">
        <x:v>3. Minor deterioration</x:v>
      </x:c>
      <x:c r="L377" s="16" t="str">
        <x:v>Unlikely</x:v>
      </x:c>
      <x:c r="M377" s="16" t="str">
        <x:v>Minor</x:v>
      </x:c>
      <x:c r="N377" s="16" t="str">
        <x:v>Low</x:v>
      </x:c>
    </x:row>
    <x:row r="378" ht="37" customHeight="1">
      <x:c r="A378" s="16" t="str">
        <x:v>RAW-00372</x:v>
      </x:c>
      <x:c r="B378" s="16" t="str">
        <x:v>Observation</x:v>
      </x:c>
      <x:c r="C378" s="16" t="str">
        <x:v>– Left hand side of house facing front. Damp proof in good condition.</x:v>
      </x:c>
      <x:c r="D378" s="16" t="str">
        <x:v>Damp proof course</x:v>
      </x:c>
      <x:c r="E378" s="16" t="str">
        <x:v>SRC-012</x:v>
      </x:c>
      <x:c r="F378" s="16" t="str">
        <x:v>OBS-0349</x:v>
      </x:c>
      <x:c r="G378" s="16" t="str">
        <x:v>正式报告</x:v>
      </x:c>
      <x:c r="H378" s="19" t="n">
        <x:v>7</x:v>
      </x:c>
      <x:c r="I378" s="19" t="n">
        <x:v>9</x:v>
      </x:c>
      <x:c r="J378" s="19" t="n">
        <x:v>1</x:v>
      </x:c>
      <x:c r="K378" s="16" t="str">
        <x:v>3. Minor deterioration</x:v>
      </x:c>
      <x:c r="L378" s="16" t="str">
        <x:v>Unlikely</x:v>
      </x:c>
      <x:c r="M378" s="16" t="str">
        <x:v>Minor</x:v>
      </x:c>
      <x:c r="N378" s="16" t="str">
        <x:v>Low</x:v>
      </x:c>
    </x:row>
    <x:row r="379" ht="41" customHeight="1">
      <x:c r="A379" s="16" t="str">
        <x:v>RAW-00373</x:v>
      </x:c>
      <x:c r="B379" s="16" t="str">
        <x:v>Observation</x:v>
      </x:c>
      <x:c r="C379" s="16" t="str">
        <x:v>– Backyard verandah. In good condition.</x:v>
      </x:c>
      <x:c r="D379" s="16" t="str">
        <x:v>Back verandah beams</x:v>
      </x:c>
      <x:c r="E379" s="16" t="str">
        <x:v>SRC-012</x:v>
      </x:c>
      <x:c r="F379" s="16" t="str">
        <x:v>OBS-0138</x:v>
      </x:c>
      <x:c r="G379" s="16" t="str">
        <x:v>正式报告</x:v>
      </x:c>
      <x:c r="H379" s="19" t="n">
        <x:v>8</x:v>
      </x:c>
      <x:c r="I379" s="19" t="n">
        <x:v>6</x:v>
      </x:c>
      <x:c r="J379" s="19" t="n">
        <x:v>2</x:v>
      </x:c>
      <x:c r="K379" s="16" t="str">
        <x:v>1. New with no visible defects/damage</x:v>
      </x:c>
      <x:c r="L379" s="16" t="str">
        <x:v>Very unlikely</x:v>
      </x:c>
      <x:c r="M379" s="16" t="str">
        <x:v>Significant</x:v>
      </x:c>
      <x:c r="N379" s="16" t="str">
        <x:v>Low</x:v>
      </x:c>
    </x:row>
    <x:row r="380" ht="41" customHeight="1">
      <x:c r="A380" s="16" t="str">
        <x:v>RAW-00374</x:v>
      </x:c>
      <x:c r="B380" s="16" t="str">
        <x:v>Recommendation</x:v>
      </x:c>
      <x:c r="C380" s="16" t="str">
        <x:v>– None.</x:v>
      </x:c>
      <x:c r="D380" s="16" t="str">
        <x:v>Back verandah beams</x:v>
      </x:c>
      <x:c r="E380" s="16" t="str">
        <x:v>SRC-012</x:v>
      </x:c>
      <x:c r="F380" s="16" t="str">
        <x:v>REC-0003</x:v>
      </x:c>
      <x:c r="G380" s="16" t="str">
        <x:v>正式报告</x:v>
      </x:c>
      <x:c r="H380" s="19" t="n">
        <x:v>8</x:v>
      </x:c>
      <x:c r="I380" s="19" t="n">
        <x:v>6</x:v>
      </x:c>
      <x:c r="J380" s="19" t="n">
        <x:v>2</x:v>
      </x:c>
      <x:c r="K380" s="16" t="str">
        <x:v>1. New with no visible defects/damage</x:v>
      </x:c>
      <x:c r="L380" s="16" t="str">
        <x:v>Very unlikely</x:v>
      </x:c>
      <x:c r="M380" s="16" t="str">
        <x:v>Significant</x:v>
      </x:c>
      <x:c r="N380" s="16" t="str">
        <x:v>Low</x:v>
      </x:c>
    </x:row>
    <x:row r="381" ht="37" customHeight="1">
      <x:c r="A381" s="16" t="str">
        <x:v>RAW-00375</x:v>
      </x:c>
      <x:c r="B381" s="16" t="str">
        <x:v>Observation</x:v>
      </x:c>
      <x:c r="C381" s="16" t="str">
        <x:v>– Right hand side of pool. Minor corrosion at end of parallel flange channel joists.</x:v>
      </x:c>
      <x:c r="D381" s="16" t="str">
        <x:v>Pool support</x:v>
      </x:c>
      <x:c r="E381" s="16" t="str">
        <x:v>SRC-013</x:v>
      </x:c>
      <x:c r="F381" s="16" t="str">
        <x:v>OBS-0499</x:v>
      </x:c>
      <x:c r="G381" s="16" t="str">
        <x:v>正式报告</x:v>
      </x:c>
      <x:c r="H381" s="19" t="n">
        <x:v>3</x:v>
      </x:c>
      <x:c r="I381" s="19" t="n">
        <x:v>6</x:v>
      </x:c>
      <x:c r="J381" s="19" t="n">
        <x:v>3</x:v>
      </x:c>
      <x:c r="K381" s="16" t="str">
        <x:v>5. Major deterioration</x:v>
      </x:c>
      <x:c r="L381" s="16" t="str">
        <x:v>Likely</x:v>
      </x:c>
      <x:c r="M381" s="16" t="str">
        <x:v>Significant</x:v>
      </x:c>
      <x:c r="N381" s="16" t="str">
        <x:v>Critical</x:v>
      </x:c>
    </x:row>
    <x:row r="382" ht="37" customHeight="1">
      <x:c r="A382" s="16" t="str">
        <x:v>RAW-00376</x:v>
      </x:c>
      <x:c r="B382" s="16" t="str">
        <x:v>Recommendation</x:v>
      </x:c>
      <x:c r="C382" s="16" t="str">
        <x:v>– Clean, wire brush and repaint.</x:v>
      </x:c>
      <x:c r="D382" s="16" t="str">
        <x:v>Pool support</x:v>
      </x:c>
      <x:c r="E382" s="16" t="str">
        <x:v>SRC-013</x:v>
      </x:c>
      <x:c r="F382" s="16" t="str">
        <x:v>REC-0001</x:v>
      </x:c>
      <x:c r="G382" s="16" t="str">
        <x:v>正式报告</x:v>
      </x:c>
      <x:c r="H382" s="19" t="n">
        <x:v>3</x:v>
      </x:c>
      <x:c r="I382" s="19" t="n">
        <x:v>6</x:v>
      </x:c>
      <x:c r="J382" s="19" t="n">
        <x:v>3</x:v>
      </x:c>
      <x:c r="K382" s="16" t="str">
        <x:v>5. Major deterioration</x:v>
      </x:c>
      <x:c r="L382" s="16" t="str">
        <x:v>Likely</x:v>
      </x:c>
      <x:c r="M382" s="16" t="str">
        <x:v>Significant</x:v>
      </x:c>
      <x:c r="N382" s="16" t="str">
        <x:v>Critical</x:v>
      </x:c>
    </x:row>
    <x:row r="383" ht="37" customHeight="1">
      <x:c r="A383" s="16" t="str">
        <x:v>RAW-00377</x:v>
      </x:c>
      <x:c r="B383" s="16" t="str">
        <x:v>Observation</x:v>
      </x:c>
      <x:c r="C383" s="16" t="str">
        <x:v>– Back of pool. Flaking corrosion at end of parallel flange channel.</x:v>
      </x:c>
      <x:c r="D383" s="16" t="str">
        <x:v>Pool support</x:v>
      </x:c>
      <x:c r="E383" s="16" t="str">
        <x:v>SRC-013</x:v>
      </x:c>
      <x:c r="F383" s="16" t="str">
        <x:v>OBS-0101</x:v>
      </x:c>
      <x:c r="G383" s="16" t="str">
        <x:v>正式报告</x:v>
      </x:c>
      <x:c r="H383" s="19" t="n">
        <x:v>3</x:v>
      </x:c>
      <x:c r="I383" s="19" t="n">
        <x:v>9</x:v>
      </x:c>
      <x:c r="J383" s="19" t="n">
        <x:v>2</x:v>
      </x:c>
      <x:c r="K383" s="16" t="str">
        <x:v>5. Major deterioration</x:v>
      </x:c>
      <x:c r="L383" s="16" t="str">
        <x:v>Likely</x:v>
      </x:c>
      <x:c r="M383" s="16" t="str">
        <x:v>Significant</x:v>
      </x:c>
      <x:c r="N383" s="16" t="str">
        <x:v>Critical</x:v>
      </x:c>
    </x:row>
    <x:row r="384" ht="37" customHeight="1">
      <x:c r="A384" s="16" t="str">
        <x:v>RAW-00378</x:v>
      </x:c>
      <x:c r="B384" s="16" t="str">
        <x:v>Recommendation</x:v>
      </x:c>
      <x:c r="C384" s="16" t="str">
        <x:v>– Clean, wire brush and repaint.</x:v>
      </x:c>
      <x:c r="D384" s="16" t="str">
        <x:v>Pool support</x:v>
      </x:c>
      <x:c r="E384" s="16" t="str">
        <x:v>SRC-013</x:v>
      </x:c>
      <x:c r="F384" s="16" t="str">
        <x:v>REC-0001</x:v>
      </x:c>
      <x:c r="G384" s="16" t="str">
        <x:v>正式报告</x:v>
      </x:c>
      <x:c r="H384" s="19" t="n">
        <x:v>3</x:v>
      </x:c>
      <x:c r="I384" s="19" t="n">
        <x:v>9</x:v>
      </x:c>
      <x:c r="J384" s="19" t="n">
        <x:v>2</x:v>
      </x:c>
      <x:c r="K384" s="16" t="str">
        <x:v>5. Major deterioration</x:v>
      </x:c>
      <x:c r="L384" s="16" t="str">
        <x:v>Likely</x:v>
      </x:c>
      <x:c r="M384" s="16" t="str">
        <x:v>Significant</x:v>
      </x:c>
      <x:c r="N384" s="16" t="str">
        <x:v>Critical</x:v>
      </x:c>
    </x:row>
    <x:row r="385" ht="41" customHeight="1">
      <x:c r="A385" s="16" t="str">
        <x:v>RAW-00379</x:v>
      </x:c>
      <x:c r="B385" s="16" t="str">
        <x:v>Observation</x:v>
      </x:c>
      <x:c r="C385" s="16" t="str">
        <x:v>– All purlins and rafters in good condition. Rafters have been repainted recently, and top hat purlin have been replaced.</x:v>
      </x:c>
      <x:c r="D385" s="16" t="str">
        <x:v>Rafters and purlins</x:v>
      </x:c>
      <x:c r="E385" s="16" t="str">
        <x:v>SRC-013</x:v>
      </x:c>
      <x:c r="F385" s="16" t="str">
        <x:v>OBS-0019</x:v>
      </x:c>
      <x:c r="G385" s="16" t="str">
        <x:v>正式报告</x:v>
      </x:c>
      <x:c r="H385" s="19" t="n">
        <x:v>4</x:v>
      </x:c>
      <x:c r="I385" s="19" t="n">
        <x:v>6</x:v>
      </x:c>
      <x:c r="J385" s="19" t="n">
        <x:v>1</x:v>
      </x:c>
      <x:c r="K385" s="16" t="str">
        <x:v>1. New with no visible defects/damage</x:v>
      </x:c>
      <x:c r="L385" s="16" t="str">
        <x:v>Very unlikely</x:v>
      </x:c>
      <x:c r="M385" s="16" t="str">
        <x:v>Significant</x:v>
      </x:c>
      <x:c r="N385" s="16" t="str">
        <x:v>Low</x:v>
      </x:c>
    </x:row>
    <x:row r="386" ht="41" customHeight="1">
      <x:c r="A386" s="16" t="str">
        <x:v>RAW-00380</x:v>
      </x:c>
      <x:c r="B386" s="16" t="str">
        <x:v>Observation</x:v>
      </x:c>
      <x:c r="C386" s="16" t="str">
        <x:v>– All purlins and rafters in good condition. Rafters have been repainted recently and top hat purlin have been replaced.</x:v>
      </x:c>
      <x:c r="D386" s="16" t="str">
        <x:v>Rafters and purlins</x:v>
      </x:c>
      <x:c r="E386" s="16" t="str">
        <x:v>SRC-013</x:v>
      </x:c>
      <x:c r="F386" s="16" t="str">
        <x:v>OBS-0019</x:v>
      </x:c>
      <x:c r="G386" s="16" t="str">
        <x:v>正式报告</x:v>
      </x:c>
      <x:c r="H386" s="19" t="n">
        <x:v>4</x:v>
      </x:c>
      <x:c r="I386" s="19" t="n">
        <x:v>7</x:v>
      </x:c>
      <x:c r="J386" s="19" t="n">
        <x:v>1</x:v>
      </x:c>
      <x:c r="K386" s="16" t="str">
        <x:v>1. New with no visible defects/damage</x:v>
      </x:c>
      <x:c r="L386" s="16" t="str">
        <x:v>Very unlikely</x:v>
      </x:c>
      <x:c r="M386" s="16" t="str">
        <x:v>Significant</x:v>
      </x:c>
      <x:c r="N386" s="16" t="str">
        <x:v>Low</x:v>
      </x:c>
    </x:row>
    <x:row r="387" ht="41" customHeight="1">
      <x:c r="A387" s="16" t="str">
        <x:v>RAW-00381</x:v>
      </x:c>
      <x:c r="B387" s="16" t="str">
        <x:v>Observation</x:v>
      </x:c>
      <x:c r="C387" s="16" t="str">
        <x:v>– All purlins and rafters in good condition. Rafters have been repainted recently and top hat purlin have been replaced.</x:v>
      </x:c>
      <x:c r="D387" s="16" t="str">
        <x:v>Rafters and purlins</x:v>
      </x:c>
      <x:c r="E387" s="16" t="str">
        <x:v>SRC-013</x:v>
      </x:c>
      <x:c r="F387" s="16" t="str">
        <x:v>OBS-0019</x:v>
      </x:c>
      <x:c r="G387" s="16" t="str">
        <x:v>正式报告</x:v>
      </x:c>
      <x:c r="H387" s="19" t="n">
        <x:v>4</x:v>
      </x:c>
      <x:c r="I387" s="19" t="n">
        <x:v>8</x:v>
      </x:c>
      <x:c r="J387" s="19" t="n">
        <x:v>1</x:v>
      </x:c>
      <x:c r="K387" s="16" t="str">
        <x:v>1. New with no visible defects/damage</x:v>
      </x:c>
      <x:c r="L387" s="16" t="str">
        <x:v>Very unlikely</x:v>
      </x:c>
      <x:c r="M387" s="16" t="str">
        <x:v>Significant</x:v>
      </x:c>
      <x:c r="N387" s="16" t="str">
        <x:v>Low</x:v>
      </x:c>
    </x:row>
    <x:row r="388" ht="41" customHeight="1">
      <x:c r="A388" s="16" t="str">
        <x:v>RAW-00382</x:v>
      </x:c>
      <x:c r="B388" s="16" t="str">
        <x:v>Recommendation</x:v>
      </x:c>
      <x:c r="C388" s="16" t="str">
        <x:v>– None.</x:v>
      </x:c>
      <x:c r="D388" s="16" t="str">
        <x:v>Rafters and purlins</x:v>
      </x:c>
      <x:c r="E388" s="16" t="str">
        <x:v>SRC-013</x:v>
      </x:c>
      <x:c r="F388" s="16" t="str">
        <x:v>REC-0003</x:v>
      </x:c>
      <x:c r="G388" s="16" t="str">
        <x:v>正式报告</x:v>
      </x:c>
      <x:c r="H388" s="19" t="n">
        <x:v>4</x:v>
      </x:c>
      <x:c r="I388" s="19" t="n">
        <x:v>8</x:v>
      </x:c>
      <x:c r="J388" s="19" t="n">
        <x:v>1</x:v>
      </x:c>
      <x:c r="K388" s="16" t="str">
        <x:v>1. New with no visible defects/damage</x:v>
      </x:c>
      <x:c r="L388" s="16" t="str">
        <x:v>Very unlikely</x:v>
      </x:c>
      <x:c r="M388" s="16" t="str">
        <x:v>Significant</x:v>
      </x:c>
      <x:c r="N388" s="16" t="str">
        <x:v>Low</x:v>
      </x:c>
    </x:row>
    <x:row r="389" ht="41" customHeight="1">
      <x:c r="A389" s="16" t="str">
        <x:v>RAW-00383</x:v>
      </x:c>
      <x:c r="B389" s="16" t="str">
        <x:v>Observation</x:v>
      </x:c>
      <x:c r="C389" s="16" t="str">
        <x:v>– Columns in good condition.</x:v>
      </x:c>
      <x:c r="D389" s="16" t="str">
        <x:v>Columns</x:v>
      </x:c>
      <x:c r="E389" s="16" t="str">
        <x:v>SRC-013</x:v>
      </x:c>
      <x:c r="F389" s="16" t="str">
        <x:v>OBS-0001</x:v>
      </x:c>
      <x:c r="G389" s="16" t="str">
        <x:v>正式报告</x:v>
      </x:c>
      <x:c r="H389" s="19" t="n">
        <x:v>5</x:v>
      </x:c>
      <x:c r="I389" s="19" t="n">
        <x:v>6</x:v>
      </x:c>
      <x:c r="J389" s="19" t="n">
        <x:v>1</x:v>
      </x:c>
      <x:c r="K389" s="16" t="str">
        <x:v>1. New with no visible defects/damage</x:v>
      </x:c>
      <x:c r="L389" s="16" t="str">
        <x:v>Very unlikely</x:v>
      </x:c>
      <x:c r="M389" s="16" t="str">
        <x:v>Significant</x:v>
      </x:c>
      <x:c r="N389" s="16" t="str">
        <x:v>Low</x:v>
      </x:c>
    </x:row>
    <x:row r="390" ht="41" customHeight="1">
      <x:c r="A390" s="16" t="str">
        <x:v>RAW-00384</x:v>
      </x:c>
      <x:c r="B390" s="16" t="str">
        <x:v>Observation</x:v>
      </x:c>
      <x:c r="C390" s="16" t="str">
        <x:v>– Columns in good condition.</x:v>
      </x:c>
      <x:c r="D390" s="16" t="str">
        <x:v>Columns</x:v>
      </x:c>
      <x:c r="E390" s="16" t="str">
        <x:v>SRC-013</x:v>
      </x:c>
      <x:c r="F390" s="16" t="str">
        <x:v>OBS-0001</x:v>
      </x:c>
      <x:c r="G390" s="16" t="str">
        <x:v>正式报告</x:v>
      </x:c>
      <x:c r="H390" s="19" t="n">
        <x:v>5</x:v>
      </x:c>
      <x:c r="I390" s="19" t="n">
        <x:v>7</x:v>
      </x:c>
      <x:c r="J390" s="19" t="n">
        <x:v>1</x:v>
      </x:c>
      <x:c r="K390" s="16" t="str">
        <x:v>1. New with no visible defects/damage</x:v>
      </x:c>
      <x:c r="L390" s="16" t="str">
        <x:v>Very unlikely</x:v>
      </x:c>
      <x:c r="M390" s="16" t="str">
        <x:v>Significant</x:v>
      </x:c>
      <x:c r="N390" s="16" t="str">
        <x:v>Low</x:v>
      </x:c>
    </x:row>
    <x:row r="391" ht="41" customHeight="1">
      <x:c r="A391" s="16" t="str">
        <x:v>RAW-00385</x:v>
      </x:c>
      <x:c r="B391" s="16" t="str">
        <x:v>Observation</x:v>
      </x:c>
      <x:c r="C391" s="16" t="str">
        <x:v>– Columns in good condition.</x:v>
      </x:c>
      <x:c r="D391" s="16" t="str">
        <x:v>Columns</x:v>
      </x:c>
      <x:c r="E391" s="16" t="str">
        <x:v>SRC-013</x:v>
      </x:c>
      <x:c r="F391" s="16" t="str">
        <x:v>OBS-0001</x:v>
      </x:c>
      <x:c r="G391" s="16" t="str">
        <x:v>正式报告</x:v>
      </x:c>
      <x:c r="H391" s="19" t="n">
        <x:v>5</x:v>
      </x:c>
      <x:c r="I391" s="19" t="n">
        <x:v>8</x:v>
      </x:c>
      <x:c r="J391" s="19" t="n">
        <x:v>1</x:v>
      </x:c>
      <x:c r="K391" s="16" t="str">
        <x:v>1. New with no visible defects/damage</x:v>
      </x:c>
      <x:c r="L391" s="16" t="str">
        <x:v>Very unlikely</x:v>
      </x:c>
      <x:c r="M391" s="16" t="str">
        <x:v>Significant</x:v>
      </x:c>
      <x:c r="N391" s="16" t="str">
        <x:v>Low</x:v>
      </x:c>
    </x:row>
    <x:row r="392" ht="41" customHeight="1">
      <x:c r="A392" s="16" t="str">
        <x:v>RAW-00386</x:v>
      </x:c>
      <x:c r="B392" s="16" t="str">
        <x:v>Recommendation</x:v>
      </x:c>
      <x:c r="C392" s="16" t="str">
        <x:v>– None.</x:v>
      </x:c>
      <x:c r="D392" s="16" t="str">
        <x:v>Columns</x:v>
      </x:c>
      <x:c r="E392" s="16" t="str">
        <x:v>SRC-013</x:v>
      </x:c>
      <x:c r="F392" s="16" t="str">
        <x:v>REC-0003</x:v>
      </x:c>
      <x:c r="G392" s="16" t="str">
        <x:v>正式报告</x:v>
      </x:c>
      <x:c r="H392" s="19" t="n">
        <x:v>5</x:v>
      </x:c>
      <x:c r="I392" s="19" t="n">
        <x:v>8</x:v>
      </x:c>
      <x:c r="J392" s="19" t="n">
        <x:v>1</x:v>
      </x:c>
      <x:c r="K392" s="16" t="str">
        <x:v>1. New with no visible defects/damage</x:v>
      </x:c>
      <x:c r="L392" s="16" t="str">
        <x:v>Very unlikely</x:v>
      </x:c>
      <x:c r="M392" s="16" t="str">
        <x:v>Significant</x:v>
      </x:c>
      <x:c r="N392" s="16" t="str">
        <x:v>Low</x:v>
      </x:c>
    </x:row>
    <x:row r="393" ht="37" customHeight="1">
      <x:c r="A393" s="16" t="str">
        <x:v>RAW-00387</x:v>
      </x:c>
      <x:c r="B393" s="16" t="str">
        <x:v>Observation</x:v>
      </x:c>
      <x:c r="C393" s="16" t="str">
        <x:v>– Carport verandah.</x:v>
      </x:c>
      <x:c r="D393" s="16" t="str">
        <x:v>Soffit cladding</x:v>
      </x:c>
      <x:c r="E393" s="16" t="str">
        <x:v>SRC-013</x:v>
      </x:c>
      <x:c r="F393" s="16" t="str">
        <x:v>OBS-0037</x:v>
      </x:c>
      <x:c r="G393" s="16" t="str">
        <x:v>正式报告</x:v>
      </x:c>
      <x:c r="H393" s="19" t="n">
        <x:v>6</x:v>
      </x:c>
      <x:c r="I393" s="19" t="n">
        <x:v>6</x:v>
      </x:c>
      <x:c r="J393" s="19" t="n">
        <x:v>1</x:v>
      </x:c>
      <x:c r="K393" s="16" t="str">
        <x:v>3. Minor deterioration</x:v>
      </x:c>
      <x:c r="L393" s="16" t="str">
        <x:v>Unlikely</x:v>
      </x:c>
      <x:c r="M393" s="16" t="str">
        <x:v>Minor</x:v>
      </x:c>
      <x:c r="N393" s="16" t="str">
        <x:v>Low</x:v>
      </x:c>
    </x:row>
    <x:row r="394" ht="37" customHeight="1">
      <x:c r="A394" s="16" t="str">
        <x:v>RAW-00388</x:v>
      </x:c>
      <x:c r="B394" s="16" t="str">
        <x:v>Observation</x:v>
      </x:c>
      <x:c r="C394" s="16" t="str">
        <x:v>– Carport verandah.</x:v>
      </x:c>
      <x:c r="D394" s="16" t="str">
        <x:v>Soffit cladding</x:v>
      </x:c>
      <x:c r="E394" s="16" t="str">
        <x:v>SRC-013</x:v>
      </x:c>
      <x:c r="F394" s="16" t="str">
        <x:v>OBS-0037</x:v>
      </x:c>
      <x:c r="G394" s="16" t="str">
        <x:v>正式报告</x:v>
      </x:c>
      <x:c r="H394" s="19" t="n">
        <x:v>6</x:v>
      </x:c>
      <x:c r="I394" s="19" t="n">
        <x:v>7</x:v>
      </x:c>
      <x:c r="J394" s="19" t="n">
        <x:v>1</x:v>
      </x:c>
      <x:c r="K394" s="16" t="str">
        <x:v>3. Minor deterioration</x:v>
      </x:c>
      <x:c r="L394" s="16" t="str">
        <x:v>Unlikely</x:v>
      </x:c>
      <x:c r="M394" s="16" t="str">
        <x:v>Minor</x:v>
      </x:c>
      <x:c r="N394" s="16" t="str">
        <x:v>Low</x:v>
      </x:c>
    </x:row>
    <x:row r="395" ht="37" customHeight="1">
      <x:c r="A395" s="16" t="str">
        <x:v>RAW-00389</x:v>
      </x:c>
      <x:c r="B395" s="16" t="str">
        <x:v>Observation</x:v>
      </x:c>
      <x:c r="C395" s="16" t="str">
        <x:v>– Carport verandah. Soffit Tek screws and cladding have minor corrosion.</x:v>
      </x:c>
      <x:c r="D395" s="16" t="str">
        <x:v>Soffit cladding</x:v>
      </x:c>
      <x:c r="E395" s="16" t="str">
        <x:v>SRC-013</x:v>
      </x:c>
      <x:c r="F395" s="16" t="str">
        <x:v>OBS-0176</x:v>
      </x:c>
      <x:c r="G395" s="16" t="str">
        <x:v>正式报告</x:v>
      </x:c>
      <x:c r="H395" s="19" t="n">
        <x:v>6</x:v>
      </x:c>
      <x:c r="I395" s="19" t="n">
        <x:v>8</x:v>
      </x:c>
      <x:c r="J395" s="19" t="n">
        <x:v>3</x:v>
      </x:c>
      <x:c r="K395" s="16" t="str">
        <x:v>3. Minor deterioration</x:v>
      </x:c>
      <x:c r="L395" s="16" t="str">
        <x:v>Unlikely</x:v>
      </x:c>
      <x:c r="M395" s="16" t="str">
        <x:v>Minor</x:v>
      </x:c>
      <x:c r="N395" s="16" t="str">
        <x:v>Low</x:v>
      </x:c>
    </x:row>
    <x:row r="396" ht="37" customHeight="1">
      <x:c r="A396" s="16" t="str">
        <x:v>RAW-00390</x:v>
      </x:c>
      <x:c r="B396" s="16" t="str">
        <x:v>Recommendation</x:v>
      </x:c>
      <x:c r="C396" s="16" t="str">
        <x:v>– Clean, wire brush and repaint sheeting and flashing. Replace corroded Tek screws.</x:v>
      </x:c>
      <x:c r="D396" s="16" t="str">
        <x:v>Soffit cladding</x:v>
      </x:c>
      <x:c r="E396" s="16" t="str">
        <x:v>SRC-013</x:v>
      </x:c>
      <x:c r="F396" s="16" t="str">
        <x:v>REC-0078</x:v>
      </x:c>
      <x:c r="G396" s="16" t="str">
        <x:v>正式报告</x:v>
      </x:c>
      <x:c r="H396" s="19" t="n">
        <x:v>6</x:v>
      </x:c>
      <x:c r="I396" s="19" t="n">
        <x:v>8</x:v>
      </x:c>
      <x:c r="J396" s="19" t="n">
        <x:v>3</x:v>
      </x:c>
      <x:c r="K396" s="16" t="str">
        <x:v>3. Minor deterioration</x:v>
      </x:c>
      <x:c r="L396" s="16" t="str">
        <x:v>Unlikely</x:v>
      </x:c>
      <x:c r="M396" s="16" t="str">
        <x:v>Minor</x:v>
      </x:c>
      <x:c r="N396" s="16" t="str">
        <x:v>Low</x:v>
      </x:c>
    </x:row>
    <x:row r="397" ht="37" customHeight="1">
      <x:c r="A397" s="16" t="str">
        <x:v>RAW-00391</x:v>
      </x:c>
      <x:c r="B397" s="16" t="str">
        <x:v>Observation</x:v>
      </x:c>
      <x:c r="C397" s="16" t="str">
        <x:v>– Left hand side cladding in good condition.</x:v>
      </x:c>
      <x:c r="D397" s="16" t="str">
        <x:v>Cladding and framing</x:v>
      </x:c>
      <x:c r="E397" s="16" t="str">
        <x:v>SRC-013</x:v>
      </x:c>
      <x:c r="F397" s="16" t="str">
        <x:v>OBS-0337</x:v>
      </x:c>
      <x:c r="G397" s="16" t="str">
        <x:v>正式报告</x:v>
      </x:c>
      <x:c r="H397" s="19" t="n">
        <x:v>7</x:v>
      </x:c>
      <x:c r="I397" s="19" t="n">
        <x:v>6</x:v>
      </x:c>
      <x:c r="J397" s="19" t="n">
        <x:v>1</x:v>
      </x:c>
      <x:c r="K397" s="16" t="str">
        <x:v>3. Minor deterioration</x:v>
      </x:c>
      <x:c r="L397" s="16" t="str">
        <x:v>Unlikely</x:v>
      </x:c>
      <x:c r="M397" s="16" t="str">
        <x:v>Negligible</x:v>
      </x:c>
      <x:c r="N397" s="16" t="str">
        <x:v>Low</x:v>
      </x:c>
    </x:row>
    <x:row r="398" ht="37" customHeight="1">
      <x:c r="A398" s="16" t="str">
        <x:v>RAW-00392</x:v>
      </x:c>
      <x:c r="B398" s="16" t="str">
        <x:v>Observation</x:v>
      </x:c>
      <x:c r="C398" s="16" t="str">
        <x:v>– Right hand side of house. Minor corrosion around outlet pipe.</x:v>
      </x:c>
      <x:c r="D398" s="16" t="str">
        <x:v>Cladding and framing</x:v>
      </x:c>
      <x:c r="E398" s="16" t="str">
        <x:v>SRC-013</x:v>
      </x:c>
      <x:c r="F398" s="16" t="str">
        <x:v>OBS-0498</x:v>
      </x:c>
      <x:c r="G398" s="16" t="str">
        <x:v>正式报告</x:v>
      </x:c>
      <x:c r="H398" s="19" t="n">
        <x:v>7</x:v>
      </x:c>
      <x:c r="I398" s="19" t="n">
        <x:v>7</x:v>
      </x:c>
      <x:c r="J398" s="19" t="n">
        <x:v>1</x:v>
      </x:c>
      <x:c r="K398" s="16" t="str">
        <x:v>3. Minor deterioration</x:v>
      </x:c>
      <x:c r="L398" s="16" t="str">
        <x:v>Unlikely</x:v>
      </x:c>
      <x:c r="M398" s="16" t="str">
        <x:v>Negligible</x:v>
      </x:c>
      <x:c r="N398" s="16" t="str">
        <x:v>Low</x:v>
      </x:c>
    </x:row>
    <x:row r="399" ht="37" customHeight="1">
      <x:c r="A399" s="16" t="str">
        <x:v>RAW-00393</x:v>
      </x:c>
      <x:c r="B399" s="16" t="str">
        <x:v>Observation</x:v>
      </x:c>
      <x:c r="C399" s="16" t="str">
        <x:v>– Front of property. Minor corrosion of steel plate.</x:v>
      </x:c>
      <x:c r="D399" s="16" t="str">
        <x:v>Cladding and framing</x:v>
      </x:c>
      <x:c r="E399" s="16" t="str">
        <x:v>SRC-013</x:v>
      </x:c>
      <x:c r="F399" s="16" t="str">
        <x:v>OBS-0281</x:v>
      </x:c>
      <x:c r="G399" s="16" t="str">
        <x:v>正式报告</x:v>
      </x:c>
      <x:c r="H399" s="19" t="n">
        <x:v>7</x:v>
      </x:c>
      <x:c r="I399" s="19" t="n">
        <x:v>8</x:v>
      </x:c>
      <x:c r="J399" s="19" t="n">
        <x:v>1</x:v>
      </x:c>
      <x:c r="K399" s="16" t="str">
        <x:v>3. Minor deterioration</x:v>
      </x:c>
      <x:c r="L399" s="16" t="str">
        <x:v>Unlikely</x:v>
      </x:c>
      <x:c r="M399" s="16" t="str">
        <x:v>Negligible</x:v>
      </x:c>
      <x:c r="N399" s="16" t="str">
        <x:v>Low</x:v>
      </x:c>
    </x:row>
    <x:row r="400" ht="37" customHeight="1">
      <x:c r="A400" s="16" t="str">
        <x:v>RAW-00394</x:v>
      </x:c>
      <x:c r="B400" s="16" t="str">
        <x:v>Recommendation</x:v>
      </x:c>
      <x:c r="C400" s="16" t="str">
        <x:v>– Clean, wire brush and repaint.</x:v>
      </x:c>
      <x:c r="D400" s="16" t="str">
        <x:v>Cladding and framing</x:v>
      </x:c>
      <x:c r="E400" s="16" t="str">
        <x:v>SRC-013</x:v>
      </x:c>
      <x:c r="F400" s="16" t="str">
        <x:v>REC-0001</x:v>
      </x:c>
      <x:c r="G400" s="16" t="str">
        <x:v>正式报告</x:v>
      </x:c>
      <x:c r="H400" s="19" t="n">
        <x:v>7</x:v>
      </x:c>
      <x:c r="I400" s="19" t="n">
        <x:v>8</x:v>
      </x:c>
      <x:c r="J400" s="19" t="n">
        <x:v>1</x:v>
      </x:c>
      <x:c r="K400" s="16" t="str">
        <x:v>3. Minor deterioration</x:v>
      </x:c>
      <x:c r="L400" s="16" t="str">
        <x:v>Unlikely</x:v>
      </x:c>
      <x:c r="M400" s="16" t="str">
        <x:v>Negligible</x:v>
      </x:c>
      <x:c r="N400" s="16" t="str">
        <x:v>Low</x:v>
      </x:c>
    </x:row>
    <x:row r="401" ht="37" customHeight="1">
      <x:c r="A401" s="16" t="str">
        <x:v>RAW-00395</x:v>
      </x:c>
      <x:c r="B401" s="16" t="str">
        <x:v>Observation</x:v>
      </x:c>
      <x:c r="C401" s="16" t="str">
        <x:v>– Corrosion on the lower section of fencing.</x:v>
      </x:c>
      <x:c r="D401" s="16" t="str">
        <x:v>Fencing</x:v>
      </x:c>
      <x:c r="E401" s="16" t="str">
        <x:v>SRC-013</x:v>
      </x:c>
      <x:c r="F401" s="16" t="str">
        <x:v>OBS-0237</x:v>
      </x:c>
      <x:c r="G401" s="16" t="str">
        <x:v>正式报告</x:v>
      </x:c>
      <x:c r="H401" s="19" t="n">
        <x:v>8</x:v>
      </x:c>
      <x:c r="I401" s="19" t="n">
        <x:v>6</x:v>
      </x:c>
      <x:c r="J401" s="19" t="n">
        <x:v>1</x:v>
      </x:c>
      <x:c r="K401" s="16" t="str">
        <x:v>3. Minor deterioration</x:v>
      </x:c>
      <x:c r="L401" s="16" t="str">
        <x:v>Unlikely</x:v>
      </x:c>
      <x:c r="M401" s="16" t="str">
        <x:v>Minor</x:v>
      </x:c>
      <x:c r="N401" s="16" t="str">
        <x:v>Low</x:v>
      </x:c>
    </x:row>
    <x:row r="402" ht="37" customHeight="1">
      <x:c r="A402" s="16" t="str">
        <x:v>RAW-00396</x:v>
      </x:c>
      <x:c r="B402" s="16" t="str">
        <x:v>Recommendation</x:v>
      </x:c>
      <x:c r="C402" s="16" t="str">
        <x:v>– Clean, wire brush and repaint.</x:v>
      </x:c>
      <x:c r="D402" s="16" t="str">
        <x:v>Fencing</x:v>
      </x:c>
      <x:c r="E402" s="16" t="str">
        <x:v>SRC-013</x:v>
      </x:c>
      <x:c r="F402" s="16" t="str">
        <x:v>REC-0001</x:v>
      </x:c>
      <x:c r="G402" s="16" t="str">
        <x:v>正式报告</x:v>
      </x:c>
      <x:c r="H402" s="19" t="n">
        <x:v>8</x:v>
      </x:c>
      <x:c r="I402" s="19" t="n">
        <x:v>6</x:v>
      </x:c>
      <x:c r="J402" s="19" t="n">
        <x:v>1</x:v>
      </x:c>
      <x:c r="K402" s="16" t="str">
        <x:v>3. Minor deterioration</x:v>
      </x:c>
      <x:c r="L402" s="16" t="str">
        <x:v>Unlikely</x:v>
      </x:c>
      <x:c r="M402" s="16" t="str">
        <x:v>Minor</x:v>
      </x:c>
      <x:c r="N402" s="16" t="str">
        <x:v>Low</x:v>
      </x:c>
    </x:row>
    <x:row r="403" ht="37" customHeight="1">
      <x:c r="A403" s="16" t="str">
        <x:v>RAW-00397</x:v>
      </x:c>
      <x:c r="B403" s="16" t="str">
        <x:v>Observation</x:v>
      </x:c>
      <x:c r="C403" s="16" t="str">
        <x:v>– Deformed fencing</x:v>
      </x:c>
      <x:c r="D403" s="16" t="str">
        <x:v>Fencing</x:v>
      </x:c>
      <x:c r="E403" s="16" t="str">
        <x:v>SRC-013</x:v>
      </x:c>
      <x:c r="F403" s="16" t="str">
        <x:v>OBS-0245</x:v>
      </x:c>
      <x:c r="G403" s="16" t="str">
        <x:v>正式报告</x:v>
      </x:c>
      <x:c r="H403" s="19" t="n">
        <x:v>8</x:v>
      </x:c>
      <x:c r="I403" s="19" t="n">
        <x:v>7</x:v>
      </x:c>
      <x:c r="J403" s="19" t="n">
        <x:v>1</x:v>
      </x:c>
      <x:c r="K403" s="16" t="str">
        <x:v>3. Minor deterioration</x:v>
      </x:c>
      <x:c r="L403" s="16" t="str">
        <x:v>Unlikely</x:v>
      </x:c>
      <x:c r="M403" s="16" t="str">
        <x:v>Minor</x:v>
      </x:c>
      <x:c r="N403" s="16" t="str">
        <x:v>Low</x:v>
      </x:c>
    </x:row>
    <x:row r="404" ht="37" customHeight="1">
      <x:c r="A404" s="16" t="str">
        <x:v>RAW-00398</x:v>
      </x:c>
      <x:c r="B404" s="16" t="str">
        <x:v>Recommendation</x:v>
      </x:c>
      <x:c r="C404" s="16" t="str">
        <x:v>– Reattach to fencing post.</x:v>
      </x:c>
      <x:c r="D404" s="16" t="str">
        <x:v>Fencing</x:v>
      </x:c>
      <x:c r="E404" s="16" t="str">
        <x:v>SRC-013</x:v>
      </x:c>
      <x:c r="F404" s="16" t="str">
        <x:v>REC-0119</x:v>
      </x:c>
      <x:c r="G404" s="16" t="str">
        <x:v>正式报告</x:v>
      </x:c>
      <x:c r="H404" s="19" t="n">
        <x:v>8</x:v>
      </x:c>
      <x:c r="I404" s="19" t="n">
        <x:v>7</x:v>
      </x:c>
      <x:c r="J404" s="19" t="n">
        <x:v>1</x:v>
      </x:c>
      <x:c r="K404" s="16" t="str">
        <x:v>3. Minor deterioration</x:v>
      </x:c>
      <x:c r="L404" s="16" t="str">
        <x:v>Unlikely</x:v>
      </x:c>
      <x:c r="M404" s="16" t="str">
        <x:v>Minor</x:v>
      </x:c>
      <x:c r="N404" s="16" t="str">
        <x:v>Low</x:v>
      </x:c>
    </x:row>
    <x:row r="405" ht="37" customHeight="1">
      <x:c r="A405" s="16" t="str">
        <x:v>RAW-00399</x:v>
      </x:c>
      <x:c r="B405" s="16" t="str">
        <x:v>Observation</x:v>
      </x:c>
      <x:c r="C405" s="16" t="str">
        <x:v>– Front entrance of pool shed. Minor corrosion of flashing.</x:v>
      </x:c>
      <x:c r="D405" s="16" t="str">
        <x:v>Pool support</x:v>
      </x:c>
      <x:c r="E405" s="16" t="str">
        <x:v>SRC-013</x:v>
      </x:c>
      <x:c r="F405" s="16" t="str">
        <x:v>OBS-0270</x:v>
      </x:c>
      <x:c r="G405" s="16" t="str">
        <x:v>正式报告</x:v>
      </x:c>
      <x:c r="H405" s="19" t="n">
        <x:v>9</x:v>
      </x:c>
      <x:c r="I405" s="19" t="n">
        <x:v>6</x:v>
      </x:c>
      <x:c r="J405" s="19" t="n">
        <x:v>1</x:v>
      </x:c>
      <x:c r="K405" s="16" t="str">
        <x:v>2. New with slight deterioration</x:v>
      </x:c>
      <x:c r="L405" s="16" t="str">
        <x:v>Very unlikely</x:v>
      </x:c>
      <x:c r="M405" s="16" t="str">
        <x:v>Negligible</x:v>
      </x:c>
      <x:c r="N405" s="16" t="str">
        <x:v>Low</x:v>
      </x:c>
    </x:row>
    <x:row r="406" ht="37" customHeight="1">
      <x:c r="A406" s="16" t="str">
        <x:v>RAW-00400</x:v>
      </x:c>
      <x:c r="B406" s="16" t="str">
        <x:v>Observation</x:v>
      </x:c>
      <x:c r="C406" s="16" t="str">
        <x:v>– left hand side of pool shed facing front entrance. Minor corrosion at lower end of cladding.</x:v>
      </x:c>
      <x:c r="D406" s="16" t="str">
        <x:v>Pool support</x:v>
      </x:c>
      <x:c r="E406" s="16" t="str">
        <x:v>SRC-013</x:v>
      </x:c>
      <x:c r="F406" s="16" t="str">
        <x:v>OBS-0619</x:v>
      </x:c>
      <x:c r="G406" s="16" t="str">
        <x:v>正式报告</x:v>
      </x:c>
      <x:c r="H406" s="19" t="n">
        <x:v>9</x:v>
      </x:c>
      <x:c r="I406" s="19" t="n">
        <x:v>7</x:v>
      </x:c>
      <x:c r="J406" s="19" t="n">
        <x:v>1</x:v>
      </x:c>
      <x:c r="K406" s="16" t="str">
        <x:v>2. New with slight deterioration</x:v>
      </x:c>
      <x:c r="L406" s="16" t="str">
        <x:v>Very unlikely</x:v>
      </x:c>
      <x:c r="M406" s="16" t="str">
        <x:v>Negligible</x:v>
      </x:c>
      <x:c r="N406" s="16" t="str">
        <x:v>Low</x:v>
      </x:c>
    </x:row>
    <x:row r="407" ht="37" customHeight="1">
      <x:c r="A407" s="16" t="str">
        <x:v>RAW-00401</x:v>
      </x:c>
      <x:c r="B407" s="16" t="str">
        <x:v>Recommendation</x:v>
      </x:c>
      <x:c r="C407" s="16" t="str">
        <x:v>– Clean, wire brush and repaint.</x:v>
      </x:c>
      <x:c r="D407" s="16" t="str">
        <x:v>Pool support</x:v>
      </x:c>
      <x:c r="E407" s="16" t="str">
        <x:v>SRC-013</x:v>
      </x:c>
      <x:c r="F407" s="16" t="str">
        <x:v>REC-0001</x:v>
      </x:c>
      <x:c r="G407" s="16" t="str">
        <x:v>正式报告</x:v>
      </x:c>
      <x:c r="H407" s="19" t="n">
        <x:v>9</x:v>
      </x:c>
      <x:c r="I407" s="19" t="n">
        <x:v>7</x:v>
      </x:c>
      <x:c r="J407" s="19" t="n">
        <x:v>1</x:v>
      </x:c>
      <x:c r="K407" s="16" t="str">
        <x:v>2. New with slight deterioration</x:v>
      </x:c>
      <x:c r="L407" s="16" t="str">
        <x:v>Very unlikely</x:v>
      </x:c>
      <x:c r="M407" s="16" t="str">
        <x:v>Negligible</x:v>
      </x:c>
      <x:c r="N407" s="16" t="str">
        <x:v>Low</x:v>
      </x:c>
    </x:row>
    <x:row r="408" ht="37" customHeight="1">
      <x:c r="A408" s="16" t="str">
        <x:v>RAW-00402</x:v>
      </x:c>
      <x:c r="B408" s="16" t="str">
        <x:v>Observation</x:v>
      </x:c>
      <x:c r="C408" s="16" t="str">
        <x:v>– Left hand side corner facing front of the house. Severe corrosion of Tek screws.</x:v>
      </x:c>
      <x:c r="D408" s="16" t="str">
        <x:v>Tek screws</x:v>
      </x:c>
      <x:c r="E408" s="16" t="str">
        <x:v>SRC-014</x:v>
      </x:c>
      <x:c r="F408" s="16" t="str">
        <x:v>OBS-0338</x:v>
      </x:c>
      <x:c r="G408" s="16" t="str">
        <x:v>正式报告</x:v>
      </x:c>
      <x:c r="H408" s="19" t="n">
        <x:v>3</x:v>
      </x:c>
      <x:c r="I408" s="19" t="n">
        <x:v>6</x:v>
      </x:c>
      <x:c r="J408" s="19" t="n">
        <x:v>1</x:v>
      </x:c>
      <x:c r="K408" s="16" t="str">
        <x:v>6. Severe deterioration</x:v>
      </x:c>
      <x:c r="L408" s="16" t="str">
        <x:v>Very likely</x:v>
      </x:c>
      <x:c r="M408" s="16" t="str">
        <x:v>Moderate</x:v>
      </x:c>
      <x:c r="N408" s="16" t="str">
        <x:v>Critical</x:v>
      </x:c>
    </x:row>
    <x:row r="409" ht="37" customHeight="1">
      <x:c r="A409" s="16" t="str">
        <x:v>RAW-00403</x:v>
      </x:c>
      <x:c r="B409" s="16" t="str">
        <x:v>Observation</x:v>
      </x:c>
      <x:c r="C409" s="16" t="str">
        <x:v>– Left hand side back corner facing front of the house. Corrosion of Tek screws.</x:v>
      </x:c>
      <x:c r="D409" s="16" t="str">
        <x:v>Tek screws</x:v>
      </x:c>
      <x:c r="E409" s="16" t="str">
        <x:v>SRC-014</x:v>
      </x:c>
      <x:c r="F409" s="16" t="str">
        <x:v>OBS-0335</x:v>
      </x:c>
      <x:c r="G409" s="16" t="str">
        <x:v>正式报告</x:v>
      </x:c>
      <x:c r="H409" s="19" t="n">
        <x:v>3</x:v>
      </x:c>
      <x:c r="I409" s="19" t="n">
        <x:v>7</x:v>
      </x:c>
      <x:c r="J409" s="19" t="n">
        <x:v>1</x:v>
      </x:c>
      <x:c r="K409" s="16" t="str">
        <x:v>6. Severe deterioration</x:v>
      </x:c>
      <x:c r="L409" s="16" t="str">
        <x:v>Very likely</x:v>
      </x:c>
      <x:c r="M409" s="16" t="str">
        <x:v>Moderate</x:v>
      </x:c>
      <x:c r="N409" s="16" t="str">
        <x:v>Critical</x:v>
      </x:c>
    </x:row>
    <x:row r="410" ht="37" customHeight="1">
      <x:c r="A410" s="16" t="str">
        <x:v>RAW-00404</x:v>
      </x:c>
      <x:c r="B410" s="16" t="str">
        <x:v>Observation</x:v>
      </x:c>
      <x:c r="C410" s="16" t="str">
        <x:v>– Back verandah. Corrosion of Tek screws and top hat purlins.</x:v>
      </x:c>
      <x:c r="D410" s="16" t="str">
        <x:v>Tek screws</x:v>
      </x:c>
      <x:c r="E410" s="16" t="str">
        <x:v>SRC-014</x:v>
      </x:c>
      <x:c r="F410" s="16" t="str">
        <x:v>OBS-0118</x:v>
      </x:c>
      <x:c r="G410" s="16" t="str">
        <x:v>正式报告</x:v>
      </x:c>
      <x:c r="H410" s="19" t="n">
        <x:v>3</x:v>
      </x:c>
      <x:c r="I410" s="19" t="n">
        <x:v>8</x:v>
      </x:c>
      <x:c r="J410" s="19" t="n">
        <x:v>1</x:v>
      </x:c>
      <x:c r="K410" s="16" t="str">
        <x:v>6. Severe deterioration</x:v>
      </x:c>
      <x:c r="L410" s="16" t="str">
        <x:v>Very likely</x:v>
      </x:c>
      <x:c r="M410" s="16" t="str">
        <x:v>Moderate</x:v>
      </x:c>
      <x:c r="N410" s="16" t="str">
        <x:v>Critical</x:v>
      </x:c>
    </x:row>
    <x:row r="411" ht="37" customHeight="1">
      <x:c r="A411" s="16" t="str">
        <x:v>RAW-00405</x:v>
      </x:c>
      <x:c r="B411" s="16" t="str">
        <x:v>Recommendation</x:v>
      </x:c>
      <x:c r="C411" s="16" t="str">
        <x:v>– Replace Tek screws.</x:v>
      </x:c>
      <x:c r="D411" s="16" t="str">
        <x:v>Tek screws</x:v>
      </x:c>
      <x:c r="E411" s="16" t="str">
        <x:v>SRC-014</x:v>
      </x:c>
      <x:c r="F411" s="16" t="str">
        <x:v>REC-0139</x:v>
      </x:c>
      <x:c r="G411" s="16" t="str">
        <x:v>正式报告</x:v>
      </x:c>
      <x:c r="H411" s="19" t="n">
        <x:v>3</x:v>
      </x:c>
      <x:c r="I411" s="19" t="n">
        <x:v>8</x:v>
      </x:c>
      <x:c r="J411" s="19" t="n">
        <x:v>1</x:v>
      </x:c>
      <x:c r="K411" s="16" t="str">
        <x:v>6. Severe deterioration</x:v>
      </x:c>
      <x:c r="L411" s="16" t="str">
        <x:v>Very likely</x:v>
      </x:c>
      <x:c r="M411" s="16" t="str">
        <x:v>Moderate</x:v>
      </x:c>
      <x:c r="N411" s="16" t="str">
        <x:v>Critical</x:v>
      </x:c>
    </x:row>
    <x:row r="412" ht="37" customHeight="1">
      <x:c r="A412" s="16" t="str">
        <x:v>RAW-00406</x:v>
      </x:c>
      <x:c r="B412" s="16" t="str">
        <x:v>Observation</x:v>
      </x:c>
      <x:c r="C412" s="16" t="str">
        <x:v>– Left hand side corner facing front of the house. Severe corrosion on Tek screws and top hat purlins.</x:v>
      </x:c>
      <x:c r="D412" s="16" t="str">
        <x:v>Top hats</x:v>
      </x:c>
      <x:c r="E412" s="16" t="str">
        <x:v>SRC-014</x:v>
      </x:c>
      <x:c r="F412" s="16" t="str">
        <x:v>OBS-0339</x:v>
      </x:c>
      <x:c r="G412" s="16" t="str">
        <x:v>正式报告</x:v>
      </x:c>
      <x:c r="H412" s="19" t="n">
        <x:v>4</x:v>
      </x:c>
      <x:c r="I412" s="19" t="n">
        <x:v>6</x:v>
      </x:c>
      <x:c r="J412" s="19" t="n">
        <x:v>3</x:v>
      </x:c>
      <x:c r="K412" s="16" t="str">
        <x:v>3. Minor deterioration</x:v>
      </x:c>
      <x:c r="L412" s="16" t="str">
        <x:v>Unlikely</x:v>
      </x:c>
      <x:c r="M412" s="16" t="str">
        <x:v>Moderate</x:v>
      </x:c>
      <x:c r="N412" s="16" t="str">
        <x:v>Moderate</x:v>
      </x:c>
    </x:row>
    <x:row r="413" ht="37" customHeight="1">
      <x:c r="A413" s="16" t="str">
        <x:v>RAW-00407</x:v>
      </x:c>
      <x:c r="B413" s="16" t="str">
        <x:v>Recommendation</x:v>
      </x:c>
      <x:c r="C413" s="16" t="str">
        <x:v>– Replace Tek screws. Clean, wire brush and repaint purlins.</x:v>
      </x:c>
      <x:c r="D413" s="16" t="str">
        <x:v>Top hats</x:v>
      </x:c>
      <x:c r="E413" s="16" t="str">
        <x:v>SRC-014</x:v>
      </x:c>
      <x:c r="F413" s="16" t="str">
        <x:v>REC-0040</x:v>
      </x:c>
      <x:c r="G413" s="16" t="str">
        <x:v>正式报告</x:v>
      </x:c>
      <x:c r="H413" s="19" t="n">
        <x:v>4</x:v>
      </x:c>
      <x:c r="I413" s="19" t="n">
        <x:v>6</x:v>
      </x:c>
      <x:c r="J413" s="19" t="n">
        <x:v>3</x:v>
      </x:c>
      <x:c r="K413" s="16" t="str">
        <x:v>3. Minor deterioration</x:v>
      </x:c>
      <x:c r="L413" s="16" t="str">
        <x:v>Unlikely</x:v>
      </x:c>
      <x:c r="M413" s="16" t="str">
        <x:v>Moderate</x:v>
      </x:c>
      <x:c r="N413" s="16" t="str">
        <x:v>Moderate</x:v>
      </x:c>
    </x:row>
    <x:row r="414" ht="37" customHeight="1">
      <x:c r="A414" s="16" t="str">
        <x:v>RAW-00408</x:v>
      </x:c>
      <x:c r="B414" s="16" t="str">
        <x:v>Observation</x:v>
      </x:c>
      <x:c r="C414" s="16" t="str">
        <x:v>– Left-hand side back corner facing entrance. Corrosion on Tek screws and top hat purlins.</x:v>
      </x:c>
      <x:c r="D414" s="16" t="str">
        <x:v>Top hats</x:v>
      </x:c>
      <x:c r="E414" s="16" t="str">
        <x:v>SRC-014</x:v>
      </x:c>
      <x:c r="F414" s="16" t="str">
        <x:v>OBS-0363</x:v>
      </x:c>
      <x:c r="G414" s="16" t="str">
        <x:v>正式报告</x:v>
      </x:c>
      <x:c r="H414" s="19" t="n">
        <x:v>4</x:v>
      </x:c>
      <x:c r="I414" s="19" t="n">
        <x:v>9</x:v>
      </x:c>
      <x:c r="J414" s="19" t="n">
        <x:v>1</x:v>
      </x:c>
      <x:c r="K414" s="16" t="str">
        <x:v>3. Minor deterioration</x:v>
      </x:c>
      <x:c r="L414" s="16" t="str">
        <x:v>Unlikely</x:v>
      </x:c>
      <x:c r="M414" s="16" t="str">
        <x:v>Moderate</x:v>
      </x:c>
      <x:c r="N414" s="16" t="str">
        <x:v>Moderate</x:v>
      </x:c>
    </x:row>
    <x:row r="415" ht="37" customHeight="1">
      <x:c r="A415" s="16" t="str">
        <x:v>RAW-00409</x:v>
      </x:c>
      <x:c r="B415" s="16" t="str">
        <x:v>Observation</x:v>
      </x:c>
      <x:c r="C415" s="16" t="str">
        <x:v>– Back verandah. Minor corrosion on Tek screws and top hat purlins.</x:v>
      </x:c>
      <x:c r="D415" s="16" t="str">
        <x:v>Top hats</x:v>
      </x:c>
      <x:c r="E415" s="16" t="str">
        <x:v>SRC-014</x:v>
      </x:c>
      <x:c r="F415" s="16" t="str">
        <x:v>OBS-0119</x:v>
      </x:c>
      <x:c r="G415" s="16" t="str">
        <x:v>正式报告</x:v>
      </x:c>
      <x:c r="H415" s="19" t="n">
        <x:v>4</x:v>
      </x:c>
      <x:c r="I415" s="19" t="n">
        <x:v>10</x:v>
      </x:c>
      <x:c r="J415" s="19" t="n">
        <x:v>3</x:v>
      </x:c>
      <x:c r="K415" s="16" t="str">
        <x:v>3. Minor deterioration</x:v>
      </x:c>
      <x:c r="L415" s="16" t="str">
        <x:v>Unlikely</x:v>
      </x:c>
      <x:c r="M415" s="16" t="str">
        <x:v>Moderate</x:v>
      </x:c>
      <x:c r="N415" s="16" t="str">
        <x:v>Moderate</x:v>
      </x:c>
    </x:row>
    <x:row r="416" ht="37" customHeight="1">
      <x:c r="A416" s="16" t="str">
        <x:v>RAW-00410</x:v>
      </x:c>
      <x:c r="B416" s="16" t="str">
        <x:v>Recommendation</x:v>
      </x:c>
      <x:c r="C416" s="16" t="str">
        <x:v>– Replace Tek screws. Clean, wire brush and repaint purlins.</x:v>
      </x:c>
      <x:c r="D416" s="16" t="str">
        <x:v>Top hats</x:v>
      </x:c>
      <x:c r="E416" s="16" t="str">
        <x:v>SRC-014</x:v>
      </x:c>
      <x:c r="F416" s="16" t="str">
        <x:v>REC-0040</x:v>
      </x:c>
      <x:c r="G416" s="16" t="str">
        <x:v>正式报告</x:v>
      </x:c>
      <x:c r="H416" s="19" t="n">
        <x:v>4</x:v>
      </x:c>
      <x:c r="I416" s="19" t="n">
        <x:v>10</x:v>
      </x:c>
      <x:c r="J416" s="19" t="n">
        <x:v>3</x:v>
      </x:c>
      <x:c r="K416" s="16" t="str">
        <x:v>3. Minor deterioration</x:v>
      </x:c>
      <x:c r="L416" s="16" t="str">
        <x:v>Unlikely</x:v>
      </x:c>
      <x:c r="M416" s="16" t="str">
        <x:v>Moderate</x:v>
      </x:c>
      <x:c r="N416" s="16" t="str">
        <x:v>Moderate</x:v>
      </x:c>
    </x:row>
    <x:row r="417" ht="37" customHeight="1">
      <x:c r="A417" s="16" t="str">
        <x:v>RAW-00411</x:v>
      </x:c>
      <x:c r="B417" s="16" t="str">
        <x:v>Observation</x:v>
      </x:c>
      <x:c r="C417" s="16" t="str">
        <x:v>– Front verandah. Rafters have minor corrosion. Most significant corrosion towards end of rafter.</x:v>
      </x:c>
      <x:c r="D417" s="16" t="str">
        <x:v>Rafters</x:v>
      </x:c>
      <x:c r="E417" s="16" t="str">
        <x:v>SRC-014</x:v>
      </x:c>
      <x:c r="F417" s="16" t="str">
        <x:v>OBS-0308</x:v>
      </x:c>
      <x:c r="G417" s="16" t="str">
        <x:v>正式报告</x:v>
      </x:c>
      <x:c r="H417" s="19" t="n">
        <x:v>5</x:v>
      </x:c>
      <x:c r="I417" s="19" t="n">
        <x:v>6</x:v>
      </x:c>
      <x:c r="J417" s="19" t="n">
        <x:v>1</x:v>
      </x:c>
      <x:c r="K417" s="16" t="str">
        <x:v>3. Minor deterioration</x:v>
      </x:c>
      <x:c r="L417" s="16" t="str">
        <x:v>Unlikely</x:v>
      </x:c>
      <x:c r="M417" s="16" t="str">
        <x:v>Significant</x:v>
      </x:c>
      <x:c r="N417" s="16" t="str">
        <x:v>Moderate</x:v>
      </x:c>
    </x:row>
    <x:row r="418" ht="41" customHeight="1">
      <x:c r="A418" s="16" t="str">
        <x:v>RAW-00412</x:v>
      </x:c>
      <x:c r="B418" s="16" t="str">
        <x:v>Observation</x:v>
      </x:c>
      <x:c r="C418" s="16" t="str">
        <x:v>– Left hand side of front verandah. Rafters have minor corrosion. Most significant corrosion towards end of rafter.</x:v>
      </x:c>
      <x:c r="D418" s="16" t="str">
        <x:v>Rafters</x:v>
      </x:c>
      <x:c r="E418" s="16" t="str">
        <x:v>SRC-014</x:v>
      </x:c>
      <x:c r="F418" s="16" t="str">
        <x:v>OBS-0345</x:v>
      </x:c>
      <x:c r="G418" s="16" t="str">
        <x:v>正式报告</x:v>
      </x:c>
      <x:c r="H418" s="19" t="n">
        <x:v>5</x:v>
      </x:c>
      <x:c r="I418" s="19" t="n">
        <x:v>7</x:v>
      </x:c>
      <x:c r="J418" s="19" t="n">
        <x:v>1</x:v>
      </x:c>
      <x:c r="K418" s="16" t="str">
        <x:v>3. Minor deterioration</x:v>
      </x:c>
      <x:c r="L418" s="16" t="str">
        <x:v>Unlikely</x:v>
      </x:c>
      <x:c r="M418" s="16" t="str">
        <x:v>Significant</x:v>
      </x:c>
      <x:c r="N418" s="16" t="str">
        <x:v>Moderate</x:v>
      </x:c>
    </x:row>
    <x:row r="419" ht="37" customHeight="1">
      <x:c r="A419" s="16" t="str">
        <x:v>RAW-00413</x:v>
      </x:c>
      <x:c r="B419" s="16" t="str">
        <x:v>Recommendation</x:v>
      </x:c>
      <x:c r="C419" s="16" t="str">
        <x:v>– Clean, wire brush and repaint.</x:v>
      </x:c>
      <x:c r="D419" s="16" t="str">
        <x:v>Rafters</x:v>
      </x:c>
      <x:c r="E419" s="16" t="str">
        <x:v>SRC-014</x:v>
      </x:c>
      <x:c r="F419" s="16" t="str">
        <x:v>REC-0001</x:v>
      </x:c>
      <x:c r="G419" s="16" t="str">
        <x:v>正式报告</x:v>
      </x:c>
      <x:c r="H419" s="19" t="n">
        <x:v>5</x:v>
      </x:c>
      <x:c r="I419" s="19" t="n">
        <x:v>7</x:v>
      </x:c>
      <x:c r="J419" s="19" t="n">
        <x:v>1</x:v>
      </x:c>
      <x:c r="K419" s="16" t="str">
        <x:v>3. Minor deterioration</x:v>
      </x:c>
      <x:c r="L419" s="16" t="str">
        <x:v>Unlikely</x:v>
      </x:c>
      <x:c r="M419" s="16" t="str">
        <x:v>Significant</x:v>
      </x:c>
      <x:c r="N419" s="16" t="str">
        <x:v>Moderate</x:v>
      </x:c>
    </x:row>
    <x:row r="420" ht="41" customHeight="1">
      <x:c r="A420" s="16" t="str">
        <x:v>RAW-00414</x:v>
      </x:c>
      <x:c r="B420" s="16" t="str">
        <x:v>Observation</x:v>
      </x:c>
      <x:c r="C420" s="16" t="str">
        <x:v>– Left hand side of back verandah. Rafters have minor corrosion. Most significant corrosion towards end of rafter. Close up of rafter circled in red is shown below.</x:v>
      </x:c>
      <x:c r="D420" s="16" t="str">
        <x:v>Rafters</x:v>
      </x:c>
      <x:c r="E420" s="16" t="str">
        <x:v>SRC-014</x:v>
      </x:c>
      <x:c r="F420" s="16" t="str">
        <x:v>OBS-0344</x:v>
      </x:c>
      <x:c r="G420" s="16" t="str">
        <x:v>正式报告</x:v>
      </x:c>
      <x:c r="H420" s="19" t="n">
        <x:v>5</x:v>
      </x:c>
      <x:c r="I420" s="19" t="n">
        <x:v>8</x:v>
      </x:c>
      <x:c r="J420" s="19" t="n">
        <x:v>2</x:v>
      </x:c>
      <x:c r="K420" s="16" t="str">
        <x:v>3. Minor deterioration</x:v>
      </x:c>
      <x:c r="L420" s="16" t="str">
        <x:v>Unlikely</x:v>
      </x:c>
      <x:c r="M420" s="16" t="str">
        <x:v>Significant</x:v>
      </x:c>
      <x:c r="N420" s="16" t="str">
        <x:v>Moderate</x:v>
      </x:c>
    </x:row>
    <x:row r="421" ht="37" customHeight="1">
      <x:c r="A421" s="16" t="str">
        <x:v>RAW-00415</x:v>
      </x:c>
      <x:c r="B421" s="16" t="str">
        <x:v>Recommendation</x:v>
      </x:c>
      <x:c r="C421" s="16" t="str">
        <x:v>– Clean, wire brush and repaint.</x:v>
      </x:c>
      <x:c r="D421" s="16" t="str">
        <x:v>Rafters</x:v>
      </x:c>
      <x:c r="E421" s="16" t="str">
        <x:v>SRC-014</x:v>
      </x:c>
      <x:c r="F421" s="16" t="str">
        <x:v>REC-0001</x:v>
      </x:c>
      <x:c r="G421" s="16" t="str">
        <x:v>正式报告</x:v>
      </x:c>
      <x:c r="H421" s="19" t="n">
        <x:v>5</x:v>
      </x:c>
      <x:c r="I421" s="19" t="n">
        <x:v>8</x:v>
      </x:c>
      <x:c r="J421" s="19" t="n">
        <x:v>2</x:v>
      </x:c>
      <x:c r="K421" s="16" t="str">
        <x:v>3. Minor deterioration</x:v>
      </x:c>
      <x:c r="L421" s="16" t="str">
        <x:v>Unlikely</x:v>
      </x:c>
      <x:c r="M421" s="16" t="str">
        <x:v>Significant</x:v>
      </x:c>
      <x:c r="N421" s="16" t="str">
        <x:v>Moderate</x:v>
      </x:c>
    </x:row>
    <x:row r="422" ht="37" customHeight="1">
      <x:c r="A422" s="16" t="str">
        <x:v>RAW-00416</x:v>
      </x:c>
      <x:c r="B422" s="16" t="str">
        <x:v>Observation</x:v>
      </x:c>
      <x:c r="C422" s="16" t="str">
        <x:v>– Back verandah in similar condition to front.</x:v>
      </x:c>
      <x:c r="D422" s="16" t="str">
        <x:v>Rafters</x:v>
      </x:c>
      <x:c r="E422" s="16" t="str">
        <x:v>SRC-014</x:v>
      </x:c>
      <x:c r="F422" s="16" t="str">
        <x:v>OBS-0116</x:v>
      </x:c>
      <x:c r="G422" s="16" t="str">
        <x:v>正式报告</x:v>
      </x:c>
      <x:c r="H422" s="19" t="n">
        <x:v>5</x:v>
      </x:c>
      <x:c r="I422" s="19" t="n">
        <x:v>10</x:v>
      </x:c>
      <x:c r="J422" s="19" t="n">
        <x:v>1</x:v>
      </x:c>
      <x:c r="K422" s="16" t="str">
        <x:v>3. Minor deterioration</x:v>
      </x:c>
      <x:c r="L422" s="16" t="str">
        <x:v>Unlikely</x:v>
      </x:c>
      <x:c r="M422" s="16" t="str">
        <x:v>Significant</x:v>
      </x:c>
      <x:c r="N422" s="16" t="str">
        <x:v>Moderate</x:v>
      </x:c>
    </x:row>
    <x:row r="423" ht="37" customHeight="1">
      <x:c r="A423" s="16" t="str">
        <x:v>RAW-00417</x:v>
      </x:c>
      <x:c r="B423" s="16" t="str">
        <x:v>Recommendation</x:v>
      </x:c>
      <x:c r="C423" s="16" t="str">
        <x:v>– Clean, wire brush and repaint.</x:v>
      </x:c>
      <x:c r="D423" s="16" t="str">
        <x:v>Rafters</x:v>
      </x:c>
      <x:c r="E423" s="16" t="str">
        <x:v>SRC-014</x:v>
      </x:c>
      <x:c r="F423" s="16" t="str">
        <x:v>REC-0001</x:v>
      </x:c>
      <x:c r="G423" s="16" t="str">
        <x:v>正式报告</x:v>
      </x:c>
      <x:c r="H423" s="19" t="n">
        <x:v>5</x:v>
      </x:c>
      <x:c r="I423" s="19" t="n">
        <x:v>10</x:v>
      </x:c>
      <x:c r="J423" s="19" t="n">
        <x:v>1</x:v>
      </x:c>
      <x:c r="K423" s="16" t="str">
        <x:v>3. Minor deterioration</x:v>
      </x:c>
      <x:c r="L423" s="16" t="str">
        <x:v>Unlikely</x:v>
      </x:c>
      <x:c r="M423" s="16" t="str">
        <x:v>Significant</x:v>
      </x:c>
      <x:c r="N423" s="16" t="str">
        <x:v>Moderate</x:v>
      </x:c>
    </x:row>
    <x:row r="424" ht="37" customHeight="1">
      <x:c r="A424" s="16" t="str">
        <x:v>RAW-00418</x:v>
      </x:c>
      <x:c r="B424" s="16" t="str">
        <x:v>Observation</x:v>
      </x:c>
      <x:c r="C424" s="16" t="str">
        <x:v>– Front wall cladding in good condition</x:v>
      </x:c>
      <x:c r="D424" s="16" t="str">
        <x:v>Steel cladding</x:v>
      </x:c>
      <x:c r="E424" s="16" t="str">
        <x:v>SRC-014</x:v>
      </x:c>
      <x:c r="F424" s="16" t="str">
        <x:v>OBS-0025</x:v>
      </x:c>
      <x:c r="G424" s="16" t="str">
        <x:v>正式报告</x:v>
      </x:c>
      <x:c r="H424" s="19" t="n">
        <x:v>6</x:v>
      </x:c>
      <x:c r="I424" s="19" t="n">
        <x:v>6</x:v>
      </x:c>
      <x:c r="J424" s="19" t="n">
        <x:v>1</x:v>
      </x:c>
      <x:c r="K424" s="16" t="str">
        <x:v>3. Minor deterioration</x:v>
      </x:c>
      <x:c r="L424" s="16" t="str">
        <x:v>Unlikely</x:v>
      </x:c>
      <x:c r="M424" s="16" t="str">
        <x:v>Negligible</x:v>
      </x:c>
      <x:c r="N424" s="16" t="str">
        <x:v>Low</x:v>
      </x:c>
    </x:row>
    <x:row r="425" ht="37" customHeight="1">
      <x:c r="A425" s="16" t="str">
        <x:v>RAW-00419</x:v>
      </x:c>
      <x:c r="B425" s="16" t="str">
        <x:v>Observation</x:v>
      </x:c>
      <x:c r="C425" s="16" t="str">
        <x:v>– Surface corrosion at pipe outlet</x:v>
      </x:c>
      <x:c r="D425" s="16" t="str">
        <x:v>Steel cladding</x:v>
      </x:c>
      <x:c r="E425" s="16" t="str">
        <x:v>SRC-014</x:v>
      </x:c>
      <x:c r="F425" s="16" t="str">
        <x:v>OBS-0086</x:v>
      </x:c>
      <x:c r="G425" s="16" t="str">
        <x:v>正式报告</x:v>
      </x:c>
      <x:c r="H425" s="19" t="n">
        <x:v>6</x:v>
      </x:c>
      <x:c r="I425" s="19" t="n">
        <x:v>7</x:v>
      </x:c>
      <x:c r="J425" s="19" t="n">
        <x:v>3</x:v>
      </x:c>
      <x:c r="K425" s="16" t="str">
        <x:v>3. Minor deterioration</x:v>
      </x:c>
      <x:c r="L425" s="16" t="str">
        <x:v>Unlikely</x:v>
      </x:c>
      <x:c r="M425" s="16" t="str">
        <x:v>Negligible</x:v>
      </x:c>
      <x:c r="N425" s="16" t="str">
        <x:v>Low</x:v>
      </x:c>
    </x:row>
    <x:row r="426" ht="37" customHeight="1">
      <x:c r="A426" s="16" t="str">
        <x:v>RAW-00420</x:v>
      </x:c>
      <x:c r="B426" s="16" t="str">
        <x:v>Recommendation</x:v>
      </x:c>
      <x:c r="C426" s="16" t="str">
        <x:v>– Clean, wire brush and repaint.</x:v>
      </x:c>
      <x:c r="D426" s="16" t="str">
        <x:v>Steel cladding</x:v>
      </x:c>
      <x:c r="E426" s="16" t="str">
        <x:v>SRC-014</x:v>
      </x:c>
      <x:c r="F426" s="16" t="str">
        <x:v>REC-0001</x:v>
      </x:c>
      <x:c r="G426" s="16" t="str">
        <x:v>正式报告</x:v>
      </x:c>
      <x:c r="H426" s="19" t="n">
        <x:v>6</x:v>
      </x:c>
      <x:c r="I426" s="19" t="n">
        <x:v>7</x:v>
      </x:c>
      <x:c r="J426" s="19" t="n">
        <x:v>3</x:v>
      </x:c>
      <x:c r="K426" s="16" t="str">
        <x:v>3. Minor deterioration</x:v>
      </x:c>
      <x:c r="L426" s="16" t="str">
        <x:v>Unlikely</x:v>
      </x:c>
      <x:c r="M426" s="16" t="str">
        <x:v>Negligible</x:v>
      </x:c>
      <x:c r="N426" s="16" t="str">
        <x:v>Low</x:v>
      </x:c>
    </x:row>
    <x:row r="427" ht="37" customHeight="1">
      <x:c r="A427" s="16" t="str">
        <x:v>RAW-00421</x:v>
      </x:c>
      <x:c r="B427" s="16" t="str">
        <x:v>Observation</x:v>
      </x:c>
      <x:c r="C427" s="16" t="str">
        <x:v>– Front verandah columns and beams overview. Deterioration of paint.</x:v>
      </x:c>
      <x:c r="D427" s="16" t="str">
        <x:v>Verandah columns and beams</x:v>
      </x:c>
      <x:c r="E427" s="16" t="str">
        <x:v>SRC-014</x:v>
      </x:c>
      <x:c r="F427" s="16" t="str">
        <x:v>OBS-0292</x:v>
      </x:c>
      <x:c r="G427" s="16" t="str">
        <x:v>正式报告</x:v>
      </x:c>
      <x:c r="H427" s="19" t="n">
        <x:v>7</x:v>
      </x:c>
      <x:c r="I427" s="19" t="n">
        <x:v>6</x:v>
      </x:c>
      <x:c r="J427" s="19" t="n">
        <x:v>3</x:v>
      </x:c>
      <x:c r="K427" s="16" t="str">
        <x:v>2. New with slight deterioration</x:v>
      </x:c>
      <x:c r="L427" s="16" t="str">
        <x:v>Very unlikely</x:v>
      </x:c>
      <x:c r="M427" s="16" t="str">
        <x:v>Significant</x:v>
      </x:c>
      <x:c r="N427" s="16" t="str">
        <x:v>Low</x:v>
      </x:c>
    </x:row>
    <x:row r="428" ht="37" customHeight="1">
      <x:c r="A428" s="16" t="str">
        <x:v>RAW-00422</x:v>
      </x:c>
      <x:c r="B428" s="16" t="str">
        <x:v>Recommendation</x:v>
      </x:c>
      <x:c r="C428" s="16" t="str">
        <x:v>– Clean, wire brush and repaint.</x:v>
      </x:c>
      <x:c r="D428" s="16" t="str">
        <x:v>Verandah columns and beams</x:v>
      </x:c>
      <x:c r="E428" s="16" t="str">
        <x:v>SRC-014</x:v>
      </x:c>
      <x:c r="F428" s="16" t="str">
        <x:v>REC-0001</x:v>
      </x:c>
      <x:c r="G428" s="16" t="str">
        <x:v>正式报告</x:v>
      </x:c>
      <x:c r="H428" s="19" t="n">
        <x:v>7</x:v>
      </x:c>
      <x:c r="I428" s="19" t="n">
        <x:v>6</x:v>
      </x:c>
      <x:c r="J428" s="19" t="n">
        <x:v>3</x:v>
      </x:c>
      <x:c r="K428" s="16" t="str">
        <x:v>2. New with slight deterioration</x:v>
      </x:c>
      <x:c r="L428" s="16" t="str">
        <x:v>Very unlikely</x:v>
      </x:c>
      <x:c r="M428" s="16" t="str">
        <x:v>Significant</x:v>
      </x:c>
      <x:c r="N428" s="16" t="str">
        <x:v>Low</x:v>
      </x:c>
    </x:row>
    <x:row r="429" ht="37" customHeight="1">
      <x:c r="A429" s="16" t="str">
        <x:v>RAW-00423</x:v>
      </x:c>
      <x:c r="B429" s="16" t="str">
        <x:v>Observation</x:v>
      </x:c>
      <x:c r="C429" s="16" t="str">
        <x:v>– Left hand side corner facing front of house. Deterioration of paint.</x:v>
      </x:c>
      <x:c r="D429" s="16" t="str">
        <x:v>Verandah columns and beams</x:v>
      </x:c>
      <x:c r="E429" s="16" t="str">
        <x:v>SRC-014</x:v>
      </x:c>
      <x:c r="F429" s="16" t="str">
        <x:v>OBS-0056</x:v>
      </x:c>
      <x:c r="G429" s="16" t="str">
        <x:v>正式报告</x:v>
      </x:c>
      <x:c r="H429" s="19" t="n">
        <x:v>7</x:v>
      </x:c>
      <x:c r="I429" s="19" t="n">
        <x:v>9</x:v>
      </x:c>
      <x:c r="J429" s="19" t="n">
        <x:v>1</x:v>
      </x:c>
      <x:c r="K429" s="16" t="str">
        <x:v>2. New with slight deterioration</x:v>
      </x:c>
      <x:c r="L429" s="16" t="str">
        <x:v>Very unlikely</x:v>
      </x:c>
      <x:c r="M429" s="16" t="str">
        <x:v>Significant</x:v>
      </x:c>
      <x:c r="N429" s="16" t="str">
        <x:v>Low</x:v>
      </x:c>
    </x:row>
    <x:row r="430" ht="37" customHeight="1">
      <x:c r="A430" s="16" t="str">
        <x:v>RAW-00424</x:v>
      </x:c>
      <x:c r="B430" s="16" t="str">
        <x:v>Recommendation</x:v>
      </x:c>
      <x:c r="C430" s="16" t="str">
        <x:v>– Clean, wire brush and repaint.</x:v>
      </x:c>
      <x:c r="D430" s="16" t="str">
        <x:v>Verandah columns and beams</x:v>
      </x:c>
      <x:c r="E430" s="16" t="str">
        <x:v>SRC-014</x:v>
      </x:c>
      <x:c r="F430" s="16" t="str">
        <x:v>REC-0001</x:v>
      </x:c>
      <x:c r="G430" s="16" t="str">
        <x:v>正式报告</x:v>
      </x:c>
      <x:c r="H430" s="19" t="n">
        <x:v>7</x:v>
      </x:c>
      <x:c r="I430" s="19" t="n">
        <x:v>9</x:v>
      </x:c>
      <x:c r="J430" s="19" t="n">
        <x:v>1</x:v>
      </x:c>
      <x:c r="K430" s="16" t="str">
        <x:v>2. New with slight deterioration</x:v>
      </x:c>
      <x:c r="L430" s="16" t="str">
        <x:v>Very unlikely</x:v>
      </x:c>
      <x:c r="M430" s="16" t="str">
        <x:v>Significant</x:v>
      </x:c>
      <x:c r="N430" s="16" t="str">
        <x:v>Low</x:v>
      </x:c>
    </x:row>
    <x:row r="431" ht="37" customHeight="1">
      <x:c r="A431" s="16" t="str">
        <x:v>RAW-00425</x:v>
      </x:c>
      <x:c r="B431" s="16" t="str">
        <x:v>Observation</x:v>
      </x:c>
      <x:c r="C431" s="16" t="str">
        <x:v>– Back verandah columns have minor corrosion at the lower section and paint deterioration.</x:v>
      </x:c>
      <x:c r="D431" s="16" t="str">
        <x:v>Verandah columns and beams</x:v>
      </x:c>
      <x:c r="E431" s="16" t="str">
        <x:v>SRC-014</x:v>
      </x:c>
      <x:c r="F431" s="16" t="str">
        <x:v>OBS-0114</x:v>
      </x:c>
      <x:c r="G431" s="16" t="str">
        <x:v>正式报告</x:v>
      </x:c>
      <x:c r="H431" s="19" t="n">
        <x:v>7</x:v>
      </x:c>
      <x:c r="I431" s="19" t="n">
        <x:v>10</x:v>
      </x:c>
      <x:c r="J431" s="19" t="n">
        <x:v>4</x:v>
      </x:c>
      <x:c r="K431" s="16" t="str">
        <x:v>2. New with slight deterioration</x:v>
      </x:c>
      <x:c r="L431" s="16" t="str">
        <x:v>Very unlikely</x:v>
      </x:c>
      <x:c r="M431" s="16" t="str">
        <x:v>Significant</x:v>
      </x:c>
      <x:c r="N431" s="16" t="str">
        <x:v>Low</x:v>
      </x:c>
    </x:row>
    <x:row r="432" ht="37" customHeight="1">
      <x:c r="A432" s="16" t="str">
        <x:v>RAW-00426</x:v>
      </x:c>
      <x:c r="B432" s="16" t="str">
        <x:v>Recommendation</x:v>
      </x:c>
      <x:c r="C432" s="16" t="str">
        <x:v>– Clean, wire brush and repaint.</x:v>
      </x:c>
      <x:c r="D432" s="16" t="str">
        <x:v>Verandah columns and beams</x:v>
      </x:c>
      <x:c r="E432" s="16" t="str">
        <x:v>SRC-014</x:v>
      </x:c>
      <x:c r="F432" s="16" t="str">
        <x:v>REC-0001</x:v>
      </x:c>
      <x:c r="G432" s="16" t="str">
        <x:v>正式报告</x:v>
      </x:c>
      <x:c r="H432" s="19" t="n">
        <x:v>7</x:v>
      </x:c>
      <x:c r="I432" s="19" t="n">
        <x:v>10</x:v>
      </x:c>
      <x:c r="J432" s="19" t="n">
        <x:v>4</x:v>
      </x:c>
      <x:c r="K432" s="16" t="str">
        <x:v>2. New with slight deterioration</x:v>
      </x:c>
      <x:c r="L432" s="16" t="str">
        <x:v>Very unlikely</x:v>
      </x:c>
      <x:c r="M432" s="16" t="str">
        <x:v>Significant</x:v>
      </x:c>
      <x:c r="N432" s="16" t="str">
        <x:v>Low</x:v>
      </x:c>
    </x:row>
    <x:row r="433" ht="37" customHeight="1">
      <x:c r="A433" s="16" t="str">
        <x:v>RAW-00427</x:v>
      </x:c>
      <x:c r="B433" s="16" t="str">
        <x:v>Observation</x:v>
      </x:c>
      <x:c r="C433" s="16" t="str">
        <x:v>– Left hand side of house facing front. Corrosion at the bottom of the fence where water is pooling.</x:v>
      </x:c>
      <x:c r="D433" s="16" t="str">
        <x:v>Fencing</x:v>
      </x:c>
      <x:c r="E433" s="16" t="str">
        <x:v>SRC-014</x:v>
      </x:c>
      <x:c r="F433" s="16" t="str">
        <x:v>OBS-0348</x:v>
      </x:c>
      <x:c r="G433" s="16" t="str">
        <x:v>正式报告</x:v>
      </x:c>
      <x:c r="H433" s="19" t="n">
        <x:v>8</x:v>
      </x:c>
      <x:c r="I433" s="19" t="n">
        <x:v>6</x:v>
      </x:c>
      <x:c r="J433" s="19" t="n">
        <x:v>3</x:v>
      </x:c>
      <x:c r="K433" s="16" t="str">
        <x:v>4. Moderate deterioration</x:v>
      </x:c>
      <x:c r="L433" s="16" t="str">
        <x:v>Possible</x:v>
      </x:c>
      <x:c r="M433" s="16" t="str">
        <x:v>Negligible</x:v>
      </x:c>
      <x:c r="N433" s="16" t="str">
        <x:v>Low</x:v>
      </x:c>
    </x:row>
    <x:row r="434" ht="37" customHeight="1">
      <x:c r="A434" s="16" t="str">
        <x:v>RAW-00428</x:v>
      </x:c>
      <x:c r="B434" s="16" t="str">
        <x:v>Recommendation</x:v>
      </x:c>
      <x:c r="C434" s="16" t="str">
        <x:v>– Clean, wire brush and repaint.</x:v>
      </x:c>
      <x:c r="D434" s="16" t="str">
        <x:v>Fencing</x:v>
      </x:c>
      <x:c r="E434" s="16" t="str">
        <x:v>SRC-014</x:v>
      </x:c>
      <x:c r="F434" s="16" t="str">
        <x:v>REC-0001</x:v>
      </x:c>
      <x:c r="G434" s="16" t="str">
        <x:v>正式报告</x:v>
      </x:c>
      <x:c r="H434" s="19" t="n">
        <x:v>8</x:v>
      </x:c>
      <x:c r="I434" s="19" t="n">
        <x:v>6</x:v>
      </x:c>
      <x:c r="J434" s="19" t="n">
        <x:v>3</x:v>
      </x:c>
      <x:c r="K434" s="16" t="str">
        <x:v>4. Moderate deterioration</x:v>
      </x:c>
      <x:c r="L434" s="16" t="str">
        <x:v>Possible</x:v>
      </x:c>
      <x:c r="M434" s="16" t="str">
        <x:v>Negligible</x:v>
      </x:c>
      <x:c r="N434" s="16" t="str">
        <x:v>Low</x:v>
      </x:c>
    </x:row>
    <x:row r="435" ht="37" customHeight="1">
      <x:c r="A435" s="16" t="str">
        <x:v>RAW-00429</x:v>
      </x:c>
      <x:c r="B435" s="16" t="str">
        <x:v>Observation</x:v>
      </x:c>
      <x:c r="C435" s="16" t="str">
        <x:v>– Front verandah.</x:v>
      </x:c>
      <x:c r="D435" s="16" t="str">
        <x:v>Triple grips</x:v>
      </x:c>
      <x:c r="E435" s="16" t="str">
        <x:v>SRC-014</x:v>
      </x:c>
      <x:c r="F435" s="16" t="str">
        <x:v>OBS-0014</x:v>
      </x:c>
      <x:c r="G435" s="16" t="str">
        <x:v>正式报告</x:v>
      </x:c>
      <x:c r="H435" s="19" t="n">
        <x:v>9</x:v>
      </x:c>
      <x:c r="I435" s="19" t="n">
        <x:v>6</x:v>
      </x:c>
      <x:c r="J435" s="19" t="n">
        <x:v>1</x:v>
      </x:c>
      <x:c r="K435" s="16" t="str">
        <x:v>2. New with slight deterioration</x:v>
      </x:c>
      <x:c r="L435" s="16" t="str">
        <x:v>Very unlikely</x:v>
      </x:c>
      <x:c r="M435" s="16" t="str">
        <x:v>Significant</x:v>
      </x:c>
      <x:c r="N435" s="16" t="str">
        <x:v>Low</x:v>
      </x:c>
    </x:row>
    <x:row r="436" ht="37" customHeight="1">
      <x:c r="A436" s="16" t="str">
        <x:v>RAW-00430</x:v>
      </x:c>
      <x:c r="B436" s="16" t="str">
        <x:v>Observation</x:v>
      </x:c>
      <x:c r="C436" s="16" t="str">
        <x:v>– Front verandah. Corrosion and paint deterioration on triple grips.</x:v>
      </x:c>
      <x:c r="D436" s="16" t="str">
        <x:v>Triple grips</x:v>
      </x:c>
      <x:c r="E436" s="16" t="str">
        <x:v>SRC-014</x:v>
      </x:c>
      <x:c r="F436" s="16" t="str">
        <x:v>OBS-0301</x:v>
      </x:c>
      <x:c r="G436" s="16" t="str">
        <x:v>正式报告</x:v>
      </x:c>
      <x:c r="H436" s="19" t="n">
        <x:v>9</x:v>
      </x:c>
      <x:c r="I436" s="19" t="n">
        <x:v>7</x:v>
      </x:c>
      <x:c r="J436" s="19" t="n">
        <x:v>3</x:v>
      </x:c>
      <x:c r="K436" s="16" t="str">
        <x:v>2. New with slight deterioration</x:v>
      </x:c>
      <x:c r="L436" s="16" t="str">
        <x:v>Very unlikely</x:v>
      </x:c>
      <x:c r="M436" s="16" t="str">
        <x:v>Significant</x:v>
      </x:c>
      <x:c r="N436" s="16" t="str">
        <x:v>Low</x:v>
      </x:c>
    </x:row>
    <x:row r="437" ht="37" customHeight="1">
      <x:c r="A437" s="16" t="str">
        <x:v>RAW-00431</x:v>
      </x:c>
      <x:c r="B437" s="16" t="str">
        <x:v>Recommendation</x:v>
      </x:c>
      <x:c r="C437" s="16" t="str">
        <x:v>– Clean, wire brush and repaint</x:v>
      </x:c>
      <x:c r="D437" s="16" t="str">
        <x:v>Triple grips</x:v>
      </x:c>
      <x:c r="E437" s="16" t="str">
        <x:v>SRC-014</x:v>
      </x:c>
      <x:c r="F437" s="16" t="str">
        <x:v>REC-0001</x:v>
      </x:c>
      <x:c r="G437" s="16" t="str">
        <x:v>正式报告</x:v>
      </x:c>
      <x:c r="H437" s="19" t="n">
        <x:v>9</x:v>
      </x:c>
      <x:c r="I437" s="19" t="n">
        <x:v>7</x:v>
      </x:c>
      <x:c r="J437" s="19" t="n">
        <x:v>3</x:v>
      </x:c>
      <x:c r="K437" s="16" t="str">
        <x:v>2. New with slight deterioration</x:v>
      </x:c>
      <x:c r="L437" s="16" t="str">
        <x:v>Very unlikely</x:v>
      </x:c>
      <x:c r="M437" s="16" t="str">
        <x:v>Significant</x:v>
      </x:c>
      <x:c r="N437" s="16" t="str">
        <x:v>Low</x:v>
      </x:c>
    </x:row>
    <x:row r="438" ht="41" customHeight="1">
      <x:c r="A438" s="16" t="str">
        <x:v>RAW-00432</x:v>
      </x:c>
      <x:c r="B438" s="16" t="str">
        <x:v>Observation</x:v>
      </x:c>
      <x:c r="C438" s="16" t="str">
        <x:v>– Overview of columns at front of house. The circled Column in red has severely corroded. All other columns are in good condition.</x:v>
      </x:c>
      <x:c r="D438" s="16" t="str">
        <x:v>Verandah column</x:v>
      </x:c>
      <x:c r="E438" s="16" t="str">
        <x:v>SRC-015</x:v>
      </x:c>
      <x:c r="F438" s="16" t="str">
        <x:v>OBS-0425</x:v>
      </x:c>
      <x:c r="G438" s="16" t="str">
        <x:v>正式报告</x:v>
      </x:c>
      <x:c r="H438" s="19" t="n">
        <x:v>3</x:v>
      </x:c>
      <x:c r="I438" s="19" t="n">
        <x:v>6</x:v>
      </x:c>
      <x:c r="J438" s="19" t="n">
        <x:v>1</x:v>
      </x:c>
      <x:c r="K438" s="16" t="str">
        <x:v>7. Very severe deterioration</x:v>
      </x:c>
      <x:c r="L438" s="16" t="str">
        <x:v>Very likely</x:v>
      </x:c>
      <x:c r="M438" s="16" t="str">
        <x:v>Severe</x:v>
      </x:c>
      <x:c r="N438" s="16" t="str">
        <x:v>Urgent</x:v>
      </x:c>
    </x:row>
    <x:row r="439" ht="41" customHeight="1">
      <x:c r="A439" s="16" t="str">
        <x:v>RAW-00433</x:v>
      </x:c>
      <x:c r="B439" s="16" t="str">
        <x:v>Observation</x:v>
      </x:c>
      <x:c r="C439" s="16" t="str">
        <x:v>– Water running from the tap attached to this Column is the cause of severe corrosion at the lower portion of the column.</x:v>
      </x:c>
      <x:c r="D439" s="16" t="str">
        <x:v>Verandah column</x:v>
      </x:c>
      <x:c r="E439" s="16" t="str">
        <x:v>SRC-015</x:v>
      </x:c>
      <x:c r="F439" s="16" t="str">
        <x:v>OBS-0604</x:v>
      </x:c>
      <x:c r="G439" s="16" t="str">
        <x:v>正式报告</x:v>
      </x:c>
      <x:c r="H439" s="19" t="n">
        <x:v>3</x:v>
      </x:c>
      <x:c r="I439" s="19" t="n">
        <x:v>7</x:v>
      </x:c>
      <x:c r="J439" s="19" t="n">
        <x:v>2</x:v>
      </x:c>
      <x:c r="K439" s="16" t="str">
        <x:v>7. Very severe deterioration</x:v>
      </x:c>
      <x:c r="L439" s="16" t="str">
        <x:v>Very likely</x:v>
      </x:c>
      <x:c r="M439" s="16" t="str">
        <x:v>Severe</x:v>
      </x:c>
      <x:c r="N439" s="16" t="str">
        <x:v>Urgent</x:v>
      </x:c>
    </x:row>
    <x:row r="440" ht="37" customHeight="1">
      <x:c r="A440" s="16" t="str">
        <x:v>RAW-00434</x:v>
      </x:c>
      <x:c r="B440" s="16" t="str">
        <x:v>Recommendation</x:v>
      </x:c>
      <x:c r="C440" s="16" t="str">
        <x:v>–Replace post to match existing as soon as possible.</x:v>
      </x:c>
      <x:c r="D440" s="16" t="str">
        <x:v>Verandah column</x:v>
      </x:c>
      <x:c r="E440" s="16" t="str">
        <x:v>SRC-015</x:v>
      </x:c>
      <x:c r="F440" s="16" t="str">
        <x:v>REC-0148</x:v>
      </x:c>
      <x:c r="G440" s="16" t="str">
        <x:v>正式报告</x:v>
      </x:c>
      <x:c r="H440" s="19" t="n">
        <x:v>3</x:v>
      </x:c>
      <x:c r="I440" s="19" t="n">
        <x:v>7</x:v>
      </x:c>
      <x:c r="J440" s="19" t="n">
        <x:v>2</x:v>
      </x:c>
      <x:c r="K440" s="16" t="str">
        <x:v>7. Very severe deterioration</x:v>
      </x:c>
      <x:c r="L440" s="16" t="str">
        <x:v>Very likely</x:v>
      </x:c>
      <x:c r="M440" s="16" t="str">
        <x:v>Severe</x:v>
      </x:c>
      <x:c r="N440" s="16" t="str">
        <x:v>Urgent</x:v>
      </x:c>
    </x:row>
    <x:row r="441" ht="41" customHeight="1">
      <x:c r="A441" s="16" t="str">
        <x:v>RAW-00435</x:v>
      </x:c>
      <x:c r="B441" s="16" t="str">
        <x:v>Observation</x:v>
      </x:c>
      <x:c r="C441" s="16" t="str">
        <x:v>– Right-hand side corner facing back wall of house.
Tek screws and flange of top-hat corroded away.</x:v>
      </x:c>
      <x:c r="D441" s="16" t="str">
        <x:v>Top hats and Tek screws</x:v>
      </x:c>
      <x:c r="E441" s="16" t="str">
        <x:v>SRC-015</x:v>
      </x:c>
      <x:c r="F441" s="16" t="str">
        <x:v>OBS-0511</x:v>
      </x:c>
      <x:c r="G441" s="16" t="str">
        <x:v>正式报告</x:v>
      </x:c>
      <x:c r="H441" s="19" t="n">
        <x:v>4</x:v>
      </x:c>
      <x:c r="I441" s="19" t="n">
        <x:v>6</x:v>
      </x:c>
      <x:c r="J441" s="19" t="n">
        <x:v>2</x:v>
      </x:c>
      <x:c r="K441" s="16" t="str">
        <x:v>6. Severe deterioration</x:v>
      </x:c>
      <x:c r="L441" s="16" t="str">
        <x:v>Very likely</x:v>
      </x:c>
      <x:c r="M441" s="16" t="str">
        <x:v>Moderate</x:v>
      </x:c>
      <x:c r="N441" s="16" t="str">
        <x:v>Critical</x:v>
      </x:c>
    </x:row>
    <x:row r="442" ht="37" customHeight="1">
      <x:c r="A442" s="16" t="str">
        <x:v>RAW-00436</x:v>
      </x:c>
      <x:c r="B442" s="16" t="str">
        <x:v>Recommendation</x:v>
      </x:c>
      <x:c r="C442" s="16" t="str">
        <x:v>– Replace Tek screws and top hats to match existing and to manufacturer's specifications.</x:v>
      </x:c>
      <x:c r="D442" s="16" t="str">
        <x:v>Top hats and Tek screws</x:v>
      </x:c>
      <x:c r="E442" s="16" t="str">
        <x:v>SRC-015</x:v>
      </x:c>
      <x:c r="F442" s="16" t="str">
        <x:v>REC-0039</x:v>
      </x:c>
      <x:c r="G442" s="16" t="str">
        <x:v>正式报告</x:v>
      </x:c>
      <x:c r="H442" s="19" t="n">
        <x:v>4</x:v>
      </x:c>
      <x:c r="I442" s="19" t="n">
        <x:v>6</x:v>
      </x:c>
      <x:c r="J442" s="19" t="n">
        <x:v>2</x:v>
      </x:c>
      <x:c r="K442" s="16" t="str">
        <x:v>6. Severe deterioration</x:v>
      </x:c>
      <x:c r="L442" s="16" t="str">
        <x:v>Very likely</x:v>
      </x:c>
      <x:c r="M442" s="16" t="str">
        <x:v>Moderate</x:v>
      </x:c>
      <x:c r="N442" s="16" t="str">
        <x:v>Critical</x:v>
      </x:c>
    </x:row>
    <x:row r="443" ht="37" customHeight="1">
      <x:c r="A443" s="16" t="str">
        <x:v>RAW-00437</x:v>
      </x:c>
      <x:c r="B443" s="16" t="str">
        <x:v>Observation</x:v>
      </x:c>
      <x:c r="C443" s="16" t="str">
        <x:v>– Left-hand side facing front of house. Tek screws and flange of top-hat corroded away.</x:v>
      </x:c>
      <x:c r="D443" s="16" t="str">
        <x:v>Top hats and Tek screws</x:v>
      </x:c>
      <x:c r="E443" s="16" t="str">
        <x:v>SRC-015</x:v>
      </x:c>
      <x:c r="F443" s="16" t="str">
        <x:v>OBS-0367</x:v>
      </x:c>
      <x:c r="G443" s="16" t="str">
        <x:v>正式报告</x:v>
      </x:c>
      <x:c r="H443" s="19" t="n">
        <x:v>4</x:v>
      </x:c>
      <x:c r="I443" s="19" t="n">
        <x:v>7</x:v>
      </x:c>
      <x:c r="J443" s="19" t="n">
        <x:v>1</x:v>
      </x:c>
      <x:c r="K443" s="16" t="str">
        <x:v>6. Severe deterioration</x:v>
      </x:c>
      <x:c r="L443" s="16" t="str">
        <x:v>Very likely</x:v>
      </x:c>
      <x:c r="M443" s="16" t="str">
        <x:v>Moderate</x:v>
      </x:c>
      <x:c r="N443" s="16" t="str">
        <x:v>Critical</x:v>
      </x:c>
    </x:row>
    <x:row r="444" ht="37" customHeight="1">
      <x:c r="A444" s="16" t="str">
        <x:v>RAW-00438</x:v>
      </x:c>
      <x:c r="B444" s="16" t="str">
        <x:v>Recommendation</x:v>
      </x:c>
      <x:c r="C444" s="16" t="str">
        <x:v>– Replace Tek screws and top hats to match existing and to manufacturer's specifications.</x:v>
      </x:c>
      <x:c r="D444" s="16" t="str">
        <x:v>Top hats and Tek screws</x:v>
      </x:c>
      <x:c r="E444" s="16" t="str">
        <x:v>SRC-015</x:v>
      </x:c>
      <x:c r="F444" s="16" t="str">
        <x:v>REC-0039</x:v>
      </x:c>
      <x:c r="G444" s="16" t="str">
        <x:v>正式报告</x:v>
      </x:c>
      <x:c r="H444" s="19" t="n">
        <x:v>4</x:v>
      </x:c>
      <x:c r="I444" s="19" t="n">
        <x:v>7</x:v>
      </x:c>
      <x:c r="J444" s="19" t="n">
        <x:v>1</x:v>
      </x:c>
      <x:c r="K444" s="16" t="str">
        <x:v>6. Severe deterioration</x:v>
      </x:c>
      <x:c r="L444" s="16" t="str">
        <x:v>Very likely</x:v>
      </x:c>
      <x:c r="M444" s="16" t="str">
        <x:v>Moderate</x:v>
      </x:c>
      <x:c r="N444" s="16" t="str">
        <x:v>Critical</x:v>
      </x:c>
    </x:row>
    <x:row r="445" ht="41" customHeight="1">
      <x:c r="A445" s="16" t="str">
        <x:v>RAW-00439</x:v>
      </x:c>
      <x:c r="B445" s="16" t="str">
        <x:v>Observation</x:v>
      </x:c>
      <x:c r="C445" s="16" t="str">
        <x:v>– Left-hand side facing front of house. Rafter ends showing signs of moderate corrosion. Corrosion of rafters is most pronounced on the left-hand side of the property when compared to other sections.</x:v>
      </x:c>
      <x:c r="D445" s="16" t="str">
        <x:v>Rafters</x:v>
      </x:c>
      <x:c r="E445" s="16" t="str">
        <x:v>SRC-015</x:v>
      </x:c>
      <x:c r="F445" s="16" t="str">
        <x:v>OBS-0366</x:v>
      </x:c>
      <x:c r="G445" s="16" t="str">
        <x:v>正式报告</x:v>
      </x:c>
      <x:c r="H445" s="19" t="n">
        <x:v>5</x:v>
      </x:c>
      <x:c r="I445" s="19" t="n">
        <x:v>6</x:v>
      </x:c>
      <x:c r="J445" s="19" t="n">
        <x:v>1</x:v>
      </x:c>
      <x:c r="K445" s="16" t="str">
        <x:v>4. Moderate deterioration</x:v>
      </x:c>
      <x:c r="L445" s="16" t="str">
        <x:v>Possible</x:v>
      </x:c>
      <x:c r="M445" s="16" t="str">
        <x:v>Minor</x:v>
      </x:c>
      <x:c r="N445" s="16" t="str">
        <x:v>Moderate</x:v>
      </x:c>
    </x:row>
    <x:row r="446" ht="37" customHeight="1">
      <x:c r="A446" s="16" t="str">
        <x:v>RAW-00440</x:v>
      </x:c>
      <x:c r="B446" s="16" t="str">
        <x:v>Observation</x:v>
      </x:c>
      <x:c r="C446" s="16" t="str">
        <x:v>– Left-hand side facing front of house.</x:v>
      </x:c>
      <x:c r="D446" s="16" t="str">
        <x:v>Rafters</x:v>
      </x:c>
      <x:c r="E446" s="16" t="str">
        <x:v>SRC-015</x:v>
      </x:c>
      <x:c r="F446" s="16" t="str">
        <x:v>OBS-0365</x:v>
      </x:c>
      <x:c r="G446" s="16" t="str">
        <x:v>正式报告</x:v>
      </x:c>
      <x:c r="H446" s="19" t="n">
        <x:v>5</x:v>
      </x:c>
      <x:c r="I446" s="19" t="n">
        <x:v>7</x:v>
      </x:c>
      <x:c r="J446" s="19" t="n">
        <x:v>1</x:v>
      </x:c>
      <x:c r="K446" s="16" t="str">
        <x:v>4. Moderate deterioration</x:v>
      </x:c>
      <x:c r="L446" s="16" t="str">
        <x:v>Possible</x:v>
      </x:c>
      <x:c r="M446" s="16" t="str">
        <x:v>Minor</x:v>
      </x:c>
      <x:c r="N446" s="16" t="str">
        <x:v>Moderate</x:v>
      </x:c>
    </x:row>
    <x:row r="447" ht="37" customHeight="1">
      <x:c r="A447" s="16" t="str">
        <x:v>RAW-00441</x:v>
      </x:c>
      <x:c r="B447" s="16" t="str">
        <x:v>Recommendation</x:v>
      </x:c>
      <x:c r="C447" s="16" t="str">
        <x:v>– Clean, remove corrosion and repaint rafters.</x:v>
      </x:c>
      <x:c r="D447" s="16" t="str">
        <x:v>Rafters</x:v>
      </x:c>
      <x:c r="E447" s="16" t="str">
        <x:v>SRC-015</x:v>
      </x:c>
      <x:c r="F447" s="16" t="str">
        <x:v>REC-0064</x:v>
      </x:c>
      <x:c r="G447" s="16" t="str">
        <x:v>正式报告</x:v>
      </x:c>
      <x:c r="H447" s="19" t="n">
        <x:v>5</x:v>
      </x:c>
      <x:c r="I447" s="19" t="n">
        <x:v>7</x:v>
      </x:c>
      <x:c r="J447" s="19" t="n">
        <x:v>1</x:v>
      </x:c>
      <x:c r="K447" s="16" t="str">
        <x:v>4. Moderate deterioration</x:v>
      </x:c>
      <x:c r="L447" s="16" t="str">
        <x:v>Possible</x:v>
      </x:c>
      <x:c r="M447" s="16" t="str">
        <x:v>Minor</x:v>
      </x:c>
      <x:c r="N447" s="16" t="str">
        <x:v>Moderate</x:v>
      </x:c>
    </x:row>
    <x:row r="448" ht="37" customHeight="1">
      <x:c r="A448" s="16" t="str">
        <x:v>RAW-00442</x:v>
      </x:c>
      <x:c r="B448" s="16" t="str">
        <x:v>Observation</x:v>
      </x:c>
      <x:c r="C448" s="16" t="str">
        <x:v>– Front wall cladding in good condition</x:v>
      </x:c>
      <x:c r="D448" s="16" t="str">
        <x:v>Steel cladding</x:v>
      </x:c>
      <x:c r="E448" s="16" t="str">
        <x:v>SRC-015</x:v>
      </x:c>
      <x:c r="F448" s="16" t="str">
        <x:v>OBS-0025</x:v>
      </x:c>
      <x:c r="G448" s="16" t="str">
        <x:v>正式报告</x:v>
      </x:c>
      <x:c r="H448" s="19" t="n">
        <x:v>6</x:v>
      </x:c>
      <x:c r="I448" s="19" t="n">
        <x:v>6</x:v>
      </x:c>
      <x:c r="J448" s="19" t="n">
        <x:v>1</x:v>
      </x:c>
      <x:c r="K448" s="16" t="str">
        <x:v>3. Minor deterioration</x:v>
      </x:c>
      <x:c r="L448" s="16" t="str">
        <x:v>Unlikely</x:v>
      </x:c>
      <x:c r="M448" s="16" t="str">
        <x:v>Minor</x:v>
      </x:c>
      <x:c r="N448" s="16" t="str">
        <x:v>Low</x:v>
      </x:c>
    </x:row>
    <x:row r="449" ht="37" customHeight="1">
      <x:c r="A449" s="16" t="str">
        <x:v>RAW-00443</x:v>
      </x:c>
      <x:c r="B449" s="16" t="str">
        <x:v>Observation</x:v>
      </x:c>
      <x:c r="C449" s="16" t="str">
        <x:v>– Back wall cladding in good condition</x:v>
      </x:c>
      <x:c r="D449" s="16" t="str">
        <x:v>Steel cladding</x:v>
      </x:c>
      <x:c r="E449" s="16" t="str">
        <x:v>SRC-015</x:v>
      </x:c>
      <x:c r="F449" s="16" t="str">
        <x:v>OBS-0122</x:v>
      </x:c>
      <x:c r="G449" s="16" t="str">
        <x:v>正式报告</x:v>
      </x:c>
      <x:c r="H449" s="19" t="n">
        <x:v>6</x:v>
      </x:c>
      <x:c r="I449" s="19" t="n">
        <x:v>7</x:v>
      </x:c>
      <x:c r="J449" s="19" t="n">
        <x:v>1</x:v>
      </x:c>
      <x:c r="K449" s="16" t="str">
        <x:v>3. Minor deterioration</x:v>
      </x:c>
      <x:c r="L449" s="16" t="str">
        <x:v>Unlikely</x:v>
      </x:c>
      <x:c r="M449" s="16" t="str">
        <x:v>Minor</x:v>
      </x:c>
      <x:c r="N449" s="16" t="str">
        <x:v>Low</x:v>
      </x:c>
    </x:row>
    <x:row r="450" ht="37" customHeight="1">
      <x:c r="A450" s="16" t="str">
        <x:v>RAW-00444</x:v>
      </x:c>
      <x:c r="B450" s="16" t="str">
        <x:v>Observation</x:v>
      </x:c>
      <x:c r="C450" s="16" t="str">
        <x:v>– Surface corrosion at pipe outlet</x:v>
      </x:c>
      <x:c r="D450" s="16" t="str">
        <x:v>Steel cladding</x:v>
      </x:c>
      <x:c r="E450" s="16" t="str">
        <x:v>SRC-015</x:v>
      </x:c>
      <x:c r="F450" s="16" t="str">
        <x:v>OBS-0086</x:v>
      </x:c>
      <x:c r="G450" s="16" t="str">
        <x:v>正式报告</x:v>
      </x:c>
      <x:c r="H450" s="19" t="n">
        <x:v>6</x:v>
      </x:c>
      <x:c r="I450" s="19" t="n">
        <x:v>8</x:v>
      </x:c>
      <x:c r="J450" s="19" t="n">
        <x:v>2</x:v>
      </x:c>
      <x:c r="K450" s="16" t="str">
        <x:v>3. Minor deterioration</x:v>
      </x:c>
      <x:c r="L450" s="16" t="str">
        <x:v>Unlikely</x:v>
      </x:c>
      <x:c r="M450" s="16" t="str">
        <x:v>Minor</x:v>
      </x:c>
      <x:c r="N450" s="16" t="str">
        <x:v>Low</x:v>
      </x:c>
    </x:row>
    <x:row r="451" ht="37" customHeight="1">
      <x:c r="A451" s="16" t="str">
        <x:v>RAW-00445</x:v>
      </x:c>
      <x:c r="B451" s="16" t="str">
        <x:v>Recommendation</x:v>
      </x:c>
      <x:c r="C451" s="16" t="str">
        <x:v>– Clean, remove corrosion and repaint.</x:v>
      </x:c>
      <x:c r="D451" s="16" t="str">
        <x:v>Steel cladding</x:v>
      </x:c>
      <x:c r="E451" s="16" t="str">
        <x:v>SRC-015</x:v>
      </x:c>
      <x:c r="F451" s="16" t="str">
        <x:v>REC-0002</x:v>
      </x:c>
      <x:c r="G451" s="16" t="str">
        <x:v>正式报告</x:v>
      </x:c>
      <x:c r="H451" s="19" t="n">
        <x:v>6</x:v>
      </x:c>
      <x:c r="I451" s="19" t="n">
        <x:v>8</x:v>
      </x:c>
      <x:c r="J451" s="19" t="n">
        <x:v>2</x:v>
      </x:c>
      <x:c r="K451" s="16" t="str">
        <x:v>3. Minor deterioration</x:v>
      </x:c>
      <x:c r="L451" s="16" t="str">
        <x:v>Unlikely</x:v>
      </x:c>
      <x:c r="M451" s="16" t="str">
        <x:v>Minor</x:v>
      </x:c>
      <x:c r="N451" s="16" t="str">
        <x:v>Low</x:v>
      </x:c>
    </x:row>
    <x:row r="452" ht="37" customHeight="1">
      <x:c r="A452" s="16" t="str">
        <x:v>RAW-00446</x:v>
      </x:c>
      <x:c r="B452" s="16" t="str">
        <x:v>Observation</x:v>
      </x:c>
      <x:c r="C452" s="16" t="str">
        <x:v>– Front verandah columns overview</x:v>
      </x:c>
      <x:c r="D452" s="16" t="str">
        <x:v>Verandah columns and beams</x:v>
      </x:c>
      <x:c r="E452" s="16" t="str">
        <x:v>SRC-015</x:v>
      </x:c>
      <x:c r="F452" s="16" t="str">
        <x:v>OBS-0052</x:v>
      </x:c>
      <x:c r="G452" s="16" t="str">
        <x:v>正式报告</x:v>
      </x:c>
      <x:c r="H452" s="19" t="n">
        <x:v>7</x:v>
      </x:c>
      <x:c r="I452" s="19" t="n">
        <x:v>6</x:v>
      </x:c>
      <x:c r="J452" s="19" t="n">
        <x:v>1</x:v>
      </x:c>
      <x:c r="K452" s="16" t="str">
        <x:v>2. New with slight deterioration</x:v>
      </x:c>
      <x:c r="L452" s="16" t="str">
        <x:v>Very unlikely</x:v>
      </x:c>
      <x:c r="M452" s="16" t="str">
        <x:v>Significant</x:v>
      </x:c>
      <x:c r="N452" s="16" t="str">
        <x:v>Low</x:v>
      </x:c>
    </x:row>
    <x:row r="453" ht="37" customHeight="1">
      <x:c r="A453" s="16" t="str">
        <x:v>RAW-00447</x:v>
      </x:c>
      <x:c r="B453" s="16" t="str">
        <x:v>Observation</x:v>
      </x:c>
      <x:c r="C453" s="16" t="str">
        <x:v>– left hand side corner facing front of house. Deterioration of paint.</x:v>
      </x:c>
      <x:c r="D453" s="16" t="str">
        <x:v>Verandah columns and beams</x:v>
      </x:c>
      <x:c r="E453" s="16" t="str">
        <x:v>SRC-015</x:v>
      </x:c>
      <x:c r="F453" s="16" t="str">
        <x:v>OBS-0056</x:v>
      </x:c>
      <x:c r="G453" s="16" t="str">
        <x:v>正式报告</x:v>
      </x:c>
      <x:c r="H453" s="19" t="n">
        <x:v>7</x:v>
      </x:c>
      <x:c r="I453" s="19" t="n">
        <x:v>7</x:v>
      </x:c>
      <x:c r="J453" s="19" t="n">
        <x:v>2</x:v>
      </x:c>
      <x:c r="K453" s="16" t="str">
        <x:v>2. New with slight deterioration</x:v>
      </x:c>
      <x:c r="L453" s="16" t="str">
        <x:v>Very unlikely</x:v>
      </x:c>
      <x:c r="M453" s="16" t="str">
        <x:v>Significant</x:v>
      </x:c>
      <x:c r="N453" s="16" t="str">
        <x:v>Low</x:v>
      </x:c>
    </x:row>
    <x:row r="454" ht="37" customHeight="1">
      <x:c r="A454" s="16" t="str">
        <x:v>RAW-00448</x:v>
      </x:c>
      <x:c r="B454" s="16" t="str">
        <x:v>Recommendation</x:v>
      </x:c>
      <x:c r="C454" s="16" t="str">
        <x:v>– Clean, remove peeling paint and repaint.</x:v>
      </x:c>
      <x:c r="D454" s="16" t="str">
        <x:v>Verandah columns and beams</x:v>
      </x:c>
      <x:c r="E454" s="16" t="str">
        <x:v>SRC-015</x:v>
      </x:c>
      <x:c r="F454" s="16" t="str">
        <x:v>REC-0010</x:v>
      </x:c>
      <x:c r="G454" s="16" t="str">
        <x:v>正式报告</x:v>
      </x:c>
      <x:c r="H454" s="19" t="n">
        <x:v>7</x:v>
      </x:c>
      <x:c r="I454" s="19" t="n">
        <x:v>7</x:v>
      </x:c>
      <x:c r="J454" s="19" t="n">
        <x:v>2</x:v>
      </x:c>
      <x:c r="K454" s="16" t="str">
        <x:v>2. New with slight deterioration</x:v>
      </x:c>
      <x:c r="L454" s="16" t="str">
        <x:v>Very unlikely</x:v>
      </x:c>
      <x:c r="M454" s="16" t="str">
        <x:v>Significant</x:v>
      </x:c>
      <x:c r="N454" s="16" t="str">
        <x:v>Low</x:v>
      </x:c>
    </x:row>
    <x:row r="455" ht="37" customHeight="1">
      <x:c r="A455" s="16" t="str">
        <x:v>RAW-00449</x:v>
      </x:c>
      <x:c r="B455" s="16" t="str">
        <x:v>Observation</x:v>
      </x:c>
      <x:c r="C455" s="16" t="str">
        <x:v>– Column 5 from the left-hand side. Staining and paint deterioration.</x:v>
      </x:c>
      <x:c r="D455" s="16" t="str">
        <x:v>Verandah columns and beams</x:v>
      </x:c>
      <x:c r="E455" s="16" t="str">
        <x:v>SRC-015</x:v>
      </x:c>
      <x:c r="F455" s="16" t="str">
        <x:v>OBS-0205</x:v>
      </x:c>
      <x:c r="G455" s="16" t="str">
        <x:v>正式报告</x:v>
      </x:c>
      <x:c r="H455" s="19" t="n">
        <x:v>7</x:v>
      </x:c>
      <x:c r="I455" s="19" t="n">
        <x:v>8</x:v>
      </x:c>
      <x:c r="J455" s="19" t="n">
        <x:v>1</x:v>
      </x:c>
      <x:c r="K455" s="16" t="str">
        <x:v>2. New with slight deterioration</x:v>
      </x:c>
      <x:c r="L455" s="16" t="str">
        <x:v>Very unlikely</x:v>
      </x:c>
      <x:c r="M455" s="16" t="str">
        <x:v>Significant</x:v>
      </x:c>
      <x:c r="N455" s="16" t="str">
        <x:v>Low</x:v>
      </x:c>
    </x:row>
    <x:row r="456" ht="37" customHeight="1">
      <x:c r="A456" s="16" t="str">
        <x:v>RAW-00450</x:v>
      </x:c>
      <x:c r="B456" s="16" t="str">
        <x:v>Recommendation</x:v>
      </x:c>
      <x:c r="C456" s="16" t="str">
        <x:v>– Clean, remove peeling paint and repaint.</x:v>
      </x:c>
      <x:c r="D456" s="16" t="str">
        <x:v>Verandah columns and beams</x:v>
      </x:c>
      <x:c r="E456" s="16" t="str">
        <x:v>SRC-015</x:v>
      </x:c>
      <x:c r="F456" s="16" t="str">
        <x:v>REC-0010</x:v>
      </x:c>
      <x:c r="G456" s="16" t="str">
        <x:v>正式报告</x:v>
      </x:c>
      <x:c r="H456" s="19" t="n">
        <x:v>7</x:v>
      </x:c>
      <x:c r="I456" s="19" t="n">
        <x:v>8</x:v>
      </x:c>
      <x:c r="J456" s="19" t="n">
        <x:v>1</x:v>
      </x:c>
      <x:c r="K456" s="16" t="str">
        <x:v>2. New with slight deterioration</x:v>
      </x:c>
      <x:c r="L456" s="16" t="str">
        <x:v>Very unlikely</x:v>
      </x:c>
      <x:c r="M456" s="16" t="str">
        <x:v>Significant</x:v>
      </x:c>
      <x:c r="N456" s="16" t="str">
        <x:v>Low</x:v>
      </x:c>
    </x:row>
    <x:row r="457" ht="37" customHeight="1">
      <x:c r="A457" s="16" t="str">
        <x:v>RAW-00451</x:v>
      </x:c>
      <x:c r="B457" s="16" t="str">
        <x:v>Observation</x:v>
      </x:c>
      <x:c r="C457" s="16" t="str">
        <x:v>– Column 6 from the left-hand side. Staining and paint deterioration.</x:v>
      </x:c>
      <x:c r="D457" s="16" t="str">
        <x:v>Verandah columns and beams</x:v>
      </x:c>
      <x:c r="E457" s="16" t="str">
        <x:v>SRC-015</x:v>
      </x:c>
      <x:c r="F457" s="16" t="str">
        <x:v>OBS-0206</x:v>
      </x:c>
      <x:c r="G457" s="16" t="str">
        <x:v>正式报告</x:v>
      </x:c>
      <x:c r="H457" s="19" t="n">
        <x:v>7</x:v>
      </x:c>
      <x:c r="I457" s="19" t="n">
        <x:v>9</x:v>
      </x:c>
      <x:c r="J457" s="19" t="n">
        <x:v>1</x:v>
      </x:c>
      <x:c r="K457" s="16" t="str">
        <x:v>2. New with slight deterioration</x:v>
      </x:c>
      <x:c r="L457" s="16" t="str">
        <x:v>Very unlikely</x:v>
      </x:c>
      <x:c r="M457" s="16" t="str">
        <x:v>Significant</x:v>
      </x:c>
      <x:c r="N457" s="16" t="str">
        <x:v>Low</x:v>
      </x:c>
    </x:row>
    <x:row r="458" ht="37" customHeight="1">
      <x:c r="A458" s="16" t="str">
        <x:v>RAW-00452</x:v>
      </x:c>
      <x:c r="B458" s="16" t="str">
        <x:v>Recommendation</x:v>
      </x:c>
      <x:c r="C458" s="16" t="str">
        <x:v>– Clean staining and wire brush any surface rust and repaint.</x:v>
      </x:c>
      <x:c r="D458" s="16" t="str">
        <x:v>Verandah columns and beams</x:v>
      </x:c>
      <x:c r="E458" s="16" t="str">
        <x:v>SRC-015</x:v>
      </x:c>
      <x:c r="F458" s="16" t="str">
        <x:v>REC-0059</x:v>
      </x:c>
      <x:c r="G458" s="16" t="str">
        <x:v>正式报告</x:v>
      </x:c>
      <x:c r="H458" s="19" t="n">
        <x:v>7</x:v>
      </x:c>
      <x:c r="I458" s="19" t="n">
        <x:v>9</x:v>
      </x:c>
      <x:c r="J458" s="19" t="n">
        <x:v>1</x:v>
      </x:c>
      <x:c r="K458" s="16" t="str">
        <x:v>2. New with slight deterioration</x:v>
      </x:c>
      <x:c r="L458" s="16" t="str">
        <x:v>Very unlikely</x:v>
      </x:c>
      <x:c r="M458" s="16" t="str">
        <x:v>Significant</x:v>
      </x:c>
      <x:c r="N458" s="16" t="str">
        <x:v>Low</x:v>
      </x:c>
    </x:row>
    <x:row r="459" ht="41" customHeight="1">
      <x:c r="A459" s="16" t="str">
        <x:v>RAW-00453</x:v>
      </x:c>
      <x:c r="B459" s="16" t="str">
        <x:v>Observation</x:v>
      </x:c>
      <x:c r="C459" s="16" t="str">
        <x:v>– Overview of columns at front of house. Column 2 circled in red has failed. All other columns in good condition.</x:v>
      </x:c>
      <x:c r="D459" s="16" t="str">
        <x:v>Verandah column</x:v>
      </x:c>
      <x:c r="E459" s="16" t="str">
        <x:v>SRC-016</x:v>
      </x:c>
      <x:c r="F459" s="16" t="str"/>
      <x:c r="G459" s="16" t="str">
        <x:v>审阅或辅助文档</x:v>
      </x:c>
      <x:c r="H459" s="19" t="n">
        <x:v>3</x:v>
      </x:c>
      <x:c r="I459" s="19" t="n">
        <x:v>6</x:v>
      </x:c>
      <x:c r="J459" s="19" t="n">
        <x:v>1</x:v>
      </x:c>
      <x:c r="K459" s="16" t="str">
        <x:v>7. Very severe deterioration</x:v>
      </x:c>
      <x:c r="L459" s="16" t="str">
        <x:v>Very likely</x:v>
      </x:c>
      <x:c r="M459" s="16" t="str">
        <x:v>Severe</x:v>
      </x:c>
      <x:c r="N459" s="16" t="str">
        <x:v>Urgent</x:v>
      </x:c>
    </x:row>
    <x:row r="460" ht="41" customHeight="1">
      <x:c r="A460" s="16" t="str">
        <x:v>RAW-00454</x:v>
      </x:c>
      <x:c r="B460" s="16" t="str">
        <x:v>Observation</x:v>
      </x:c>
      <x:c r="C460" s="16" t="str">
        <x:v>– Water running from the tap attached to Column 2 is the cause of severe corrosion at the lower portion of the column.</x:v>
      </x:c>
      <x:c r="D460" s="16" t="str">
        <x:v>Verandah column</x:v>
      </x:c>
      <x:c r="E460" s="16" t="str">
        <x:v>SRC-016</x:v>
      </x:c>
      <x:c r="F460" s="16" t="str"/>
      <x:c r="G460" s="16" t="str">
        <x:v>审阅或辅助文档</x:v>
      </x:c>
      <x:c r="H460" s="19" t="n">
        <x:v>3</x:v>
      </x:c>
      <x:c r="I460" s="19" t="n">
        <x:v>7</x:v>
      </x:c>
      <x:c r="J460" s="19" t="n">
        <x:v>1</x:v>
      </x:c>
      <x:c r="K460" s="16" t="str">
        <x:v>7. Very severe deterioration</x:v>
      </x:c>
      <x:c r="L460" s="16" t="str">
        <x:v>Very likely</x:v>
      </x:c>
      <x:c r="M460" s="16" t="str">
        <x:v>Severe</x:v>
      </x:c>
      <x:c r="N460" s="16" t="str">
        <x:v>Urgent</x:v>
      </x:c>
    </x:row>
    <x:row r="461" ht="37" customHeight="1">
      <x:c r="A461" s="16" t="str">
        <x:v>RAW-00455</x:v>
      </x:c>
      <x:c r="B461" s="16" t="str">
        <x:v>Observation</x:v>
      </x:c>
      <x:c r="C461" s="16" t="str">
        <x:v>– Column 2 has failed, the lower portion has been corroded away.</x:v>
      </x:c>
      <x:c r="D461" s="16" t="str">
        <x:v>Verandah column</x:v>
      </x:c>
      <x:c r="E461" s="16" t="str">
        <x:v>SRC-016</x:v>
      </x:c>
      <x:c r="F461" s="16" t="str"/>
      <x:c r="G461" s="16" t="str">
        <x:v>审阅或辅助文档</x:v>
      </x:c>
      <x:c r="H461" s="19" t="n">
        <x:v>3</x:v>
      </x:c>
      <x:c r="I461" s="19" t="n">
        <x:v>8</x:v>
      </x:c>
      <x:c r="J461" s="19" t="n">
        <x:v>1</x:v>
      </x:c>
      <x:c r="K461" s="16" t="str">
        <x:v>7. Very severe deterioration</x:v>
      </x:c>
      <x:c r="L461" s="16" t="str">
        <x:v>Very likely</x:v>
      </x:c>
      <x:c r="M461" s="16" t="str">
        <x:v>Severe</x:v>
      </x:c>
      <x:c r="N461" s="16" t="str">
        <x:v>Urgent</x:v>
      </x:c>
    </x:row>
    <x:row r="462" ht="37" customHeight="1">
      <x:c r="A462" s="16" t="str">
        <x:v>RAW-00456</x:v>
      </x:c>
      <x:c r="B462" s="16" t="str">
        <x:v>Recommendation</x:v>
      </x:c>
      <x:c r="C462" s="16" t="str">
        <x:v>– Temporarily prop up. Replace post to match existing as soon as possible.</x:v>
      </x:c>
      <x:c r="D462" s="16" t="str">
        <x:v>Verandah column</x:v>
      </x:c>
      <x:c r="E462" s="16" t="str">
        <x:v>SRC-016</x:v>
      </x:c>
      <x:c r="F462" s="16" t="str"/>
      <x:c r="G462" s="16" t="str">
        <x:v>审阅或辅助文档</x:v>
      </x:c>
      <x:c r="H462" s="19" t="n">
        <x:v>3</x:v>
      </x:c>
      <x:c r="I462" s="19" t="n">
        <x:v>8</x:v>
      </x:c>
      <x:c r="J462" s="19" t="n">
        <x:v>1</x:v>
      </x:c>
      <x:c r="K462" s="16" t="str">
        <x:v>7. Very severe deterioration</x:v>
      </x:c>
      <x:c r="L462" s="16" t="str">
        <x:v>Very likely</x:v>
      </x:c>
      <x:c r="M462" s="16" t="str">
        <x:v>Severe</x:v>
      </x:c>
      <x:c r="N462" s="16" t="str">
        <x:v>Urgent</x:v>
      </x:c>
    </x:row>
    <x:row r="463" ht="37" customHeight="1">
      <x:c r="A463" s="16" t="str">
        <x:v>RAW-00457</x:v>
      </x:c>
      <x:c r="B463" s="16" t="str">
        <x:v>Observation</x:v>
      </x:c>
      <x:c r="C463" s="16" t="str">
        <x:v>– Right-hand side corner facing back wall of house.</x:v>
      </x:c>
      <x:c r="D463" s="16" t="str">
        <x:v>Top hats and Tek screws</x:v>
      </x:c>
      <x:c r="E463" s="16" t="str">
        <x:v>SRC-016</x:v>
      </x:c>
      <x:c r="F463" s="16" t="str"/>
      <x:c r="G463" s="16" t="str">
        <x:v>审阅或辅助文档</x:v>
      </x:c>
      <x:c r="H463" s="19" t="n">
        <x:v>4</x:v>
      </x:c>
      <x:c r="I463" s="19" t="n">
        <x:v>6</x:v>
      </x:c>
      <x:c r="J463" s="19" t="n">
        <x:v>1</x:v>
      </x:c>
      <x:c r="K463" s="16" t="str">
        <x:v>6. Severe deterioration</x:v>
      </x:c>
      <x:c r="L463" s="16" t="str">
        <x:v>Very likely</x:v>
      </x:c>
      <x:c r="M463" s="16" t="str">
        <x:v>Moderate</x:v>
      </x:c>
      <x:c r="N463" s="16" t="str">
        <x:v>Critical</x:v>
      </x:c>
    </x:row>
    <x:row r="464" ht="37" customHeight="1">
      <x:c r="A464" s="16" t="str">
        <x:v>RAW-00458</x:v>
      </x:c>
      <x:c r="B464" s="16" t="str">
        <x:v>Observation</x:v>
      </x:c>
      <x:c r="C464" s="16" t="str">
        <x:v>– Right-hand side corner facing back wall of house. Tek screws and flange of top-hat corroded away.</x:v>
      </x:c>
      <x:c r="D464" s="16" t="str">
        <x:v>Top hats and Tek screws</x:v>
      </x:c>
      <x:c r="E464" s="16" t="str">
        <x:v>SRC-016</x:v>
      </x:c>
      <x:c r="F464" s="16" t="str">
        <x:v>OBS-0511</x:v>
      </x:c>
      <x:c r="G464" s="16" t="str">
        <x:v>审阅或辅助文档</x:v>
      </x:c>
      <x:c r="H464" s="19" t="n">
        <x:v>4</x:v>
      </x:c>
      <x:c r="I464" s="19" t="n">
        <x:v>7</x:v>
      </x:c>
      <x:c r="J464" s="19" t="n">
        <x:v>1</x:v>
      </x:c>
      <x:c r="K464" s="16" t="str">
        <x:v>6. Severe deterioration</x:v>
      </x:c>
      <x:c r="L464" s="16" t="str">
        <x:v>Very likely</x:v>
      </x:c>
      <x:c r="M464" s="16" t="str">
        <x:v>Moderate</x:v>
      </x:c>
      <x:c r="N464" s="16" t="str">
        <x:v>Critical</x:v>
      </x:c>
    </x:row>
    <x:row r="465" ht="37" customHeight="1">
      <x:c r="A465" s="16" t="str">
        <x:v>RAW-00459</x:v>
      </x:c>
      <x:c r="B465" s="16" t="str">
        <x:v>Observation</x:v>
      </x:c>
      <x:c r="C465" s="16" t="str">
        <x:v>– Right-hand side corner facing back wall of house. Tek screws and flange of top-hat corroded away.</x:v>
      </x:c>
      <x:c r="D465" s="16" t="str">
        <x:v>Top hats and Tek screws</x:v>
      </x:c>
      <x:c r="E465" s="16" t="str">
        <x:v>SRC-016</x:v>
      </x:c>
      <x:c r="F465" s="16" t="str">
        <x:v>OBS-0511</x:v>
      </x:c>
      <x:c r="G465" s="16" t="str">
        <x:v>审阅或辅助文档</x:v>
      </x:c>
      <x:c r="H465" s="19" t="n">
        <x:v>4</x:v>
      </x:c>
      <x:c r="I465" s="19" t="n">
        <x:v>8</x:v>
      </x:c>
      <x:c r="J465" s="19" t="n">
        <x:v>1</x:v>
      </x:c>
      <x:c r="K465" s="16" t="str">
        <x:v>6. Severe deterioration</x:v>
      </x:c>
      <x:c r="L465" s="16" t="str">
        <x:v>Very likely</x:v>
      </x:c>
      <x:c r="M465" s="16" t="str">
        <x:v>Moderate</x:v>
      </x:c>
      <x:c r="N465" s="16" t="str">
        <x:v>Critical</x:v>
      </x:c>
    </x:row>
    <x:row r="466" ht="37" customHeight="1">
      <x:c r="A466" s="16" t="str">
        <x:v>RAW-00460</x:v>
      </x:c>
      <x:c r="B466" s="16" t="str">
        <x:v>Observation</x:v>
      </x:c>
      <x:c r="C466" s="16" t="str">
        <x:v>– Left-hand side facing front of house. Tek screws and flange of top-hat corroded away.</x:v>
      </x:c>
      <x:c r="D466" s="16" t="str">
        <x:v>Top hats and Tek screws</x:v>
      </x:c>
      <x:c r="E466" s="16" t="str">
        <x:v>SRC-016</x:v>
      </x:c>
      <x:c r="F466" s="16" t="str">
        <x:v>OBS-0367</x:v>
      </x:c>
      <x:c r="G466" s="16" t="str">
        <x:v>审阅或辅助文档</x:v>
      </x:c>
      <x:c r="H466" s="19" t="n">
        <x:v>4</x:v>
      </x:c>
      <x:c r="I466" s="19" t="n">
        <x:v>9</x:v>
      </x:c>
      <x:c r="J466" s="19" t="n">
        <x:v>1</x:v>
      </x:c>
      <x:c r="K466" s="16" t="str">
        <x:v>6. Severe deterioration</x:v>
      </x:c>
      <x:c r="L466" s="16" t="str">
        <x:v>Very likely</x:v>
      </x:c>
      <x:c r="M466" s="16" t="str">
        <x:v>Moderate</x:v>
      </x:c>
      <x:c r="N466" s="16" t="str">
        <x:v>Critical</x:v>
      </x:c>
    </x:row>
    <x:row r="467" ht="37" customHeight="1">
      <x:c r="A467" s="16" t="str">
        <x:v>RAW-00461</x:v>
      </x:c>
      <x:c r="B467" s="16" t="str">
        <x:v>Recommendation</x:v>
      </x:c>
      <x:c r="C467" s="16" t="str">
        <x:v>– Replace Tek screws and top hats to match existing and to manufacturer's specifications.</x:v>
      </x:c>
      <x:c r="D467" s="16" t="str">
        <x:v>Top hats and Tek screws</x:v>
      </x:c>
      <x:c r="E467" s="16" t="str">
        <x:v>SRC-016</x:v>
      </x:c>
      <x:c r="F467" s="16" t="str">
        <x:v>REC-0039</x:v>
      </x:c>
      <x:c r="G467" s="16" t="str">
        <x:v>审阅或辅助文档</x:v>
      </x:c>
      <x:c r="H467" s="19" t="n">
        <x:v>4</x:v>
      </x:c>
      <x:c r="I467" s="19" t="n">
        <x:v>9</x:v>
      </x:c>
      <x:c r="J467" s="19" t="n">
        <x:v>1</x:v>
      </x:c>
      <x:c r="K467" s="16" t="str">
        <x:v>6. Severe deterioration</x:v>
      </x:c>
      <x:c r="L467" s="16" t="str">
        <x:v>Very likely</x:v>
      </x:c>
      <x:c r="M467" s="16" t="str">
        <x:v>Moderate</x:v>
      </x:c>
      <x:c r="N467" s="16" t="str">
        <x:v>Critical</x:v>
      </x:c>
    </x:row>
    <x:row r="468" ht="41" customHeight="1">
      <x:c r="A468" s="16" t="str">
        <x:v>RAW-00462</x:v>
      </x:c>
      <x:c r="B468" s="16" t="str">
        <x:v>Observation</x:v>
      </x:c>
      <x:c r="C468" s="16" t="str">
        <x:v>– Left-hand side facing front of house. Rafter ends are showing signs of moderate corrosion. Corrosion of rafters is most pronounced on the left-hand side of the property when compared to other sections.</x:v>
      </x:c>
      <x:c r="D468" s="16" t="str">
        <x:v>Rafters</x:v>
      </x:c>
      <x:c r="E468" s="16" t="str">
        <x:v>SRC-016</x:v>
      </x:c>
      <x:c r="F468" s="16" t="str"/>
      <x:c r="G468" s="16" t="str">
        <x:v>审阅或辅助文档</x:v>
      </x:c>
      <x:c r="H468" s="19" t="n">
        <x:v>5</x:v>
      </x:c>
      <x:c r="I468" s="19" t="n">
        <x:v>6</x:v>
      </x:c>
      <x:c r="J468" s="19" t="n">
        <x:v>1</x:v>
      </x:c>
      <x:c r="K468" s="16" t="str">
        <x:v>4. Moderate deterioration</x:v>
      </x:c>
      <x:c r="L468" s="16" t="str">
        <x:v>Possible</x:v>
      </x:c>
      <x:c r="M468" s="16" t="str">
        <x:v>Minor</x:v>
      </x:c>
      <x:c r="N468" s="16" t="str">
        <x:v>Moderate</x:v>
      </x:c>
    </x:row>
    <x:row r="469" ht="37" customHeight="1">
      <x:c r="A469" s="16" t="str">
        <x:v>RAW-00463</x:v>
      </x:c>
      <x:c r="B469" s="16" t="str">
        <x:v>Observation</x:v>
      </x:c>
      <x:c r="C469" s="16" t="str">
        <x:v>– Left-hand side facing front of house.</x:v>
      </x:c>
      <x:c r="D469" s="16" t="str">
        <x:v>Rafters</x:v>
      </x:c>
      <x:c r="E469" s="16" t="str">
        <x:v>SRC-016</x:v>
      </x:c>
      <x:c r="F469" s="16" t="str">
        <x:v>OBS-0365</x:v>
      </x:c>
      <x:c r="G469" s="16" t="str">
        <x:v>审阅或辅助文档</x:v>
      </x:c>
      <x:c r="H469" s="19" t="n">
        <x:v>5</x:v>
      </x:c>
      <x:c r="I469" s="19" t="n">
        <x:v>7</x:v>
      </x:c>
      <x:c r="J469" s="19" t="n">
        <x:v>1</x:v>
      </x:c>
      <x:c r="K469" s="16" t="str">
        <x:v>4. Moderate deterioration</x:v>
      </x:c>
      <x:c r="L469" s="16" t="str">
        <x:v>Possible</x:v>
      </x:c>
      <x:c r="M469" s="16" t="str">
        <x:v>Minor</x:v>
      </x:c>
      <x:c r="N469" s="16" t="str">
        <x:v>Moderate</x:v>
      </x:c>
    </x:row>
    <x:row r="470" ht="37" customHeight="1">
      <x:c r="A470" s="16" t="str">
        <x:v>RAW-00464</x:v>
      </x:c>
      <x:c r="B470" s="16" t="str">
        <x:v>Recommendation</x:v>
      </x:c>
      <x:c r="C470" s="16" t="str">
        <x:v>– Clean, remove corrosion and repaint rafters.</x:v>
      </x:c>
      <x:c r="D470" s="16" t="str">
        <x:v>Rafters</x:v>
      </x:c>
      <x:c r="E470" s="16" t="str">
        <x:v>SRC-016</x:v>
      </x:c>
      <x:c r="F470" s="16" t="str">
        <x:v>REC-0064</x:v>
      </x:c>
      <x:c r="G470" s="16" t="str">
        <x:v>审阅或辅助文档</x:v>
      </x:c>
      <x:c r="H470" s="19" t="n">
        <x:v>5</x:v>
      </x:c>
      <x:c r="I470" s="19" t="n">
        <x:v>7</x:v>
      </x:c>
      <x:c r="J470" s="19" t="n">
        <x:v>1</x:v>
      </x:c>
      <x:c r="K470" s="16" t="str">
        <x:v>4. Moderate deterioration</x:v>
      </x:c>
      <x:c r="L470" s="16" t="str">
        <x:v>Possible</x:v>
      </x:c>
      <x:c r="M470" s="16" t="str">
        <x:v>Minor</x:v>
      </x:c>
      <x:c r="N470" s="16" t="str">
        <x:v>Moderate</x:v>
      </x:c>
    </x:row>
    <x:row r="471" ht="37" customHeight="1">
      <x:c r="A471" s="16" t="str">
        <x:v>RAW-00465</x:v>
      </x:c>
      <x:c r="B471" s="16" t="str">
        <x:v>Observation</x:v>
      </x:c>
      <x:c r="C471" s="16" t="str">
        <x:v>– Front wall cladding in good condition</x:v>
      </x:c>
      <x:c r="D471" s="16" t="str">
        <x:v>Steel cladding</x:v>
      </x:c>
      <x:c r="E471" s="16" t="str">
        <x:v>SRC-016</x:v>
      </x:c>
      <x:c r="F471" s="16" t="str">
        <x:v>OBS-0025</x:v>
      </x:c>
      <x:c r="G471" s="16" t="str">
        <x:v>审阅或辅助文档</x:v>
      </x:c>
      <x:c r="H471" s="19" t="n">
        <x:v>6</x:v>
      </x:c>
      <x:c r="I471" s="19" t="n">
        <x:v>6</x:v>
      </x:c>
      <x:c r="J471" s="19" t="n">
        <x:v>1</x:v>
      </x:c>
      <x:c r="K471" s="16" t="str">
        <x:v>3. Minor deterioration</x:v>
      </x:c>
      <x:c r="L471" s="16" t="str">
        <x:v>Unlikely</x:v>
      </x:c>
      <x:c r="M471" s="16" t="str">
        <x:v>Minor</x:v>
      </x:c>
      <x:c r="N471" s="16" t="str">
        <x:v>Low</x:v>
      </x:c>
    </x:row>
    <x:row r="472" ht="37" customHeight="1">
      <x:c r="A472" s="16" t="str">
        <x:v>RAW-00466</x:v>
      </x:c>
      <x:c r="B472" s="16" t="str">
        <x:v>Observation</x:v>
      </x:c>
      <x:c r="C472" s="16" t="str">
        <x:v>– Back wall cladding in good condition</x:v>
      </x:c>
      <x:c r="D472" s="16" t="str">
        <x:v>Steel cladding</x:v>
      </x:c>
      <x:c r="E472" s="16" t="str">
        <x:v>SRC-016</x:v>
      </x:c>
      <x:c r="F472" s="16" t="str">
        <x:v>OBS-0122</x:v>
      </x:c>
      <x:c r="G472" s="16" t="str">
        <x:v>审阅或辅助文档</x:v>
      </x:c>
      <x:c r="H472" s="19" t="n">
        <x:v>6</x:v>
      </x:c>
      <x:c r="I472" s="19" t="n">
        <x:v>7</x:v>
      </x:c>
      <x:c r="J472" s="19" t="n">
        <x:v>1</x:v>
      </x:c>
      <x:c r="K472" s="16" t="str">
        <x:v>3. Minor deterioration</x:v>
      </x:c>
      <x:c r="L472" s="16" t="str">
        <x:v>Unlikely</x:v>
      </x:c>
      <x:c r="M472" s="16" t="str">
        <x:v>Minor</x:v>
      </x:c>
      <x:c r="N472" s="16" t="str">
        <x:v>Low</x:v>
      </x:c>
    </x:row>
    <x:row r="473" ht="37" customHeight="1">
      <x:c r="A473" s="16" t="str">
        <x:v>RAW-00467</x:v>
      </x:c>
      <x:c r="B473" s="16" t="str">
        <x:v>Observation</x:v>
      </x:c>
      <x:c r="C473" s="16" t="str">
        <x:v>– Surface corrosion at pipe outlet</x:v>
      </x:c>
      <x:c r="D473" s="16" t="str">
        <x:v>Steel cladding</x:v>
      </x:c>
      <x:c r="E473" s="16" t="str">
        <x:v>SRC-016</x:v>
      </x:c>
      <x:c r="F473" s="16" t="str">
        <x:v>OBS-0086</x:v>
      </x:c>
      <x:c r="G473" s="16" t="str">
        <x:v>审阅或辅助文档</x:v>
      </x:c>
      <x:c r="H473" s="19" t="n">
        <x:v>6</x:v>
      </x:c>
      <x:c r="I473" s="19" t="n">
        <x:v>8</x:v>
      </x:c>
      <x:c r="J473" s="19" t="n">
        <x:v>1</x:v>
      </x:c>
      <x:c r="K473" s="16" t="str">
        <x:v>3. Minor deterioration</x:v>
      </x:c>
      <x:c r="L473" s="16" t="str">
        <x:v>Unlikely</x:v>
      </x:c>
      <x:c r="M473" s="16" t="str">
        <x:v>Minor</x:v>
      </x:c>
      <x:c r="N473" s="16" t="str">
        <x:v>Low</x:v>
      </x:c>
    </x:row>
    <x:row r="474" ht="37" customHeight="1">
      <x:c r="A474" s="16" t="str">
        <x:v>RAW-00468</x:v>
      </x:c>
      <x:c r="B474" s="16" t="str">
        <x:v>Observation</x:v>
      </x:c>
      <x:c r="C474" s="16" t="str">
        <x:v>– Surface corrosion at pipe outlet</x:v>
      </x:c>
      <x:c r="D474" s="16" t="str">
        <x:v>Steel cladding</x:v>
      </x:c>
      <x:c r="E474" s="16" t="str">
        <x:v>SRC-016</x:v>
      </x:c>
      <x:c r="F474" s="16" t="str">
        <x:v>OBS-0086</x:v>
      </x:c>
      <x:c r="G474" s="16" t="str">
        <x:v>审阅或辅助文档</x:v>
      </x:c>
      <x:c r="H474" s="19" t="n">
        <x:v>6</x:v>
      </x:c>
      <x:c r="I474" s="19" t="n">
        <x:v>9</x:v>
      </x:c>
      <x:c r="J474" s="19" t="n">
        <x:v>1</x:v>
      </x:c>
      <x:c r="K474" s="16" t="str">
        <x:v>3. Minor deterioration</x:v>
      </x:c>
      <x:c r="L474" s="16" t="str">
        <x:v>Unlikely</x:v>
      </x:c>
      <x:c r="M474" s="16" t="str">
        <x:v>Minor</x:v>
      </x:c>
      <x:c r="N474" s="16" t="str">
        <x:v>Low</x:v>
      </x:c>
    </x:row>
    <x:row r="475" ht="37" customHeight="1">
      <x:c r="A475" s="16" t="str">
        <x:v>RAW-00469</x:v>
      </x:c>
      <x:c r="B475" s="16" t="str">
        <x:v>Recommendation</x:v>
      </x:c>
      <x:c r="C475" s="16" t="str">
        <x:v>– Clean, remove corrosion and repaint.</x:v>
      </x:c>
      <x:c r="D475" s="16" t="str">
        <x:v>Steel cladding</x:v>
      </x:c>
      <x:c r="E475" s="16" t="str">
        <x:v>SRC-016</x:v>
      </x:c>
      <x:c r="F475" s="16" t="str">
        <x:v>REC-0002</x:v>
      </x:c>
      <x:c r="G475" s="16" t="str">
        <x:v>审阅或辅助文档</x:v>
      </x:c>
      <x:c r="H475" s="19" t="n">
        <x:v>6</x:v>
      </x:c>
      <x:c r="I475" s="19" t="n">
        <x:v>9</x:v>
      </x:c>
      <x:c r="J475" s="19" t="n">
        <x:v>1</x:v>
      </x:c>
      <x:c r="K475" s="16" t="str">
        <x:v>3. Minor deterioration</x:v>
      </x:c>
      <x:c r="L475" s="16" t="str">
        <x:v>Unlikely</x:v>
      </x:c>
      <x:c r="M475" s="16" t="str">
        <x:v>Minor</x:v>
      </x:c>
      <x:c r="N475" s="16" t="str">
        <x:v>Low</x:v>
      </x:c>
    </x:row>
    <x:row r="476" ht="37" customHeight="1">
      <x:c r="A476" s="16" t="str">
        <x:v>RAW-00470</x:v>
      </x:c>
      <x:c r="B476" s="16" t="str">
        <x:v>Observation</x:v>
      </x:c>
      <x:c r="C476" s="16" t="str">
        <x:v>– Front verandah columns overview</x:v>
      </x:c>
      <x:c r="D476" s="16" t="str">
        <x:v>Verandah columns and beams</x:v>
      </x:c>
      <x:c r="E476" s="16" t="str">
        <x:v>SRC-016</x:v>
      </x:c>
      <x:c r="F476" s="16" t="str">
        <x:v>OBS-0052</x:v>
      </x:c>
      <x:c r="G476" s="16" t="str">
        <x:v>审阅或辅助文档</x:v>
      </x:c>
      <x:c r="H476" s="19" t="n">
        <x:v>7</x:v>
      </x:c>
      <x:c r="I476" s="19" t="n">
        <x:v>6</x:v>
      </x:c>
      <x:c r="J476" s="19" t="n">
        <x:v>1</x:v>
      </x:c>
      <x:c r="K476" s="16" t="str">
        <x:v>2. New with slight deterioration</x:v>
      </x:c>
      <x:c r="L476" s="16" t="str">
        <x:v>Very unlikely</x:v>
      </x:c>
      <x:c r="M476" s="16" t="str">
        <x:v>Significant</x:v>
      </x:c>
      <x:c r="N476" s="16" t="str">
        <x:v>Low</x:v>
      </x:c>
    </x:row>
    <x:row r="477" ht="37" customHeight="1">
      <x:c r="A477" s="16" t="str">
        <x:v>RAW-00471</x:v>
      </x:c>
      <x:c r="B477" s="16" t="str">
        <x:v>Observation</x:v>
      </x:c>
      <x:c r="C477" s="16" t="str">
        <x:v>– left hand side corner facing front of house. Deterioration of paint.</x:v>
      </x:c>
      <x:c r="D477" s="16" t="str">
        <x:v>Verandah columns and beams</x:v>
      </x:c>
      <x:c r="E477" s="16" t="str">
        <x:v>SRC-016</x:v>
      </x:c>
      <x:c r="F477" s="16" t="str">
        <x:v>OBS-0056</x:v>
      </x:c>
      <x:c r="G477" s="16" t="str">
        <x:v>审阅或辅助文档</x:v>
      </x:c>
      <x:c r="H477" s="19" t="n">
        <x:v>7</x:v>
      </x:c>
      <x:c r="I477" s="19" t="n">
        <x:v>7</x:v>
      </x:c>
      <x:c r="J477" s="19" t="n">
        <x:v>1</x:v>
      </x:c>
      <x:c r="K477" s="16" t="str">
        <x:v>2. New with slight deterioration</x:v>
      </x:c>
      <x:c r="L477" s="16" t="str">
        <x:v>Very unlikely</x:v>
      </x:c>
      <x:c r="M477" s="16" t="str">
        <x:v>Significant</x:v>
      </x:c>
      <x:c r="N477" s="16" t="str">
        <x:v>Low</x:v>
      </x:c>
    </x:row>
    <x:row r="478" ht="37" customHeight="1">
      <x:c r="A478" s="16" t="str">
        <x:v>RAW-00472</x:v>
      </x:c>
      <x:c r="B478" s="16" t="str">
        <x:v>Observation</x:v>
      </x:c>
      <x:c r="C478" s="16" t="str">
        <x:v>– left hand side corner facing front of house. Deterioration of paint.</x:v>
      </x:c>
      <x:c r="D478" s="16" t="str">
        <x:v>Verandah columns and beams</x:v>
      </x:c>
      <x:c r="E478" s="16" t="str">
        <x:v>SRC-016</x:v>
      </x:c>
      <x:c r="F478" s="16" t="str">
        <x:v>OBS-0056</x:v>
      </x:c>
      <x:c r="G478" s="16" t="str">
        <x:v>审阅或辅助文档</x:v>
      </x:c>
      <x:c r="H478" s="19" t="n">
        <x:v>7</x:v>
      </x:c>
      <x:c r="I478" s="19" t="n">
        <x:v>8</x:v>
      </x:c>
      <x:c r="J478" s="19" t="n">
        <x:v>1</x:v>
      </x:c>
      <x:c r="K478" s="16" t="str">
        <x:v>2. New with slight deterioration</x:v>
      </x:c>
      <x:c r="L478" s="16" t="str">
        <x:v>Very unlikely</x:v>
      </x:c>
      <x:c r="M478" s="16" t="str">
        <x:v>Significant</x:v>
      </x:c>
      <x:c r="N478" s="16" t="str">
        <x:v>Low</x:v>
      </x:c>
    </x:row>
    <x:row r="479" ht="37" customHeight="1">
      <x:c r="A479" s="16" t="str">
        <x:v>RAW-00473</x:v>
      </x:c>
      <x:c r="B479" s="16" t="str">
        <x:v>Observation</x:v>
      </x:c>
      <x:c r="C479" s="16" t="str">
        <x:v>– Column 5 from the left-hand side. Staining and paint deterioration.</x:v>
      </x:c>
      <x:c r="D479" s="16" t="str">
        <x:v>Verandah columns and beams</x:v>
      </x:c>
      <x:c r="E479" s="16" t="str">
        <x:v>SRC-016</x:v>
      </x:c>
      <x:c r="F479" s="16" t="str">
        <x:v>OBS-0205</x:v>
      </x:c>
      <x:c r="G479" s="16" t="str">
        <x:v>审阅或辅助文档</x:v>
      </x:c>
      <x:c r="H479" s="19" t="n">
        <x:v>7</x:v>
      </x:c>
      <x:c r="I479" s="19" t="n">
        <x:v>9</x:v>
      </x:c>
      <x:c r="J479" s="19" t="n">
        <x:v>1</x:v>
      </x:c>
      <x:c r="K479" s="16" t="str">
        <x:v>2. New with slight deterioration</x:v>
      </x:c>
      <x:c r="L479" s="16" t="str">
        <x:v>Very unlikely</x:v>
      </x:c>
      <x:c r="M479" s="16" t="str">
        <x:v>Significant</x:v>
      </x:c>
      <x:c r="N479" s="16" t="str">
        <x:v>Low</x:v>
      </x:c>
    </x:row>
    <x:row r="480" ht="37" customHeight="1">
      <x:c r="A480" s="16" t="str">
        <x:v>RAW-00474</x:v>
      </x:c>
      <x:c r="B480" s="16" t="str">
        <x:v>Recommendation</x:v>
      </x:c>
      <x:c r="C480" s="16" t="str">
        <x:v>– Clean, remove peeling paint and repaint.</x:v>
      </x:c>
      <x:c r="D480" s="16" t="str">
        <x:v>Verandah columns and beams</x:v>
      </x:c>
      <x:c r="E480" s="16" t="str">
        <x:v>SRC-016</x:v>
      </x:c>
      <x:c r="F480" s="16" t="str">
        <x:v>REC-0010</x:v>
      </x:c>
      <x:c r="G480" s="16" t="str">
        <x:v>审阅或辅助文档</x:v>
      </x:c>
      <x:c r="H480" s="19" t="n">
        <x:v>7</x:v>
      </x:c>
      <x:c r="I480" s="19" t="n">
        <x:v>9</x:v>
      </x:c>
      <x:c r="J480" s="19" t="n">
        <x:v>1</x:v>
      </x:c>
      <x:c r="K480" s="16" t="str">
        <x:v>2. New with slight deterioration</x:v>
      </x:c>
      <x:c r="L480" s="16" t="str">
        <x:v>Very unlikely</x:v>
      </x:c>
      <x:c r="M480" s="16" t="str">
        <x:v>Significant</x:v>
      </x:c>
      <x:c r="N480" s="16" t="str">
        <x:v>Low</x:v>
      </x:c>
    </x:row>
    <x:row r="481" ht="37" customHeight="1">
      <x:c r="A481" s="16" t="str">
        <x:v>RAW-00475</x:v>
      </x:c>
      <x:c r="B481" s="16" t="str">
        <x:v>Observation</x:v>
      </x:c>
      <x:c r="C481" s="16" t="str">
        <x:v>– Column 5 from the left-hand side. Staining and paint deterioration.</x:v>
      </x:c>
      <x:c r="D481" s="16" t="str">
        <x:v>Verandah columns and beams</x:v>
      </x:c>
      <x:c r="E481" s="16" t="str">
        <x:v>SRC-016</x:v>
      </x:c>
      <x:c r="F481" s="16" t="str">
        <x:v>OBS-0205</x:v>
      </x:c>
      <x:c r="G481" s="16" t="str">
        <x:v>审阅或辅助文档</x:v>
      </x:c>
      <x:c r="H481" s="19" t="n">
        <x:v>7</x:v>
      </x:c>
      <x:c r="I481" s="19" t="n">
        <x:v>10</x:v>
      </x:c>
      <x:c r="J481" s="19" t="n">
        <x:v>1</x:v>
      </x:c>
      <x:c r="K481" s="16" t="str">
        <x:v>2. New with slight deterioration</x:v>
      </x:c>
      <x:c r="L481" s="16" t="str">
        <x:v>Very unlikely</x:v>
      </x:c>
      <x:c r="M481" s="16" t="str">
        <x:v>Significant</x:v>
      </x:c>
      <x:c r="N481" s="16" t="str">
        <x:v>Low</x:v>
      </x:c>
    </x:row>
    <x:row r="482" ht="37" customHeight="1">
      <x:c r="A482" s="16" t="str">
        <x:v>RAW-00476</x:v>
      </x:c>
      <x:c r="B482" s="16" t="str">
        <x:v>Observation</x:v>
      </x:c>
      <x:c r="C482" s="16" t="str">
        <x:v>– Column 6 from the left-hand side. Staining and paint deterioration.</x:v>
      </x:c>
      <x:c r="D482" s="16" t="str">
        <x:v>Verandah columns and beams</x:v>
      </x:c>
      <x:c r="E482" s="16" t="str">
        <x:v>SRC-016</x:v>
      </x:c>
      <x:c r="F482" s="16" t="str">
        <x:v>OBS-0206</x:v>
      </x:c>
      <x:c r="G482" s="16" t="str">
        <x:v>审阅或辅助文档</x:v>
      </x:c>
      <x:c r="H482" s="19" t="n">
        <x:v>7</x:v>
      </x:c>
      <x:c r="I482" s="19" t="n">
        <x:v>11</x:v>
      </x:c>
      <x:c r="J482" s="19" t="n">
        <x:v>1</x:v>
      </x:c>
      <x:c r="K482" s="16" t="str">
        <x:v>2. New with slight deterioration</x:v>
      </x:c>
      <x:c r="L482" s="16" t="str">
        <x:v>Very unlikely</x:v>
      </x:c>
      <x:c r="M482" s="16" t="str">
        <x:v>Significant</x:v>
      </x:c>
      <x:c r="N482" s="16" t="str">
        <x:v>Low</x:v>
      </x:c>
    </x:row>
    <x:row r="483" ht="37" customHeight="1">
      <x:c r="A483" s="16" t="str">
        <x:v>RAW-00477</x:v>
      </x:c>
      <x:c r="B483" s="16" t="str">
        <x:v>Recommendation</x:v>
      </x:c>
      <x:c r="C483" s="16" t="str">
        <x:v>– Clean staining and wire brush any surface rust and repaint.</x:v>
      </x:c>
      <x:c r="D483" s="16" t="str">
        <x:v>Verandah columns and beams</x:v>
      </x:c>
      <x:c r="E483" s="16" t="str">
        <x:v>SRC-016</x:v>
      </x:c>
      <x:c r="F483" s="16" t="str">
        <x:v>REC-0059</x:v>
      </x:c>
      <x:c r="G483" s="16" t="str">
        <x:v>审阅或辅助文档</x:v>
      </x:c>
      <x:c r="H483" s="19" t="n">
        <x:v>7</x:v>
      </x:c>
      <x:c r="I483" s="19" t="n">
        <x:v>11</x:v>
      </x:c>
      <x:c r="J483" s="19" t="n">
        <x:v>1</x:v>
      </x:c>
      <x:c r="K483" s="16" t="str">
        <x:v>2. New with slight deterioration</x:v>
      </x:c>
      <x:c r="L483" s="16" t="str">
        <x:v>Very unlikely</x:v>
      </x:c>
      <x:c r="M483" s="16" t="str">
        <x:v>Significant</x:v>
      </x:c>
      <x:c r="N483" s="16" t="str">
        <x:v>Low</x:v>
      </x:c>
    </x:row>
    <x:row r="484" ht="37" customHeight="1">
      <x:c r="A484" s="16" t="str">
        <x:v>RAW-00478</x:v>
      </x:c>
      <x:c r="B484" s="16" t="str">
        <x:v>Observation</x:v>
      </x:c>
      <x:c r="C484" s="16" t="str">
        <x:v>– Fencing posts on left hand side of property facing the front entrance.</x:v>
      </x:c>
      <x:c r="D484" s="16" t="str">
        <x:v>Fencing post</x:v>
      </x:c>
      <x:c r="E484" s="16" t="str">
        <x:v>SRC-023</x:v>
      </x:c>
      <x:c r="F484" s="16" t="str">
        <x:v>OBS-0023</x:v>
      </x:c>
      <x:c r="G484" s="16" t="str">
        <x:v>正式报告</x:v>
      </x:c>
      <x:c r="H484" s="19" t="n">
        <x:v>3</x:v>
      </x:c>
      <x:c r="I484" s="19" t="n">
        <x:v>6</x:v>
      </x:c>
      <x:c r="J484" s="19" t="n">
        <x:v>1</x:v>
      </x:c>
      <x:c r="K484" s="16" t="str">
        <x:v>5. Major deterioration</x:v>
      </x:c>
      <x:c r="L484" s="16" t="str">
        <x:v>Likely</x:v>
      </x:c>
      <x:c r="M484" s="16" t="str">
        <x:v>Moderate</x:v>
      </x:c>
      <x:c r="N484" s="16" t="str">
        <x:v>Critical</x:v>
      </x:c>
    </x:row>
    <x:row r="485" ht="41" customHeight="1">
      <x:c r="A485" s="16" t="str">
        <x:v>RAW-00479</x:v>
      </x:c>
      <x:c r="B485" s="16" t="str">
        <x:v>Observation</x:v>
      </x:c>
      <x:c r="C485" s="16" t="str">
        <x:v>– Fencing posts on left hand side of property facing the front entrance. Corrosion and bitumen paint deterioration.</x:v>
      </x:c>
      <x:c r="D485" s="16" t="str">
        <x:v>Fencing post</x:v>
      </x:c>
      <x:c r="E485" s="16" t="str">
        <x:v>SRC-023</x:v>
      </x:c>
      <x:c r="F485" s="16" t="str">
        <x:v>OBS-0024</x:v>
      </x:c>
      <x:c r="G485" s="16" t="str">
        <x:v>正式报告</x:v>
      </x:c>
      <x:c r="H485" s="19" t="n">
        <x:v>3</x:v>
      </x:c>
      <x:c r="I485" s="19" t="n">
        <x:v>7</x:v>
      </x:c>
      <x:c r="J485" s="19" t="n">
        <x:v>1</x:v>
      </x:c>
      <x:c r="K485" s="16" t="str">
        <x:v>5. Major deterioration</x:v>
      </x:c>
      <x:c r="L485" s="16" t="str">
        <x:v>Likely</x:v>
      </x:c>
      <x:c r="M485" s="16" t="str">
        <x:v>Moderate</x:v>
      </x:c>
      <x:c r="N485" s="16" t="str">
        <x:v>Critical</x:v>
      </x:c>
    </x:row>
    <x:row r="486" ht="41" customHeight="1">
      <x:c r="A486" s="16" t="str">
        <x:v>RAW-00480</x:v>
      </x:c>
      <x:c r="B486" s="16" t="str">
        <x:v>Observation</x:v>
      </x:c>
      <x:c r="C486" s="16" t="str">
        <x:v>– Fencing posts on left hand side of property facing the front entrance. Corrosion and bitumen paint deterioration.</x:v>
      </x:c>
      <x:c r="D486" s="16" t="str">
        <x:v>Fencing post</x:v>
      </x:c>
      <x:c r="E486" s="16" t="str">
        <x:v>SRC-023</x:v>
      </x:c>
      <x:c r="F486" s="16" t="str">
        <x:v>OBS-0024</x:v>
      </x:c>
      <x:c r="G486" s="16" t="str">
        <x:v>正式报告</x:v>
      </x:c>
      <x:c r="H486" s="19" t="n">
        <x:v>3</x:v>
      </x:c>
      <x:c r="I486" s="19" t="n">
        <x:v>8</x:v>
      </x:c>
      <x:c r="J486" s="19" t="n">
        <x:v>1</x:v>
      </x:c>
      <x:c r="K486" s="16" t="str">
        <x:v>5. Major deterioration</x:v>
      </x:c>
      <x:c r="L486" s="16" t="str">
        <x:v>Likely</x:v>
      </x:c>
      <x:c r="M486" s="16" t="str">
        <x:v>Moderate</x:v>
      </x:c>
      <x:c r="N486" s="16" t="str">
        <x:v>Critical</x:v>
      </x:c>
    </x:row>
    <x:row r="487" ht="41" customHeight="1">
      <x:c r="A487" s="16" t="str">
        <x:v>RAW-00481</x:v>
      </x:c>
      <x:c r="B487" s="16" t="str">
        <x:v>Observation</x:v>
      </x:c>
      <x:c r="C487" s="16" t="str">
        <x:v>– Fencing posts on left hand side of property facing the front entrance. Corrosion and bitumen paint deterioration.</x:v>
      </x:c>
      <x:c r="D487" s="16" t="str">
        <x:v>Fencing post</x:v>
      </x:c>
      <x:c r="E487" s="16" t="str">
        <x:v>SRC-023</x:v>
      </x:c>
      <x:c r="F487" s="16" t="str">
        <x:v>OBS-0024</x:v>
      </x:c>
      <x:c r="G487" s="16" t="str">
        <x:v>正式报告</x:v>
      </x:c>
      <x:c r="H487" s="19" t="n">
        <x:v>3</x:v>
      </x:c>
      <x:c r="I487" s="19" t="n">
        <x:v>9</x:v>
      </x:c>
      <x:c r="J487" s="19" t="n">
        <x:v>1</x:v>
      </x:c>
      <x:c r="K487" s="16" t="str">
        <x:v>5. Major deterioration</x:v>
      </x:c>
      <x:c r="L487" s="16" t="str">
        <x:v>Likely</x:v>
      </x:c>
      <x:c r="M487" s="16" t="str">
        <x:v>Moderate</x:v>
      </x:c>
      <x:c r="N487" s="16" t="str">
        <x:v>Critical</x:v>
      </x:c>
    </x:row>
    <x:row r="488" ht="41" customHeight="1">
      <x:c r="A488" s="16" t="str">
        <x:v>RAW-00482</x:v>
      </x:c>
      <x:c r="B488" s="16" t="str">
        <x:v>Recommendation</x:v>
      </x:c>
      <x:c r="C488" s="16" t="str">
        <x:v>– Clean, wire brush and repaint. Expose fencing posts’ base and investigate the condition. Undertake appropriate repair stated within Section 3.</x:v>
      </x:c>
      <x:c r="D488" s="16" t="str">
        <x:v>Fencing post</x:v>
      </x:c>
      <x:c r="E488" s="16" t="str">
        <x:v>SRC-023</x:v>
      </x:c>
      <x:c r="F488" s="16" t="str">
        <x:v>REC-0080</x:v>
      </x:c>
      <x:c r="G488" s="16" t="str">
        <x:v>正式报告</x:v>
      </x:c>
      <x:c r="H488" s="19" t="n">
        <x:v>3</x:v>
      </x:c>
      <x:c r="I488" s="19" t="n">
        <x:v>9</x:v>
      </x:c>
      <x:c r="J488" s="19" t="n">
        <x:v>1</x:v>
      </x:c>
      <x:c r="K488" s="16" t="str">
        <x:v>5. Major deterioration</x:v>
      </x:c>
      <x:c r="L488" s="16" t="str">
        <x:v>Likely</x:v>
      </x:c>
      <x:c r="M488" s="16" t="str">
        <x:v>Moderate</x:v>
      </x:c>
      <x:c r="N488" s="16" t="str">
        <x:v>Critical</x:v>
      </x:c>
    </x:row>
    <x:row r="489" ht="37" customHeight="1">
      <x:c r="A489" s="16" t="str">
        <x:v>RAW-00483</x:v>
      </x:c>
      <x:c r="B489" s="16" t="str">
        <x:v>Observation</x:v>
      </x:c>
      <x:c r="C489" s="16" t="str">
        <x:v>– Overview of carport verandah.</x:v>
      </x:c>
      <x:c r="D489" s="16" t="str">
        <x:v>Carport verandah</x:v>
      </x:c>
      <x:c r="E489" s="16" t="str">
        <x:v>SRC-023</x:v>
      </x:c>
      <x:c r="F489" s="16" t="str">
        <x:v>OBS-0009</x:v>
      </x:c>
      <x:c r="G489" s="16" t="str">
        <x:v>正式报告</x:v>
      </x:c>
      <x:c r="H489" s="19" t="n">
        <x:v>4</x:v>
      </x:c>
      <x:c r="I489" s="19" t="n">
        <x:v>6</x:v>
      </x:c>
      <x:c r="J489" s="19" t="n">
        <x:v>1</x:v>
      </x:c>
      <x:c r="K489" s="16" t="str">
        <x:v>4. Moderate deterioration</x:v>
      </x:c>
      <x:c r="L489" s="16" t="str">
        <x:v>Possible</x:v>
      </x:c>
      <x:c r="M489" s="16" t="str">
        <x:v>Significant</x:v>
      </x:c>
      <x:c r="N489" s="16" t="str">
        <x:v>High</x:v>
      </x:c>
    </x:row>
    <x:row r="490" ht="37" customHeight="1">
      <x:c r="A490" s="16" t="str">
        <x:v>RAW-00484</x:v>
      </x:c>
      <x:c r="B490" s="16" t="str">
        <x:v>Observation</x:v>
      </x:c>
      <x:c r="C490" s="16" t="str">
        <x:v>– Verandah front. Minor corrosion of verandah beam.</x:v>
      </x:c>
      <x:c r="D490" s="16" t="str">
        <x:v>Carport verandah</x:v>
      </x:c>
      <x:c r="E490" s="16" t="str">
        <x:v>SRC-023</x:v>
      </x:c>
      <x:c r="F490" s="16" t="str">
        <x:v>OBS-0601</x:v>
      </x:c>
      <x:c r="G490" s="16" t="str">
        <x:v>正式报告</x:v>
      </x:c>
      <x:c r="H490" s="19" t="n">
        <x:v>4</x:v>
      </x:c>
      <x:c r="I490" s="19" t="n">
        <x:v>7</x:v>
      </x:c>
      <x:c r="J490" s="19" t="n">
        <x:v>1</x:v>
      </x:c>
      <x:c r="K490" s="16" t="str">
        <x:v>4. Moderate deterioration</x:v>
      </x:c>
      <x:c r="L490" s="16" t="str">
        <x:v>Possible</x:v>
      </x:c>
      <x:c r="M490" s="16" t="str">
        <x:v>Significant</x:v>
      </x:c>
      <x:c r="N490" s="16" t="str">
        <x:v>High</x:v>
      </x:c>
    </x:row>
    <x:row r="491" ht="41" customHeight="1">
      <x:c r="A491" s="16" t="str">
        <x:v>RAW-00485</x:v>
      </x:c>
      <x:c r="B491" s="16" t="str">
        <x:v>Observation</x:v>
      </x:c>
      <x:c r="C491" s="16" t="str">
        <x:v>– Left hand side of house facing the entrance. Minor corrosion of verandah beam. Minor corrosion of soffit sheeting adjacent to beam.</x:v>
      </x:c>
      <x:c r="D491" s="16" t="str">
        <x:v>Carport verandah</x:v>
      </x:c>
      <x:c r="E491" s="16" t="str">
        <x:v>SRC-023</x:v>
      </x:c>
      <x:c r="F491" s="16" t="str">
        <x:v>OBS-0352</x:v>
      </x:c>
      <x:c r="G491" s="16" t="str">
        <x:v>正式报告</x:v>
      </x:c>
      <x:c r="H491" s="19" t="n">
        <x:v>4</x:v>
      </x:c>
      <x:c r="I491" s="19" t="n">
        <x:v>8</x:v>
      </x:c>
      <x:c r="J491" s="19" t="n">
        <x:v>1</x:v>
      </x:c>
      <x:c r="K491" s="16" t="str">
        <x:v>4. Moderate deterioration</x:v>
      </x:c>
      <x:c r="L491" s="16" t="str">
        <x:v>Possible</x:v>
      </x:c>
      <x:c r="M491" s="16" t="str">
        <x:v>Significant</x:v>
      </x:c>
      <x:c r="N491" s="16" t="str">
        <x:v>High</x:v>
      </x:c>
    </x:row>
    <x:row r="492" ht="37" customHeight="1">
      <x:c r="A492" s="16" t="str">
        <x:v>RAW-00486</x:v>
      </x:c>
      <x:c r="B492" s="16" t="str">
        <x:v>Observation</x:v>
      </x:c>
      <x:c r="C492" s="16" t="str">
        <x:v>– Right hand side of house facing the entrance. Moderate corrosion of all structural elements.</x:v>
      </x:c>
      <x:c r="D492" s="16" t="str">
        <x:v>Carport verandah</x:v>
      </x:c>
      <x:c r="E492" s="16" t="str">
        <x:v>SRC-023</x:v>
      </x:c>
      <x:c r="F492" s="16" t="str">
        <x:v>OBS-0495</x:v>
      </x:c>
      <x:c r="G492" s="16" t="str">
        <x:v>正式报告</x:v>
      </x:c>
      <x:c r="H492" s="19" t="n">
        <x:v>4</x:v>
      </x:c>
      <x:c r="I492" s="19" t="n">
        <x:v>9</x:v>
      </x:c>
      <x:c r="J492" s="19" t="n">
        <x:v>1</x:v>
      </x:c>
      <x:c r="K492" s="16" t="str">
        <x:v>4. Moderate deterioration</x:v>
      </x:c>
      <x:c r="L492" s="16" t="str">
        <x:v>Possible</x:v>
      </x:c>
      <x:c r="M492" s="16" t="str">
        <x:v>Significant</x:v>
      </x:c>
      <x:c r="N492" s="16" t="str">
        <x:v>High</x:v>
      </x:c>
    </x:row>
    <x:row r="493" ht="37" customHeight="1">
      <x:c r="A493" s="16" t="str">
        <x:v>RAW-00487</x:v>
      </x:c>
      <x:c r="B493" s="16" t="str">
        <x:v>Recommendation</x:v>
      </x:c>
      <x:c r="C493" s="16" t="str">
        <x:v>– Clean, wire brush and repaint.</x:v>
      </x:c>
      <x:c r="D493" s="16" t="str">
        <x:v>Carport verandah</x:v>
      </x:c>
      <x:c r="E493" s="16" t="str">
        <x:v>SRC-023</x:v>
      </x:c>
      <x:c r="F493" s="16" t="str">
        <x:v>REC-0001</x:v>
      </x:c>
      <x:c r="G493" s="16" t="str">
        <x:v>正式报告</x:v>
      </x:c>
      <x:c r="H493" s="19" t="n">
        <x:v>4</x:v>
      </x:c>
      <x:c r="I493" s="19" t="n">
        <x:v>9</x:v>
      </x:c>
      <x:c r="J493" s="19" t="n">
        <x:v>1</x:v>
      </x:c>
      <x:c r="K493" s="16" t="str">
        <x:v>4. Moderate deterioration</x:v>
      </x:c>
      <x:c r="L493" s="16" t="str">
        <x:v>Possible</x:v>
      </x:c>
      <x:c r="M493" s="16" t="str">
        <x:v>Significant</x:v>
      </x:c>
      <x:c r="N493" s="16" t="str">
        <x:v>High</x:v>
      </x:c>
    </x:row>
    <x:row r="494" ht="37" customHeight="1">
      <x:c r="A494" s="16" t="str">
        <x:v>RAW-00488</x:v>
      </x:c>
      <x:c r="B494" s="16" t="str">
        <x:v>Observation</x:v>
      </x:c>
      <x:c r="C494" s="16" t="str">
        <x:v>– Carport verandah columns.</x:v>
      </x:c>
      <x:c r="D494" s="16" t="str">
        <x:v>Columns</x:v>
      </x:c>
      <x:c r="E494" s="16" t="str">
        <x:v>SRC-023</x:v>
      </x:c>
      <x:c r="F494" s="16" t="str">
        <x:v>OBS-0168</x:v>
      </x:c>
      <x:c r="G494" s="16" t="str">
        <x:v>正式报告</x:v>
      </x:c>
      <x:c r="H494" s="19" t="n">
        <x:v>5</x:v>
      </x:c>
      <x:c r="I494" s="19" t="n">
        <x:v>6</x:v>
      </x:c>
      <x:c r="J494" s="19" t="n">
        <x:v>1</x:v>
      </x:c>
      <x:c r="K494" s="16" t="str">
        <x:v>3. Minor deterioration</x:v>
      </x:c>
      <x:c r="L494" s="16" t="str">
        <x:v>Unlikely</x:v>
      </x:c>
      <x:c r="M494" s="16" t="str">
        <x:v>Significant</x:v>
      </x:c>
      <x:c r="N494" s="16" t="str">
        <x:v>Moderate</x:v>
      </x:c>
    </x:row>
    <x:row r="495" ht="37" customHeight="1">
      <x:c r="A495" s="16" t="str">
        <x:v>RAW-00489</x:v>
      </x:c>
      <x:c r="B495" s="16" t="str">
        <x:v>Observation</x:v>
      </x:c>
      <x:c r="C495" s="16" t="str">
        <x:v>– Minor corrosion of Row 1 Column 2.</x:v>
      </x:c>
      <x:c r="D495" s="16" t="str">
        <x:v>Columns</x:v>
      </x:c>
      <x:c r="E495" s="16" t="str">
        <x:v>SRC-023</x:v>
      </x:c>
      <x:c r="F495" s="16" t="str">
        <x:v>OBS-0060</x:v>
      </x:c>
      <x:c r="G495" s="16" t="str">
        <x:v>正式报告</x:v>
      </x:c>
      <x:c r="H495" s="19" t="n">
        <x:v>5</x:v>
      </x:c>
      <x:c r="I495" s="19" t="n">
        <x:v>7</x:v>
      </x:c>
      <x:c r="J495" s="19" t="n">
        <x:v>1</x:v>
      </x:c>
      <x:c r="K495" s="16" t="str">
        <x:v>3. Minor deterioration</x:v>
      </x:c>
      <x:c r="L495" s="16" t="str">
        <x:v>Unlikely</x:v>
      </x:c>
      <x:c r="M495" s="16" t="str">
        <x:v>Significant</x:v>
      </x:c>
      <x:c r="N495" s="16" t="str">
        <x:v>Moderate</x:v>
      </x:c>
    </x:row>
    <x:row r="496" ht="37" customHeight="1">
      <x:c r="A496" s="16" t="str">
        <x:v>RAW-00490</x:v>
      </x:c>
      <x:c r="B496" s="16" t="str">
        <x:v>Observation</x:v>
      </x:c>
      <x:c r="C496" s="16" t="str">
        <x:v>– Minor corrosion of Row 1 Column 2.</x:v>
      </x:c>
      <x:c r="D496" s="16" t="str">
        <x:v>Columns</x:v>
      </x:c>
      <x:c r="E496" s="16" t="str">
        <x:v>SRC-023</x:v>
      </x:c>
      <x:c r="F496" s="16" t="str">
        <x:v>OBS-0060</x:v>
      </x:c>
      <x:c r="G496" s="16" t="str">
        <x:v>正式报告</x:v>
      </x:c>
      <x:c r="H496" s="19" t="n">
        <x:v>5</x:v>
      </x:c>
      <x:c r="I496" s="19" t="n">
        <x:v>8</x:v>
      </x:c>
      <x:c r="J496" s="19" t="n">
        <x:v>1</x:v>
      </x:c>
      <x:c r="K496" s="16" t="str">
        <x:v>3. Minor deterioration</x:v>
      </x:c>
      <x:c r="L496" s="16" t="str">
        <x:v>Unlikely</x:v>
      </x:c>
      <x:c r="M496" s="16" t="str">
        <x:v>Significant</x:v>
      </x:c>
      <x:c r="N496" s="16" t="str">
        <x:v>Moderate</x:v>
      </x:c>
    </x:row>
    <x:row r="497" ht="37" customHeight="1">
      <x:c r="A497" s="16" t="str">
        <x:v>RAW-00491</x:v>
      </x:c>
      <x:c r="B497" s="16" t="str">
        <x:v>Observation</x:v>
      </x:c>
      <x:c r="C497" s="16" t="str">
        <x:v>– Row 1 Column 1 in good condition. Re-entry cracking at column corner.</x:v>
      </x:c>
      <x:c r="D497" s="16" t="str">
        <x:v>Columns</x:v>
      </x:c>
      <x:c r="E497" s="16" t="str">
        <x:v>SRC-023</x:v>
      </x:c>
      <x:c r="F497" s="16" t="str">
        <x:v>OBS-0517</x:v>
      </x:c>
      <x:c r="G497" s="16" t="str">
        <x:v>正式报告</x:v>
      </x:c>
      <x:c r="H497" s="19" t="n">
        <x:v>5</x:v>
      </x:c>
      <x:c r="I497" s="19" t="n">
        <x:v>9</x:v>
      </x:c>
      <x:c r="J497" s="19" t="n">
        <x:v>1</x:v>
      </x:c>
      <x:c r="K497" s="16" t="str">
        <x:v>3. Minor deterioration</x:v>
      </x:c>
      <x:c r="L497" s="16" t="str">
        <x:v>Unlikely</x:v>
      </x:c>
      <x:c r="M497" s="16" t="str">
        <x:v>Significant</x:v>
      </x:c>
      <x:c r="N497" s="16" t="str">
        <x:v>Moderate</x:v>
      </x:c>
    </x:row>
    <x:row r="498" ht="37" customHeight="1">
      <x:c r="A498" s="16" t="str">
        <x:v>RAW-00492</x:v>
      </x:c>
      <x:c r="B498" s="16" t="str">
        <x:v>Recommendation</x:v>
      </x:c>
      <x:c r="C498" s="16" t="str">
        <x:v>– Clean, wire brush and repaint.</x:v>
      </x:c>
      <x:c r="D498" s="16" t="str">
        <x:v>Columns</x:v>
      </x:c>
      <x:c r="E498" s="16" t="str">
        <x:v>SRC-023</x:v>
      </x:c>
      <x:c r="F498" s="16" t="str">
        <x:v>REC-0001</x:v>
      </x:c>
      <x:c r="G498" s="16" t="str">
        <x:v>正式报告</x:v>
      </x:c>
      <x:c r="H498" s="19" t="n">
        <x:v>5</x:v>
      </x:c>
      <x:c r="I498" s="19" t="n">
        <x:v>9</x:v>
      </x:c>
      <x:c r="J498" s="19" t="n">
        <x:v>1</x:v>
      </x:c>
      <x:c r="K498" s="16" t="str">
        <x:v>3. Minor deterioration</x:v>
      </x:c>
      <x:c r="L498" s="16" t="str">
        <x:v>Unlikely</x:v>
      </x:c>
      <x:c r="M498" s="16" t="str">
        <x:v>Significant</x:v>
      </x:c>
      <x:c r="N498" s="16" t="str">
        <x:v>Moderate</x:v>
      </x:c>
    </x:row>
    <x:row r="499" ht="37" customHeight="1">
      <x:c r="A499" s="16" t="str">
        <x:v>RAW-00493</x:v>
      </x:c>
      <x:c r="B499" s="16" t="str">
        <x:v>Observation</x:v>
      </x:c>
      <x:c r="C499" s="16" t="str">
        <x:v>– Carport front window.</x:v>
      </x:c>
      <x:c r="D499" s="16" t="str">
        <x:v>Cladding and framing</x:v>
      </x:c>
      <x:c r="E499" s="16" t="str">
        <x:v>SRC-023</x:v>
      </x:c>
      <x:c r="F499" s="16" t="str">
        <x:v>OBS-0160</x:v>
      </x:c>
      <x:c r="G499" s="16" t="str">
        <x:v>正式报告</x:v>
      </x:c>
      <x:c r="H499" s="19" t="n">
        <x:v>6</x:v>
      </x:c>
      <x:c r="I499" s="19" t="n">
        <x:v>6</x:v>
      </x:c>
      <x:c r="J499" s="19" t="n">
        <x:v>1</x:v>
      </x:c>
      <x:c r="K499" s="16" t="str">
        <x:v>3. Minor deterioration</x:v>
      </x:c>
      <x:c r="L499" s="16" t="str">
        <x:v>Unlikely</x:v>
      </x:c>
      <x:c r="M499" s="16" t="str">
        <x:v>Negligible</x:v>
      </x:c>
      <x:c r="N499" s="16" t="str">
        <x:v>Low</x:v>
      </x:c>
    </x:row>
    <x:row r="500" ht="41" customHeight="1">
      <x:c r="A500" s="16" t="str">
        <x:v>RAW-00494</x:v>
      </x:c>
      <x:c r="B500" s="16" t="str">
        <x:v>Observation</x:v>
      </x:c>
      <x:c r="C500" s="16" t="str">
        <x:v>– Carport front window. Minor corrosion at corner of window, typical to most windows. Staining on wall cladding at bolted connection.</x:v>
      </x:c>
      <x:c r="D500" s="16" t="str">
        <x:v>Cladding and framing</x:v>
      </x:c>
      <x:c r="E500" s="16" t="str">
        <x:v>SRC-023</x:v>
      </x:c>
      <x:c r="F500" s="16" t="str">
        <x:v>OBS-0162</x:v>
      </x:c>
      <x:c r="G500" s="16" t="str">
        <x:v>正式报告</x:v>
      </x:c>
      <x:c r="H500" s="19" t="n">
        <x:v>6</x:v>
      </x:c>
      <x:c r="I500" s="19" t="n">
        <x:v>7</x:v>
      </x:c>
      <x:c r="J500" s="19" t="n">
        <x:v>1</x:v>
      </x:c>
      <x:c r="K500" s="16" t="str">
        <x:v>3. Minor deterioration</x:v>
      </x:c>
      <x:c r="L500" s="16" t="str">
        <x:v>Unlikely</x:v>
      </x:c>
      <x:c r="M500" s="16" t="str">
        <x:v>Negligible</x:v>
      </x:c>
      <x:c r="N500" s="16" t="str">
        <x:v>Low</x:v>
      </x:c>
    </x:row>
    <x:row r="501" ht="41" customHeight="1">
      <x:c r="A501" s="16" t="str">
        <x:v>RAW-00495</x:v>
      </x:c>
      <x:c r="B501" s="16" t="str">
        <x:v>Observation</x:v>
      </x:c>
      <x:c r="C501" s="16" t="str">
        <x:v>– Right hand side of house facing front entrance. Minor corrosion to rafters. Staining on wall cladding at bolted connection.</x:v>
      </x:c>
      <x:c r="D501" s="16" t="str">
        <x:v>Cladding and framing</x:v>
      </x:c>
      <x:c r="E501" s="16" t="str">
        <x:v>SRC-023</x:v>
      </x:c>
      <x:c r="F501" s="16" t="str">
        <x:v>OBS-0490</x:v>
      </x:c>
      <x:c r="G501" s="16" t="str">
        <x:v>正式报告</x:v>
      </x:c>
      <x:c r="H501" s="19" t="n">
        <x:v>6</x:v>
      </x:c>
      <x:c r="I501" s="19" t="n">
        <x:v>8</x:v>
      </x:c>
      <x:c r="J501" s="19" t="n">
        <x:v>1</x:v>
      </x:c>
      <x:c r="K501" s="16" t="str">
        <x:v>3. Minor deterioration</x:v>
      </x:c>
      <x:c r="L501" s="16" t="str">
        <x:v>Unlikely</x:v>
      </x:c>
      <x:c r="M501" s="16" t="str">
        <x:v>Negligible</x:v>
      </x:c>
      <x:c r="N501" s="16" t="str">
        <x:v>Low</x:v>
      </x:c>
    </x:row>
    <x:row r="502" ht="41" customHeight="1">
      <x:c r="A502" s="16" t="str">
        <x:v>RAW-00496</x:v>
      </x:c>
      <x:c r="B502" s="16" t="str">
        <x:v>Observation</x:v>
      </x:c>
      <x:c r="C502" s="16" t="str">
        <x:v>– Adjacent to front door. Minor corrosion at corner of window, typical to most windows. Staining on wall cladding at bolted connection.</x:v>
      </x:c>
      <x:c r="D502" s="16" t="str">
        <x:v>Cladding and framing</x:v>
      </x:c>
      <x:c r="E502" s="16" t="str">
        <x:v>SRC-023</x:v>
      </x:c>
      <x:c r="F502" s="16" t="str">
        <x:v>OBS-0091</x:v>
      </x:c>
      <x:c r="G502" s="16" t="str">
        <x:v>正式报告</x:v>
      </x:c>
      <x:c r="H502" s="19" t="n">
        <x:v>6</x:v>
      </x:c>
      <x:c r="I502" s="19" t="n">
        <x:v>9</x:v>
      </x:c>
      <x:c r="J502" s="19" t="n">
        <x:v>1</x:v>
      </x:c>
      <x:c r="K502" s="16" t="str">
        <x:v>3. Minor deterioration</x:v>
      </x:c>
      <x:c r="L502" s="16" t="str">
        <x:v>Unlikely</x:v>
      </x:c>
      <x:c r="M502" s="16" t="str">
        <x:v>Negligible</x:v>
      </x:c>
      <x:c r="N502" s="16" t="str">
        <x:v>Low</x:v>
      </x:c>
    </x:row>
    <x:row r="503" ht="37" customHeight="1">
      <x:c r="A503" s="16" t="str">
        <x:v>RAW-00497</x:v>
      </x:c>
      <x:c r="B503" s="16" t="str">
        <x:v>Recommendation</x:v>
      </x:c>
      <x:c r="C503" s="16" t="str">
        <x:v>– Clean, wire brush and repaint.</x:v>
      </x:c>
      <x:c r="D503" s="16" t="str">
        <x:v>Cladding and framing</x:v>
      </x:c>
      <x:c r="E503" s="16" t="str">
        <x:v>SRC-023</x:v>
      </x:c>
      <x:c r="F503" s="16" t="str">
        <x:v>REC-0001</x:v>
      </x:c>
      <x:c r="G503" s="16" t="str">
        <x:v>正式报告</x:v>
      </x:c>
      <x:c r="H503" s="19" t="n">
        <x:v>6</x:v>
      </x:c>
      <x:c r="I503" s="19" t="n">
        <x:v>9</x:v>
      </x:c>
      <x:c r="J503" s="19" t="n">
        <x:v>1</x:v>
      </x:c>
      <x:c r="K503" s="16" t="str">
        <x:v>3. Minor deterioration</x:v>
      </x:c>
      <x:c r="L503" s="16" t="str">
        <x:v>Unlikely</x:v>
      </x:c>
      <x:c r="M503" s="16" t="str">
        <x:v>Negligible</x:v>
      </x:c>
      <x:c r="N503" s="16" t="str">
        <x:v>Low</x:v>
      </x:c>
    </x:row>
    <x:row r="504" ht="37" customHeight="1">
      <x:c r="A504" s="16" t="str">
        <x:v>RAW-00498</x:v>
      </x:c>
      <x:c r="B504" s="16" t="str">
        <x:v>Recommendation</x:v>
      </x:c>
      <x:c r="C504" s="16" t="str">
        <x:v>– Clean and repaint.</x:v>
      </x:c>
      <x:c r="D504" s="16" t="str">
        <x:v>Columns</x:v>
      </x:c>
      <x:c r="E504" s="16" t="str">
        <x:v>SRC-024</x:v>
      </x:c>
      <x:c r="F504" s="16" t="str">
        <x:v>REC-0006</x:v>
      </x:c>
      <x:c r="G504" s="16" t="str">
        <x:v>正式报告</x:v>
      </x:c>
      <x:c r="H504" s="19" t="n">
        <x:v>3</x:v>
      </x:c>
      <x:c r="I504" s="19" t="n">
        <x:v>6</x:v>
      </x:c>
      <x:c r="J504" s="19" t="n">
        <x:v>2</x:v>
      </x:c>
      <x:c r="K504" s="16" t="str">
        <x:v>5. Major deterioration</x:v>
      </x:c>
      <x:c r="L504" s="16" t="str">
        <x:v>Likely</x:v>
      </x:c>
      <x:c r="M504" s="16" t="str">
        <x:v>Significant</x:v>
      </x:c>
      <x:c r="N504" s="16" t="str">
        <x:v>Critical</x:v>
      </x:c>
    </x:row>
    <x:row r="505" ht="37" customHeight="1">
      <x:c r="A505" s="16" t="str">
        <x:v>RAW-00499</x:v>
      </x:c>
      <x:c r="B505" s="16" t="str">
        <x:v>Observation</x:v>
      </x:c>
      <x:c r="C505" s="16" t="str">
        <x:v>– Back verandah column. Delamination towards lower section of column.</x:v>
      </x:c>
      <x:c r="D505" s="16" t="str">
        <x:v>Columns</x:v>
      </x:c>
      <x:c r="E505" s="16" t="str">
        <x:v>SRC-024</x:v>
      </x:c>
      <x:c r="F505" s="16" t="str">
        <x:v>OBS-0111</x:v>
      </x:c>
      <x:c r="G505" s="16" t="str">
        <x:v>正式报告</x:v>
      </x:c>
      <x:c r="H505" s="19" t="n">
        <x:v>3</x:v>
      </x:c>
      <x:c r="I505" s="19" t="n">
        <x:v>8</x:v>
      </x:c>
      <x:c r="J505" s="19" t="n">
        <x:v>2</x:v>
      </x:c>
      <x:c r="K505" s="16" t="str">
        <x:v>5. Major deterioration</x:v>
      </x:c>
      <x:c r="L505" s="16" t="str">
        <x:v>Likely</x:v>
      </x:c>
      <x:c r="M505" s="16" t="str">
        <x:v>Significant</x:v>
      </x:c>
      <x:c r="N505" s="16" t="str">
        <x:v>Critical</x:v>
      </x:c>
    </x:row>
    <x:row r="506" ht="37" customHeight="1">
      <x:c r="A506" s="16" t="str">
        <x:v>RAW-00500</x:v>
      </x:c>
      <x:c r="B506" s="16" t="str">
        <x:v>Recommendation</x:v>
      </x:c>
      <x:c r="C506" s="16" t="str">
        <x:v>– Clean, wire brush and repaint corroded areas.</x:v>
      </x:c>
      <x:c r="D506" s="16" t="str">
        <x:v>Columns</x:v>
      </x:c>
      <x:c r="E506" s="16" t="str">
        <x:v>SRC-024</x:v>
      </x:c>
      <x:c r="F506" s="16" t="str">
        <x:v>REC-0005</x:v>
      </x:c>
      <x:c r="G506" s="16" t="str">
        <x:v>正式报告</x:v>
      </x:c>
      <x:c r="H506" s="19" t="n">
        <x:v>3</x:v>
      </x:c>
      <x:c r="I506" s="19" t="n">
        <x:v>8</x:v>
      </x:c>
      <x:c r="J506" s="19" t="n">
        <x:v>2</x:v>
      </x:c>
      <x:c r="K506" s="16" t="str">
        <x:v>5. Major deterioration</x:v>
      </x:c>
      <x:c r="L506" s="16" t="str">
        <x:v>Likely</x:v>
      </x:c>
      <x:c r="M506" s="16" t="str">
        <x:v>Significant</x:v>
      </x:c>
      <x:c r="N506" s="16" t="str">
        <x:v>Critical</x:v>
      </x:c>
    </x:row>
    <x:row r="507" ht="37" customHeight="1">
      <x:c r="A507" s="16" t="str">
        <x:v>RAW-00501</x:v>
      </x:c>
      <x:c r="B507" s="16" t="str">
        <x:v>Observation</x:v>
      </x:c>
      <x:c r="C507" s="16" t="str">
        <x:v>– Back verandah column. Major delamination of the lower section. All other columns are in good condition.</x:v>
      </x:c>
      <x:c r="D507" s="16" t="str">
        <x:v>Columns</x:v>
      </x:c>
      <x:c r="E507" s="16" t="str">
        <x:v>SRC-024</x:v>
      </x:c>
      <x:c r="F507" s="16" t="str">
        <x:v>OBS-0112</x:v>
      </x:c>
      <x:c r="G507" s="16" t="str">
        <x:v>正式报告</x:v>
      </x:c>
      <x:c r="H507" s="19" t="n">
        <x:v>3</x:v>
      </x:c>
      <x:c r="I507" s="19" t="n">
        <x:v>10</x:v>
      </x:c>
      <x:c r="J507" s="19" t="n">
        <x:v>2</x:v>
      </x:c>
      <x:c r="K507" s="16" t="str">
        <x:v>5. Major deterioration</x:v>
      </x:c>
      <x:c r="L507" s="16" t="str">
        <x:v>Likely</x:v>
      </x:c>
      <x:c r="M507" s="16" t="str">
        <x:v>Significant</x:v>
      </x:c>
      <x:c r="N507" s="16" t="str">
        <x:v>Critical</x:v>
      </x:c>
    </x:row>
    <x:row r="508" ht="37" customHeight="1">
      <x:c r="A508" s="16" t="str">
        <x:v>RAW-00502</x:v>
      </x:c>
      <x:c r="B508" s="16" t="str">
        <x:v>Recommendation</x:v>
      </x:c>
      <x:c r="C508" s="16" t="str">
        <x:v>– Clean, wire brush and repaint corroded areas. Clean salt staining.</x:v>
      </x:c>
      <x:c r="D508" s="16" t="str">
        <x:v>Columns</x:v>
      </x:c>
      <x:c r="E508" s="16" t="str">
        <x:v>SRC-024</x:v>
      </x:c>
      <x:c r="F508" s="16" t="str">
        <x:v>REC-0075</x:v>
      </x:c>
      <x:c r="G508" s="16" t="str">
        <x:v>正式报告</x:v>
      </x:c>
      <x:c r="H508" s="19" t="n">
        <x:v>3</x:v>
      </x:c>
      <x:c r="I508" s="19" t="n">
        <x:v>10</x:v>
      </x:c>
      <x:c r="J508" s="19" t="n">
        <x:v>2</x:v>
      </x:c>
      <x:c r="K508" s="16" t="str">
        <x:v>5. Major deterioration</x:v>
      </x:c>
      <x:c r="L508" s="16" t="str">
        <x:v>Likely</x:v>
      </x:c>
      <x:c r="M508" s="16" t="str">
        <x:v>Significant</x:v>
      </x:c>
      <x:c r="N508" s="16" t="str">
        <x:v>Critical</x:v>
      </x:c>
    </x:row>
    <x:row r="509" ht="37" customHeight="1">
      <x:c r="A509" s="16" t="str">
        <x:v>RAW-00503</x:v>
      </x:c>
      <x:c r="B509" s="16" t="str">
        <x:v>Observation</x:v>
      </x:c>
      <x:c r="C509" s="16" t="str">
        <x:v>– Backyard fencing post. Most posts have paint deterioration at the lower section.</x:v>
      </x:c>
      <x:c r="D509" s="16" t="str">
        <x:v>Fencing posts</x:v>
      </x:c>
      <x:c r="E509" s="16" t="str">
        <x:v>SRC-024</x:v>
      </x:c>
      <x:c r="F509" s="16" t="str">
        <x:v>OBS-0035</x:v>
      </x:c>
      <x:c r="G509" s="16" t="str">
        <x:v>正式报告</x:v>
      </x:c>
      <x:c r="H509" s="19" t="n">
        <x:v>4</x:v>
      </x:c>
      <x:c r="I509" s="19" t="n">
        <x:v>6</x:v>
      </x:c>
      <x:c r="J509" s="19" t="n">
        <x:v>2</x:v>
      </x:c>
      <x:c r="K509" s="16" t="str">
        <x:v>3. Minor deterioration</x:v>
      </x:c>
      <x:c r="L509" s="16" t="str">
        <x:v>Unlikely</x:v>
      </x:c>
      <x:c r="M509" s="16" t="str">
        <x:v>Moderate</x:v>
      </x:c>
      <x:c r="N509" s="16" t="str">
        <x:v>Moderate</x:v>
      </x:c>
    </x:row>
    <x:row r="510" ht="41" customHeight="1">
      <x:c r="A510" s="16" t="str">
        <x:v>RAW-00504</x:v>
      </x:c>
      <x:c r="B510" s="16" t="str">
        <x:v>Recommendation</x:v>
      </x:c>
      <x:c r="C510" s="16" t="str">
        <x:v>– Clean, wire brush and repaint. Excavate all fencing posts to the base and investigate the condition. Undertake appropriate repair stated within Section 3.</x:v>
      </x:c>
      <x:c r="D510" s="16" t="str">
        <x:v>Fencing posts</x:v>
      </x:c>
      <x:c r="E510" s="16" t="str">
        <x:v>SRC-024</x:v>
      </x:c>
      <x:c r="F510" s="16" t="str">
        <x:v>REC-0011</x:v>
      </x:c>
      <x:c r="G510" s="16" t="str">
        <x:v>正式报告</x:v>
      </x:c>
      <x:c r="H510" s="19" t="n">
        <x:v>4</x:v>
      </x:c>
      <x:c r="I510" s="19" t="n">
        <x:v>6</x:v>
      </x:c>
      <x:c r="J510" s="19" t="n">
        <x:v>2</x:v>
      </x:c>
      <x:c r="K510" s="16" t="str">
        <x:v>3. Minor deterioration</x:v>
      </x:c>
      <x:c r="L510" s="16" t="str">
        <x:v>Unlikely</x:v>
      </x:c>
      <x:c r="M510" s="16" t="str">
        <x:v>Moderate</x:v>
      </x:c>
      <x:c r="N510" s="16" t="str">
        <x:v>Moderate</x:v>
      </x:c>
    </x:row>
    <x:row r="511" ht="37" customHeight="1">
      <x:c r="A511" s="16" t="str">
        <x:v>RAW-00505</x:v>
      </x:c>
      <x:c r="B511" s="16" t="str">
        <x:v>Observation</x:v>
      </x:c>
      <x:c r="C511" s="16" t="str">
        <x:v>– Front verandah in good condition.</x:v>
      </x:c>
      <x:c r="D511" s="16" t="str">
        <x:v>Rafters and purlins</x:v>
      </x:c>
      <x:c r="E511" s="16" t="str">
        <x:v>SRC-024</x:v>
      </x:c>
      <x:c r="F511" s="16" t="str">
        <x:v>OBS-0013</x:v>
      </x:c>
      <x:c r="G511" s="16" t="str">
        <x:v>正式报告</x:v>
      </x:c>
      <x:c r="H511" s="19" t="n">
        <x:v>5</x:v>
      </x:c>
      <x:c r="I511" s="19" t="n">
        <x:v>6</x:v>
      </x:c>
      <x:c r="J511" s="19" t="n">
        <x:v>1</x:v>
      </x:c>
      <x:c r="K511" s="16" t="str">
        <x:v>2. New with slight deterioration</x:v>
      </x:c>
      <x:c r="L511" s="16" t="str">
        <x:v>Very unlikely</x:v>
      </x:c>
      <x:c r="M511" s="16" t="str">
        <x:v>Significant</x:v>
      </x:c>
      <x:c r="N511" s="16" t="str">
        <x:v>Low</x:v>
      </x:c>
    </x:row>
    <x:row r="512" ht="37" customHeight="1">
      <x:c r="A512" s="16" t="str">
        <x:v>RAW-00506</x:v>
      </x:c>
      <x:c r="B512" s="16" t="str">
        <x:v>Observation</x:v>
      </x:c>
      <x:c r="C512" s="16" t="str">
        <x:v>– Carport verandah in good condition.</x:v>
      </x:c>
      <x:c r="D512" s="16" t="str">
        <x:v>Rafters and purlins</x:v>
      </x:c>
      <x:c r="E512" s="16" t="str">
        <x:v>SRC-024</x:v>
      </x:c>
      <x:c r="F512" s="16" t="str">
        <x:v>OBS-0003</x:v>
      </x:c>
      <x:c r="G512" s="16" t="str">
        <x:v>正式报告</x:v>
      </x:c>
      <x:c r="H512" s="19" t="n">
        <x:v>5</x:v>
      </x:c>
      <x:c r="I512" s="19" t="n">
        <x:v>7</x:v>
      </x:c>
      <x:c r="J512" s="19" t="n">
        <x:v>1</x:v>
      </x:c>
      <x:c r="K512" s="16" t="str">
        <x:v>2. New with slight deterioration</x:v>
      </x:c>
      <x:c r="L512" s="16" t="str">
        <x:v>Very unlikely</x:v>
      </x:c>
      <x:c r="M512" s="16" t="str">
        <x:v>Significant</x:v>
      </x:c>
      <x:c r="N512" s="16" t="str">
        <x:v>Low</x:v>
      </x:c>
    </x:row>
    <x:row r="513" ht="37" customHeight="1">
      <x:c r="A513" s="16" t="str">
        <x:v>RAW-00507</x:v>
      </x:c>
      <x:c r="B513" s="16" t="str">
        <x:v>Observation</x:v>
      </x:c>
      <x:c r="C513" s="16" t="str">
        <x:v>– Back verandah in good condition.</x:v>
      </x:c>
      <x:c r="D513" s="16" t="str">
        <x:v>Rafters and purlins</x:v>
      </x:c>
      <x:c r="E513" s="16" t="str">
        <x:v>SRC-024</x:v>
      </x:c>
      <x:c r="F513" s="16" t="str">
        <x:v>OBS-0007</x:v>
      </x:c>
      <x:c r="G513" s="16" t="str">
        <x:v>正式报告</x:v>
      </x:c>
      <x:c r="H513" s="19" t="n">
        <x:v>5</x:v>
      </x:c>
      <x:c r="I513" s="19" t="n">
        <x:v>8</x:v>
      </x:c>
      <x:c r="J513" s="19" t="n">
        <x:v>1</x:v>
      </x:c>
      <x:c r="K513" s="16" t="str">
        <x:v>2. New with slight deterioration</x:v>
      </x:c>
      <x:c r="L513" s="16" t="str">
        <x:v>Very unlikely</x:v>
      </x:c>
      <x:c r="M513" s="16" t="str">
        <x:v>Significant</x:v>
      </x:c>
      <x:c r="N513" s="16" t="str">
        <x:v>Low</x:v>
      </x:c>
    </x:row>
    <x:row r="514" ht="37" customHeight="1">
      <x:c r="A514" s="16" t="str">
        <x:v>RAW-00508</x:v>
      </x:c>
      <x:c r="B514" s="16" t="str">
        <x:v>Observation</x:v>
      </x:c>
      <x:c r="C514" s="16" t="str">
        <x:v>– Salt staining on rafters and purlins supporting roof overhang.</x:v>
      </x:c>
      <x:c r="D514" s="16" t="str">
        <x:v>Rafters and purlins</x:v>
      </x:c>
      <x:c r="E514" s="16" t="str">
        <x:v>SRC-024</x:v>
      </x:c>
      <x:c r="F514" s="16" t="str">
        <x:v>OBS-0006</x:v>
      </x:c>
      <x:c r="G514" s="16" t="str">
        <x:v>正式报告</x:v>
      </x:c>
      <x:c r="H514" s="19" t="n">
        <x:v>5</x:v>
      </x:c>
      <x:c r="I514" s="19" t="n">
        <x:v>9</x:v>
      </x:c>
      <x:c r="J514" s="19" t="n">
        <x:v>2</x:v>
      </x:c>
      <x:c r="K514" s="16" t="str">
        <x:v>2. New with slight deterioration</x:v>
      </x:c>
      <x:c r="L514" s="16" t="str">
        <x:v>Very unlikely</x:v>
      </x:c>
      <x:c r="M514" s="16" t="str">
        <x:v>Significant</x:v>
      </x:c>
      <x:c r="N514" s="16" t="str">
        <x:v>Low</x:v>
      </x:c>
    </x:row>
    <x:row r="515" ht="37" customHeight="1">
      <x:c r="A515" s="16" t="str">
        <x:v>RAW-00509</x:v>
      </x:c>
      <x:c r="B515" s="16" t="str">
        <x:v>Recommendation</x:v>
      </x:c>
      <x:c r="C515" s="16" t="str">
        <x:v>– Clean off salt staining.</x:v>
      </x:c>
      <x:c r="D515" s="16" t="str">
        <x:v>Rafters and purlins</x:v>
      </x:c>
      <x:c r="E515" s="16" t="str">
        <x:v>SRC-024</x:v>
      </x:c>
      <x:c r="F515" s="16" t="str">
        <x:v>REC-0008</x:v>
      </x:c>
      <x:c r="G515" s="16" t="str">
        <x:v>正式报告</x:v>
      </x:c>
      <x:c r="H515" s="19" t="n">
        <x:v>5</x:v>
      </x:c>
      <x:c r="I515" s="19" t="n">
        <x:v>9</x:v>
      </x:c>
      <x:c r="J515" s="19" t="n">
        <x:v>2</x:v>
      </x:c>
      <x:c r="K515" s="16" t="str">
        <x:v>2. New with slight deterioration</x:v>
      </x:c>
      <x:c r="L515" s="16" t="str">
        <x:v>Very unlikely</x:v>
      </x:c>
      <x:c r="M515" s="16" t="str">
        <x:v>Significant</x:v>
      </x:c>
      <x:c r="N515" s="16" t="str">
        <x:v>Low</x:v>
      </x:c>
    </x:row>
    <x:row r="516" ht="37" customHeight="1">
      <x:c r="A516" s="16" t="str">
        <x:v>RAW-00510</x:v>
      </x:c>
      <x:c r="B516" s="16" t="str">
        <x:v>Observation</x:v>
      </x:c>
      <x:c r="C516" s="16" t="str">
        <x:v>– Carport roof sheeting. Minor corrosion at roof edge.</x:v>
      </x:c>
      <x:c r="D516" s="16" t="str">
        <x:v>Roof sheeting</x:v>
      </x:c>
      <x:c r="E516" s="16" t="str">
        <x:v>SRC-024</x:v>
      </x:c>
      <x:c r="F516" s="16" t="str">
        <x:v>OBS-0166</x:v>
      </x:c>
      <x:c r="G516" s="16" t="str">
        <x:v>正式报告</x:v>
      </x:c>
      <x:c r="H516" s="19" t="n">
        <x:v>6</x:v>
      </x:c>
      <x:c r="I516" s="19" t="n">
        <x:v>6</x:v>
      </x:c>
      <x:c r="J516" s="19" t="n">
        <x:v>2</x:v>
      </x:c>
      <x:c r="K516" s="16" t="str">
        <x:v>3. Minor deterioration</x:v>
      </x:c>
      <x:c r="L516" s="16" t="str">
        <x:v>Unlikely</x:v>
      </x:c>
      <x:c r="M516" s="16" t="str">
        <x:v>Negligible</x:v>
      </x:c>
      <x:c r="N516" s="16" t="str">
        <x:v>Low</x:v>
      </x:c>
    </x:row>
    <x:row r="517" ht="41" customHeight="1">
      <x:c r="A517" s="16" t="str">
        <x:v>RAW-00511</x:v>
      </x:c>
      <x:c r="B517" s="16" t="str">
        <x:v>Recommendation</x:v>
      </x:c>
      <x:c r="C517" s="16" t="str">
        <x:v>– Investigate whether ridge flashing has been correctly installed. Clean, wire brush and repaint corroded areas.</x:v>
      </x:c>
      <x:c r="D517" s="16" t="str">
        <x:v>Roof sheeting</x:v>
      </x:c>
      <x:c r="E517" s="16" t="str">
        <x:v>SRC-024</x:v>
      </x:c>
      <x:c r="F517" s="16" t="str">
        <x:v>REC-0109</x:v>
      </x:c>
      <x:c r="G517" s="16" t="str">
        <x:v>正式报告</x:v>
      </x:c>
      <x:c r="H517" s="19" t="n">
        <x:v>6</x:v>
      </x:c>
      <x:c r="I517" s="19" t="n">
        <x:v>6</x:v>
      </x:c>
      <x:c r="J517" s="19" t="n">
        <x:v>2</x:v>
      </x:c>
      <x:c r="K517" s="16" t="str">
        <x:v>3. Minor deterioration</x:v>
      </x:c>
      <x:c r="L517" s="16" t="str">
        <x:v>Unlikely</x:v>
      </x:c>
      <x:c r="M517" s="16" t="str">
        <x:v>Negligible</x:v>
      </x:c>
      <x:c r="N517" s="16" t="str">
        <x:v>Low</x:v>
      </x:c>
    </x:row>
    <x:row r="518" ht="37" customHeight="1">
      <x:c r="A518" s="16" t="str">
        <x:v>RAW-00512</x:v>
      </x:c>
      <x:c r="B518" s="16" t="str">
        <x:v>Observation</x:v>
      </x:c>
      <x:c r="C518" s="16" t="str">
        <x:v>– Front of property. Cladding and framing in good condition.</x:v>
      </x:c>
      <x:c r="D518" s="16" t="str">
        <x:v>Cladding and framing</x:v>
      </x:c>
      <x:c r="E518" s="16" t="str">
        <x:v>SRC-024</x:v>
      </x:c>
      <x:c r="F518" s="16" t="str">
        <x:v>OBS-0004</x:v>
      </x:c>
      <x:c r="G518" s="16" t="str">
        <x:v>正式报告</x:v>
      </x:c>
      <x:c r="H518" s="19" t="n">
        <x:v>7</x:v>
      </x:c>
      <x:c r="I518" s="19" t="n">
        <x:v>6</x:v>
      </x:c>
      <x:c r="J518" s="19" t="n">
        <x:v>1</x:v>
      </x:c>
      <x:c r="K518" s="16" t="str">
        <x:v>3. Minor deterioration</x:v>
      </x:c>
      <x:c r="L518" s="16" t="str">
        <x:v>Unlikely</x:v>
      </x:c>
      <x:c r="M518" s="16" t="str">
        <x:v>Negligible</x:v>
      </x:c>
      <x:c r="N518" s="16" t="str">
        <x:v>Low</x:v>
      </x:c>
    </x:row>
    <x:row r="519" ht="37" customHeight="1">
      <x:c r="A519" s="16" t="str">
        <x:v>RAW-00513</x:v>
      </x:c>
      <x:c r="B519" s="16" t="str">
        <x:v>Observation</x:v>
      </x:c>
      <x:c r="C519" s="16" t="str">
        <x:v>– Carport. Surface corrosion on corner flashing at overlap.</x:v>
      </x:c>
      <x:c r="D519" s="16" t="str">
        <x:v>Cladding and framing</x:v>
      </x:c>
      <x:c r="E519" s="16" t="str">
        <x:v>SRC-024</x:v>
      </x:c>
      <x:c r="F519" s="16" t="str">
        <x:v>OBS-0182</x:v>
      </x:c>
      <x:c r="G519" s="16" t="str">
        <x:v>正式报告</x:v>
      </x:c>
      <x:c r="H519" s="19" t="n">
        <x:v>7</x:v>
      </x:c>
      <x:c r="I519" s="19" t="n">
        <x:v>7</x:v>
      </x:c>
      <x:c r="J519" s="19" t="n">
        <x:v>1</x:v>
      </x:c>
      <x:c r="K519" s="16" t="str">
        <x:v>3. Minor deterioration</x:v>
      </x:c>
      <x:c r="L519" s="16" t="str">
        <x:v>Unlikely</x:v>
      </x:c>
      <x:c r="M519" s="16" t="str">
        <x:v>Negligible</x:v>
      </x:c>
      <x:c r="N519" s="16" t="str">
        <x:v>Low</x:v>
      </x:c>
    </x:row>
    <x:row r="520" ht="37" customHeight="1">
      <x:c r="A520" s="16" t="str">
        <x:v>RAW-00514</x:v>
      </x:c>
      <x:c r="B520" s="16" t="str">
        <x:v>Recommendation</x:v>
      </x:c>
      <x:c r="C520" s="16" t="str">
        <x:v>– Clean, wire brush and repaint corroded areas.</x:v>
      </x:c>
      <x:c r="D520" s="16" t="str">
        <x:v>Cladding and framing</x:v>
      </x:c>
      <x:c r="E520" s="16" t="str">
        <x:v>SRC-024</x:v>
      </x:c>
      <x:c r="F520" s="16" t="str">
        <x:v>REC-0005</x:v>
      </x:c>
      <x:c r="G520" s="16" t="str">
        <x:v>正式报告</x:v>
      </x:c>
      <x:c r="H520" s="19" t="n">
        <x:v>7</x:v>
      </x:c>
      <x:c r="I520" s="19" t="n">
        <x:v>7</x:v>
      </x:c>
      <x:c r="J520" s="19" t="n">
        <x:v>1</x:v>
      </x:c>
      <x:c r="K520" s="16" t="str">
        <x:v>3. Minor deterioration</x:v>
      </x:c>
      <x:c r="L520" s="16" t="str">
        <x:v>Unlikely</x:v>
      </x:c>
      <x:c r="M520" s="16" t="str">
        <x:v>Negligible</x:v>
      </x:c>
      <x:c r="N520" s="16" t="str">
        <x:v>Low</x:v>
      </x:c>
    </x:row>
    <x:row r="521" ht="37" customHeight="1">
      <x:c r="A521" s="16" t="str">
        <x:v>RAW-00515</x:v>
      </x:c>
      <x:c r="B521" s="16" t="str">
        <x:v>Observation</x:v>
      </x:c>
      <x:c r="C521" s="16" t="str">
        <x:v>– Back of property. Cladding and framing in good condition.</x:v>
      </x:c>
      <x:c r="D521" s="16" t="str">
        <x:v>Cladding and framing</x:v>
      </x:c>
      <x:c r="E521" s="16" t="str">
        <x:v>SRC-024</x:v>
      </x:c>
      <x:c r="F521" s="16" t="str">
        <x:v>OBS-0011</x:v>
      </x:c>
      <x:c r="G521" s="16" t="str">
        <x:v>正式报告</x:v>
      </x:c>
      <x:c r="H521" s="19" t="n">
        <x:v>7</x:v>
      </x:c>
      <x:c r="I521" s="19" t="n">
        <x:v>8</x:v>
      </x:c>
      <x:c r="J521" s="19" t="n">
        <x:v>1</x:v>
      </x:c>
      <x:c r="K521" s="16" t="str">
        <x:v>3. Minor deterioration</x:v>
      </x:c>
      <x:c r="L521" s="16" t="str">
        <x:v>Unlikely</x:v>
      </x:c>
      <x:c r="M521" s="16" t="str">
        <x:v>Negligible</x:v>
      </x:c>
      <x:c r="N521" s="16" t="str">
        <x:v>Low</x:v>
      </x:c>
    </x:row>
    <x:row r="522" ht="37" customHeight="1">
      <x:c r="A522" s="16" t="str">
        <x:v>RAW-00516</x:v>
      </x:c>
      <x:c r="B522" s="16" t="str">
        <x:v>Observation</x:v>
      </x:c>
      <x:c r="C522" s="16" t="str">
        <x:v>– Back of property. Corrosion around outlet pipe.</x:v>
      </x:c>
      <x:c r="D522" s="16" t="str">
        <x:v>Cladding and framing</x:v>
      </x:c>
      <x:c r="E522" s="16" t="str">
        <x:v>SRC-024</x:v>
      </x:c>
      <x:c r="F522" s="16" t="str">
        <x:v>OBS-0020</x:v>
      </x:c>
      <x:c r="G522" s="16" t="str">
        <x:v>正式报告</x:v>
      </x:c>
      <x:c r="H522" s="19" t="n">
        <x:v>7</x:v>
      </x:c>
      <x:c r="I522" s="19" t="n">
        <x:v>9</x:v>
      </x:c>
      <x:c r="J522" s="19" t="n">
        <x:v>1</x:v>
      </x:c>
      <x:c r="K522" s="16" t="str">
        <x:v>3. Minor deterioration</x:v>
      </x:c>
      <x:c r="L522" s="16" t="str">
        <x:v>Unlikely</x:v>
      </x:c>
      <x:c r="M522" s="16" t="str">
        <x:v>Negligible</x:v>
      </x:c>
      <x:c r="N522" s="16" t="str">
        <x:v>Low</x:v>
      </x:c>
    </x:row>
    <x:row r="523" ht="37" customHeight="1">
      <x:c r="A523" s="16" t="str">
        <x:v>RAW-00517</x:v>
      </x:c>
      <x:c r="B523" s="16" t="str">
        <x:v>Recommendation</x:v>
      </x:c>
      <x:c r="C523" s="16" t="str">
        <x:v>– Clean, wire brush and repaint corroded areas.</x:v>
      </x:c>
      <x:c r="D523" s="16" t="str">
        <x:v>Cladding and framing</x:v>
      </x:c>
      <x:c r="E523" s="16" t="str">
        <x:v>SRC-024</x:v>
      </x:c>
      <x:c r="F523" s="16" t="str">
        <x:v>REC-0005</x:v>
      </x:c>
      <x:c r="G523" s="16" t="str">
        <x:v>正式报告</x:v>
      </x:c>
      <x:c r="H523" s="19" t="n">
        <x:v>7</x:v>
      </x:c>
      <x:c r="I523" s="19" t="n">
        <x:v>9</x:v>
      </x:c>
      <x:c r="J523" s="19" t="n">
        <x:v>1</x:v>
      </x:c>
      <x:c r="K523" s="16" t="str">
        <x:v>3. Minor deterioration</x:v>
      </x:c>
      <x:c r="L523" s="16" t="str">
        <x:v>Unlikely</x:v>
      </x:c>
      <x:c r="M523" s="16" t="str">
        <x:v>Negligible</x:v>
      </x:c>
      <x:c r="N523" s="16" t="str">
        <x:v>Low</x:v>
      </x:c>
    </x:row>
    <x:row r="524" ht="37" customHeight="1">
      <x:c r="A524" s="16" t="str">
        <x:v>RAW-00518</x:v>
      </x:c>
      <x:c r="B524" s="16" t="str">
        <x:v>Observation</x:v>
      </x:c>
      <x:c r="C524" s="16" t="str">
        <x:v>– Window framing in good condition. Staining on surface.</x:v>
      </x:c>
      <x:c r="D524" s="16" t="str">
        <x:v>Cladding and framing</x:v>
      </x:c>
      <x:c r="E524" s="16" t="str">
        <x:v>SRC-024</x:v>
      </x:c>
      <x:c r="F524" s="16" t="str">
        <x:v>OBS-0610</x:v>
      </x:c>
      <x:c r="G524" s="16" t="str">
        <x:v>正式报告</x:v>
      </x:c>
      <x:c r="H524" s="19" t="n">
        <x:v>7</x:v>
      </x:c>
      <x:c r="I524" s="19" t="n">
        <x:v>10</x:v>
      </x:c>
      <x:c r="J524" s="19" t="n">
        <x:v>1</x:v>
      </x:c>
      <x:c r="K524" s="16" t="str">
        <x:v>3. Minor deterioration</x:v>
      </x:c>
      <x:c r="L524" s="16" t="str">
        <x:v>Unlikely</x:v>
      </x:c>
      <x:c r="M524" s="16" t="str">
        <x:v>Negligible</x:v>
      </x:c>
      <x:c r="N524" s="16" t="str">
        <x:v>Low</x:v>
      </x:c>
    </x:row>
    <x:row r="525" ht="37" customHeight="1">
      <x:c r="A525" s="16" t="str">
        <x:v>RAW-00519</x:v>
      </x:c>
      <x:c r="B525" s="16" t="str">
        <x:v>Recommendation</x:v>
      </x:c>
      <x:c r="C525" s="16" t="str">
        <x:v>– Remove staining.</x:v>
      </x:c>
      <x:c r="D525" s="16" t="str">
        <x:v>Cladding and framing</x:v>
      </x:c>
      <x:c r="E525" s="16" t="str">
        <x:v>SRC-024</x:v>
      </x:c>
      <x:c r="F525" s="16" t="str">
        <x:v>REC-0133</x:v>
      </x:c>
      <x:c r="G525" s="16" t="str">
        <x:v>正式报告</x:v>
      </x:c>
      <x:c r="H525" s="19" t="n">
        <x:v>7</x:v>
      </x:c>
      <x:c r="I525" s="19" t="n">
        <x:v>10</x:v>
      </x:c>
      <x:c r="J525" s="19" t="n">
        <x:v>1</x:v>
      </x:c>
      <x:c r="K525" s="16" t="str">
        <x:v>3. Minor deterioration</x:v>
      </x:c>
      <x:c r="L525" s="16" t="str">
        <x:v>Unlikely</x:v>
      </x:c>
      <x:c r="M525" s="16" t="str">
        <x:v>Negligible</x:v>
      </x:c>
      <x:c r="N525" s="16" t="str">
        <x:v>Low</x:v>
      </x:c>
    </x:row>
    <x:row r="526" ht="37" customHeight="1">
      <x:c r="A526" s="16" t="str">
        <x:v>RAW-00520</x:v>
      </x:c>
      <x:c r="B526" s="16" t="str">
        <x:v>Observation</x:v>
      </x:c>
      <x:c r="C526" s="16" t="str">
        <x:v>– Carport brick wall. Minor cracking of mortar indicating minor movement of the foundation.</x:v>
      </x:c>
      <x:c r="D526" s="16" t="str">
        <x:v>Brick wall</x:v>
      </x:c>
      <x:c r="E526" s="16" t="str">
        <x:v>SRC-024</x:v>
      </x:c>
      <x:c r="F526" s="16" t="str">
        <x:v>OBS-0149</x:v>
      </x:c>
      <x:c r="G526" s="16" t="str">
        <x:v>正式报告</x:v>
      </x:c>
      <x:c r="H526" s="19" t="n">
        <x:v>8</x:v>
      </x:c>
      <x:c r="I526" s="19" t="n">
        <x:v>6</x:v>
      </x:c>
      <x:c r="J526" s="19" t="n">
        <x:v>1</x:v>
      </x:c>
      <x:c r="K526" s="16" t="str">
        <x:v>2. New with slight deterioration</x:v>
      </x:c>
      <x:c r="L526" s="16" t="str">
        <x:v>Very unlikely</x:v>
      </x:c>
      <x:c r="M526" s="16" t="str">
        <x:v>Moderate</x:v>
      </x:c>
      <x:c r="N526" s="16" t="str">
        <x:v>Low</x:v>
      </x:c>
    </x:row>
    <x:row r="527" ht="41" customHeight="1">
      <x:c r="A527" s="16" t="str">
        <x:v>RAW-00521</x:v>
      </x:c>
      <x:c r="B527" s="16" t="str">
        <x:v>Observation</x:v>
      </x:c>
      <x:c r="C527" s="16" t="str">
        <x:v>– Separation of brickwork and column, gap at top and tapers down to bottom. This indicates minor movement of the foundation.</x:v>
      </x:c>
      <x:c r="D527" s="16" t="str">
        <x:v>Brick wall</x:v>
      </x:c>
      <x:c r="E527" s="16" t="str">
        <x:v>SRC-024</x:v>
      </x:c>
      <x:c r="F527" s="16" t="str">
        <x:v>OBS-0555</x:v>
      </x:c>
      <x:c r="G527" s="16" t="str">
        <x:v>正式报告</x:v>
      </x:c>
      <x:c r="H527" s="19" t="n">
        <x:v>8</x:v>
      </x:c>
      <x:c r="I527" s="19" t="n">
        <x:v>7</x:v>
      </x:c>
      <x:c r="J527" s="19" t="n">
        <x:v>1</x:v>
      </x:c>
      <x:c r="K527" s="16" t="str">
        <x:v>2. New with slight deterioration</x:v>
      </x:c>
      <x:c r="L527" s="16" t="str">
        <x:v>Very unlikely</x:v>
      </x:c>
      <x:c r="M527" s="16" t="str">
        <x:v>Moderate</x:v>
      </x:c>
      <x:c r="N527" s="16" t="str">
        <x:v>Low</x:v>
      </x:c>
    </x:row>
    <x:row r="528" ht="41" customHeight="1">
      <x:c r="A528" s="16" t="str">
        <x:v>RAW-00522</x:v>
      </x:c>
      <x:c r="B528" s="16" t="str">
        <x:v>Recommendation</x:v>
      </x:c>
      <x:c r="C528" s="16" t="str">
        <x:v>– Flexible sealant fill along the column and monitor the separation of the column between the brickwork and the cracking of the mortar bed.</x:v>
      </x:c>
      <x:c r="D528" s="16" t="str">
        <x:v>Brick wall</x:v>
      </x:c>
      <x:c r="E528" s="16" t="str">
        <x:v>SRC-024</x:v>
      </x:c>
      <x:c r="F528" s="16" t="str">
        <x:v>REC-0100</x:v>
      </x:c>
      <x:c r="G528" s="16" t="str">
        <x:v>正式报告</x:v>
      </x:c>
      <x:c r="H528" s="19" t="n">
        <x:v>8</x:v>
      </x:c>
      <x:c r="I528" s="19" t="n">
        <x:v>7</x:v>
      </x:c>
      <x:c r="J528" s="19" t="n">
        <x:v>1</x:v>
      </x:c>
      <x:c r="K528" s="16" t="str">
        <x:v>2. New with slight deterioration</x:v>
      </x:c>
      <x:c r="L528" s="16" t="str">
        <x:v>Very unlikely</x:v>
      </x:c>
      <x:c r="M528" s="16" t="str">
        <x:v>Moderate</x:v>
      </x:c>
      <x:c r="N528" s="16" t="str">
        <x:v>Low</x:v>
      </x:c>
    </x:row>
    <x:row r="529" ht="37" customHeight="1">
      <x:c r="A529" s="16" t="str">
        <x:v>RAW-00523</x:v>
      </x:c>
      <x:c r="B529" s="16" t="str">
        <x:v>Observation</x:v>
      </x:c>
      <x:c r="C529" s="16" t="str">
        <x:v>– Fencing posts on left hand side of property facing the front entrance.</x:v>
      </x:c>
      <x:c r="D529" s="16" t="str">
        <x:v>Fencing post</x:v>
      </x:c>
      <x:c r="E529" s="16" t="str">
        <x:v>SRC-025</x:v>
      </x:c>
      <x:c r="F529" s="16" t="str">
        <x:v>OBS-0023</x:v>
      </x:c>
      <x:c r="G529" s="16" t="str">
        <x:v>正式报告</x:v>
      </x:c>
      <x:c r="H529" s="19" t="n">
        <x:v>3</x:v>
      </x:c>
      <x:c r="I529" s="19" t="n">
        <x:v>6</x:v>
      </x:c>
      <x:c r="J529" s="19" t="n">
        <x:v>1</x:v>
      </x:c>
      <x:c r="K529" s="16" t="str">
        <x:v>4. Moderate</x:v>
      </x:c>
      <x:c r="L529" s="16" t="str">
        <x:v>Possible</x:v>
      </x:c>
      <x:c r="M529" s="16" t="str">
        <x:v>Moderate</x:v>
      </x:c>
      <x:c r="N529" s="16" t="str">
        <x:v>High</x:v>
      </x:c>
    </x:row>
    <x:row r="530" ht="37" customHeight="1">
      <x:c r="A530" s="16" t="str">
        <x:v>RAW-00524</x:v>
      </x:c>
      <x:c r="B530" s="16" t="str">
        <x:v>Observation</x:v>
      </x:c>
      <x:c r="C530" s="16" t="str">
        <x:v>– Fencing posts on left hand side of property facing the front entrance. Corrosion.</x:v>
      </x:c>
      <x:c r="D530" s="16" t="str">
        <x:v>Fencing post</x:v>
      </x:c>
      <x:c r="E530" s="16" t="str">
        <x:v>SRC-025</x:v>
      </x:c>
      <x:c r="F530" s="16" t="str">
        <x:v>OBS-0265</x:v>
      </x:c>
      <x:c r="G530" s="16" t="str">
        <x:v>正式报告</x:v>
      </x:c>
      <x:c r="H530" s="19" t="n">
        <x:v>3</x:v>
      </x:c>
      <x:c r="I530" s="19" t="n">
        <x:v>7</x:v>
      </x:c>
      <x:c r="J530" s="19" t="n">
        <x:v>2</x:v>
      </x:c>
      <x:c r="K530" s="16" t="str">
        <x:v>4. Moderate</x:v>
      </x:c>
      <x:c r="L530" s="16" t="str">
        <x:v>Possible</x:v>
      </x:c>
      <x:c r="M530" s="16" t="str">
        <x:v>Moderate</x:v>
      </x:c>
      <x:c r="N530" s="16" t="str">
        <x:v>High</x:v>
      </x:c>
    </x:row>
    <x:row r="531" ht="37" customHeight="1">
      <x:c r="A531" s="16" t="str">
        <x:v>RAW-00525</x:v>
      </x:c>
      <x:c r="B531" s="16" t="str">
        <x:v>Recommendation</x:v>
      </x:c>
      <x:c r="C531" s="16" t="str">
        <x:v>– Clean, wire brush and repaint.</x:v>
      </x:c>
      <x:c r="D531" s="16" t="str">
        <x:v>Fencing post</x:v>
      </x:c>
      <x:c r="E531" s="16" t="str">
        <x:v>SRC-025</x:v>
      </x:c>
      <x:c r="F531" s="16" t="str">
        <x:v>REC-0001</x:v>
      </x:c>
      <x:c r="G531" s="16" t="str">
        <x:v>正式报告</x:v>
      </x:c>
      <x:c r="H531" s="19" t="n">
        <x:v>3</x:v>
      </x:c>
      <x:c r="I531" s="19" t="n">
        <x:v>7</x:v>
      </x:c>
      <x:c r="J531" s="19" t="n">
        <x:v>2</x:v>
      </x:c>
      <x:c r="K531" s="16" t="str">
        <x:v>4. Moderate</x:v>
      </x:c>
      <x:c r="L531" s="16" t="str">
        <x:v>Possible</x:v>
      </x:c>
      <x:c r="M531" s="16" t="str">
        <x:v>Moderate</x:v>
      </x:c>
      <x:c r="N531" s="16" t="str">
        <x:v>High</x:v>
      </x:c>
    </x:row>
    <x:row r="532" ht="37" customHeight="1">
      <x:c r="A532" s="16" t="str">
        <x:v>RAW-00526</x:v>
      </x:c>
      <x:c r="B532" s="16" t="str">
        <x:v>Observation</x:v>
      </x:c>
      <x:c r="C532" s="16" t="str">
        <x:v>– Fencing posts on left hand side of property facing the front entrance.</x:v>
      </x:c>
      <x:c r="D532" s="16" t="str">
        <x:v>Fencing post</x:v>
      </x:c>
      <x:c r="E532" s="16" t="str">
        <x:v>SRC-025</x:v>
      </x:c>
      <x:c r="F532" s="16" t="str">
        <x:v>OBS-0023</x:v>
      </x:c>
      <x:c r="G532" s="16" t="str">
        <x:v>正式报告</x:v>
      </x:c>
      <x:c r="H532" s="19" t="n">
        <x:v>3</x:v>
      </x:c>
      <x:c r="I532" s="19" t="n">
        <x:v>9</x:v>
      </x:c>
      <x:c r="J532" s="19" t="n">
        <x:v>1</x:v>
      </x:c>
      <x:c r="K532" s="16" t="str">
        <x:v>4. Moderate</x:v>
      </x:c>
      <x:c r="L532" s="16" t="str">
        <x:v>Possible</x:v>
      </x:c>
      <x:c r="M532" s="16" t="str">
        <x:v>Moderate</x:v>
      </x:c>
      <x:c r="N532" s="16" t="str">
        <x:v>High</x:v>
      </x:c>
    </x:row>
    <x:row r="533" ht="41" customHeight="1">
      <x:c r="A533" s="16" t="str">
        <x:v>RAW-00527</x:v>
      </x:c>
      <x:c r="B533" s="16" t="str">
        <x:v>Observation</x:v>
      </x:c>
      <x:c r="C533" s="16" t="str">
        <x:v>– Fencing posts on left hand side of property facing the front entrance. Bitumen paint deterioration and minor corrosion on post cap.</x:v>
      </x:c>
      <x:c r="D533" s="16" t="str">
        <x:v>Fencing post</x:v>
      </x:c>
      <x:c r="E533" s="16" t="str">
        <x:v>SRC-025</x:v>
      </x:c>
      <x:c r="F533" s="16" t="str">
        <x:v>OBS-0264</x:v>
      </x:c>
      <x:c r="G533" s="16" t="str">
        <x:v>正式报告</x:v>
      </x:c>
      <x:c r="H533" s="19" t="n">
        <x:v>3</x:v>
      </x:c>
      <x:c r="I533" s="19" t="n">
        <x:v>10</x:v>
      </x:c>
      <x:c r="J533" s="19" t="n">
        <x:v>3</x:v>
      </x:c>
      <x:c r="K533" s="16" t="str">
        <x:v>4. Moderate</x:v>
      </x:c>
      <x:c r="L533" s="16" t="str">
        <x:v>Possible</x:v>
      </x:c>
      <x:c r="M533" s="16" t="str">
        <x:v>Moderate</x:v>
      </x:c>
      <x:c r="N533" s="16" t="str">
        <x:v>High</x:v>
      </x:c>
    </x:row>
    <x:row r="534" ht="41" customHeight="1">
      <x:c r="A534" s="16" t="str">
        <x:v>RAW-00528</x:v>
      </x:c>
      <x:c r="B534" s="16" t="str">
        <x:v>Recommendation</x:v>
      </x:c>
      <x:c r="C534" s="16" t="str">
        <x:v>– Clean, wire brush and repaint. Excavate all fencing posts to the base and investigate the condition. Undertake appropriate repair stated within Section 3.</x:v>
      </x:c>
      <x:c r="D534" s="16" t="str">
        <x:v>Fencing post</x:v>
      </x:c>
      <x:c r="E534" s="16" t="str">
        <x:v>SRC-025</x:v>
      </x:c>
      <x:c r="F534" s="16" t="str">
        <x:v>REC-0011</x:v>
      </x:c>
      <x:c r="G534" s="16" t="str">
        <x:v>正式报告</x:v>
      </x:c>
      <x:c r="H534" s="19" t="n">
        <x:v>3</x:v>
      </x:c>
      <x:c r="I534" s="19" t="n">
        <x:v>10</x:v>
      </x:c>
      <x:c r="J534" s="19" t="n">
        <x:v>3</x:v>
      </x:c>
      <x:c r="K534" s="16" t="str">
        <x:v>4. Moderate</x:v>
      </x:c>
      <x:c r="L534" s="16" t="str">
        <x:v>Possible</x:v>
      </x:c>
      <x:c r="M534" s="16" t="str">
        <x:v>Moderate</x:v>
      </x:c>
      <x:c r="N534" s="16" t="str">
        <x:v>High</x:v>
      </x:c>
    </x:row>
    <x:row r="535" ht="37" customHeight="1">
      <x:c r="A535" s="16" t="str">
        <x:v>RAW-00529</x:v>
      </x:c>
      <x:c r="B535" s="16" t="str">
        <x:v>Observation</x:v>
      </x:c>
      <x:c r="C535" s="16" t="str">
        <x:v>– Overview of carport verandah.</x:v>
      </x:c>
      <x:c r="D535" s="16" t="str">
        <x:v>Carport verandah</x:v>
      </x:c>
      <x:c r="E535" s="16" t="str">
        <x:v>SRC-025</x:v>
      </x:c>
      <x:c r="F535" s="16" t="str">
        <x:v>OBS-0009</x:v>
      </x:c>
      <x:c r="G535" s="16" t="str">
        <x:v>正式报告</x:v>
      </x:c>
      <x:c r="H535" s="19" t="n">
        <x:v>4</x:v>
      </x:c>
      <x:c r="I535" s="19" t="n">
        <x:v>6</x:v>
      </x:c>
      <x:c r="J535" s="19" t="n">
        <x:v>1</x:v>
      </x:c>
      <x:c r="K535" s="16" t="str">
        <x:v>3. Minor deterioration</x:v>
      </x:c>
      <x:c r="L535" s="16" t="str">
        <x:v>Unlikely</x:v>
      </x:c>
      <x:c r="M535" s="16" t="str">
        <x:v>Significant</x:v>
      </x:c>
      <x:c r="N535" s="16" t="str">
        <x:v>Moderate</x:v>
      </x:c>
    </x:row>
    <x:row r="536" ht="37" customHeight="1">
      <x:c r="A536" s="16" t="str">
        <x:v>RAW-00530</x:v>
      </x:c>
      <x:c r="B536" s="16" t="str">
        <x:v>Observation</x:v>
      </x:c>
      <x:c r="C536" s="16" t="str">
        <x:v>– Left hand side of house facing the entrance. Minor corrosion of purlins and rafters.</x:v>
      </x:c>
      <x:c r="D536" s="16" t="str">
        <x:v>Carport verandah</x:v>
      </x:c>
      <x:c r="E536" s="16" t="str">
        <x:v>SRC-025</x:v>
      </x:c>
      <x:c r="F536" s="16" t="str">
        <x:v>OBS-0350</x:v>
      </x:c>
      <x:c r="G536" s="16" t="str">
        <x:v>正式报告</x:v>
      </x:c>
      <x:c r="H536" s="19" t="n">
        <x:v>4</x:v>
      </x:c>
      <x:c r="I536" s="19" t="n">
        <x:v>7</x:v>
      </x:c>
      <x:c r="J536" s="19" t="n">
        <x:v>1</x:v>
      </x:c>
      <x:c r="K536" s="16" t="str">
        <x:v>3. Minor deterioration</x:v>
      </x:c>
      <x:c r="L536" s="16" t="str">
        <x:v>Unlikely</x:v>
      </x:c>
      <x:c r="M536" s="16" t="str">
        <x:v>Significant</x:v>
      </x:c>
      <x:c r="N536" s="16" t="str">
        <x:v>Moderate</x:v>
      </x:c>
    </x:row>
    <x:row r="537" ht="37" customHeight="1">
      <x:c r="A537" s="16" t="str">
        <x:v>RAW-00531</x:v>
      </x:c>
      <x:c r="B537" s="16" t="str">
        <x:v>Observation</x:v>
      </x:c>
      <x:c r="C537" s="16" t="str">
        <x:v>– Left hand side of house facing the entrance. Minor corrosion of verandah beam.</x:v>
      </x:c>
      <x:c r="D537" s="16" t="str">
        <x:v>Carport verandah</x:v>
      </x:c>
      <x:c r="E537" s="16" t="str">
        <x:v>SRC-025</x:v>
      </x:c>
      <x:c r="F537" s="16" t="str">
        <x:v>OBS-0351</x:v>
      </x:c>
      <x:c r="G537" s="16" t="str">
        <x:v>正式报告</x:v>
      </x:c>
      <x:c r="H537" s="19" t="n">
        <x:v>4</x:v>
      </x:c>
      <x:c r="I537" s="19" t="n">
        <x:v>8</x:v>
      </x:c>
      <x:c r="J537" s="19" t="n">
        <x:v>1</x:v>
      </x:c>
      <x:c r="K537" s="16" t="str">
        <x:v>3. Minor deterioration</x:v>
      </x:c>
      <x:c r="L537" s="16" t="str">
        <x:v>Unlikely</x:v>
      </x:c>
      <x:c r="M537" s="16" t="str">
        <x:v>Significant</x:v>
      </x:c>
      <x:c r="N537" s="16" t="str">
        <x:v>Moderate</x:v>
      </x:c>
    </x:row>
    <x:row r="538" ht="37" customHeight="1">
      <x:c r="A538" s="16" t="str">
        <x:v>RAW-00532</x:v>
      </x:c>
      <x:c r="B538" s="16" t="str">
        <x:v>Observation</x:v>
      </x:c>
      <x:c r="C538" s="16" t="str">
        <x:v>– Right hand side of house facing the entrance. Minor corrosion of purlins and rafters.</x:v>
      </x:c>
      <x:c r="D538" s="16" t="str">
        <x:v>Carport verandah</x:v>
      </x:c>
      <x:c r="E538" s="16" t="str">
        <x:v>SRC-025</x:v>
      </x:c>
      <x:c r="F538" s="16" t="str">
        <x:v>OBS-0491</x:v>
      </x:c>
      <x:c r="G538" s="16" t="str">
        <x:v>正式报告</x:v>
      </x:c>
      <x:c r="H538" s="19" t="n">
        <x:v>4</x:v>
      </x:c>
      <x:c r="I538" s="19" t="n">
        <x:v>9</x:v>
      </x:c>
      <x:c r="J538" s="19" t="n">
        <x:v>1</x:v>
      </x:c>
      <x:c r="K538" s="16" t="str">
        <x:v>3. Minor deterioration</x:v>
      </x:c>
      <x:c r="L538" s="16" t="str">
        <x:v>Unlikely</x:v>
      </x:c>
      <x:c r="M538" s="16" t="str">
        <x:v>Significant</x:v>
      </x:c>
      <x:c r="N538" s="16" t="str">
        <x:v>Moderate</x:v>
      </x:c>
    </x:row>
    <x:row r="539" ht="37" customHeight="1">
      <x:c r="A539" s="16" t="str">
        <x:v>RAW-00533</x:v>
      </x:c>
      <x:c r="B539" s="16" t="str">
        <x:v>Recommendation</x:v>
      </x:c>
      <x:c r="C539" s="16" t="str">
        <x:v>– Clean, wire brush and repaint.</x:v>
      </x:c>
      <x:c r="D539" s="16" t="str">
        <x:v>Carport verandah</x:v>
      </x:c>
      <x:c r="E539" s="16" t="str">
        <x:v>SRC-025</x:v>
      </x:c>
      <x:c r="F539" s="16" t="str">
        <x:v>REC-0001</x:v>
      </x:c>
      <x:c r="G539" s="16" t="str">
        <x:v>正式报告</x:v>
      </x:c>
      <x:c r="H539" s="19" t="n">
        <x:v>4</x:v>
      </x:c>
      <x:c r="I539" s="19" t="n">
        <x:v>9</x:v>
      </x:c>
      <x:c r="J539" s="19" t="n">
        <x:v>1</x:v>
      </x:c>
      <x:c r="K539" s="16" t="str">
        <x:v>3. Minor deterioration</x:v>
      </x:c>
      <x:c r="L539" s="16" t="str">
        <x:v>Unlikely</x:v>
      </x:c>
      <x:c r="M539" s="16" t="str">
        <x:v>Significant</x:v>
      </x:c>
      <x:c r="N539" s="16" t="str">
        <x:v>Moderate</x:v>
      </x:c>
    </x:row>
    <x:row r="540" ht="37" customHeight="1">
      <x:c r="A540" s="16" t="str">
        <x:v>RAW-00534</x:v>
      </x:c>
      <x:c r="B540" s="16" t="str">
        <x:v>Observation</x:v>
      </x:c>
      <x:c r="C540" s="16" t="str">
        <x:v>– Carport verandah columns in good condition.</x:v>
      </x:c>
      <x:c r="D540" s="16" t="str">
        <x:v>Columns</x:v>
      </x:c>
      <x:c r="E540" s="16" t="str">
        <x:v>SRC-025</x:v>
      </x:c>
      <x:c r="F540" s="16" t="str">
        <x:v>OBS-0012</x:v>
      </x:c>
      <x:c r="G540" s="16" t="str">
        <x:v>正式报告</x:v>
      </x:c>
      <x:c r="H540" s="19" t="n">
        <x:v>5</x:v>
      </x:c>
      <x:c r="I540" s="19" t="n">
        <x:v>6</x:v>
      </x:c>
      <x:c r="J540" s="19" t="n">
        <x:v>1</x:v>
      </x:c>
      <x:c r="K540" s="16" t="str">
        <x:v>2. New with slight deterioration</x:v>
      </x:c>
      <x:c r="L540" s="16" t="str">
        <x:v>Very unlikely</x:v>
      </x:c>
      <x:c r="M540" s="16" t="str">
        <x:v>Significant</x:v>
      </x:c>
      <x:c r="N540" s="16" t="str">
        <x:v>Low</x:v>
      </x:c>
    </x:row>
    <x:row r="541" ht="37" customHeight="1">
      <x:c r="A541" s="16" t="str">
        <x:v>RAW-00535</x:v>
      </x:c>
      <x:c r="B541" s="16" t="str">
        <x:v>Observation</x:v>
      </x:c>
      <x:c r="C541" s="16" t="str">
        <x:v>– Carport verandah columns in good condition.</x:v>
      </x:c>
      <x:c r="D541" s="16" t="str">
        <x:v>Columns</x:v>
      </x:c>
      <x:c r="E541" s="16" t="str">
        <x:v>SRC-025</x:v>
      </x:c>
      <x:c r="F541" s="16" t="str">
        <x:v>OBS-0012</x:v>
      </x:c>
      <x:c r="G541" s="16" t="str">
        <x:v>正式报告</x:v>
      </x:c>
      <x:c r="H541" s="19" t="n">
        <x:v>5</x:v>
      </x:c>
      <x:c r="I541" s="19" t="n">
        <x:v>7</x:v>
      </x:c>
      <x:c r="J541" s="19" t="n">
        <x:v>1</x:v>
      </x:c>
      <x:c r="K541" s="16" t="str">
        <x:v>2. New with slight deterioration</x:v>
      </x:c>
      <x:c r="L541" s="16" t="str">
        <x:v>Very unlikely</x:v>
      </x:c>
      <x:c r="M541" s="16" t="str">
        <x:v>Significant</x:v>
      </x:c>
      <x:c r="N541" s="16" t="str">
        <x:v>Low</x:v>
      </x:c>
    </x:row>
    <x:row r="542" ht="37" customHeight="1">
      <x:c r="A542" s="16" t="str">
        <x:v>RAW-00536</x:v>
      </x:c>
      <x:c r="B542" s="16" t="str">
        <x:v>Observation</x:v>
      </x:c>
      <x:c r="C542" s="16" t="str">
        <x:v>– Carport verandah columns in good condition.</x:v>
      </x:c>
      <x:c r="D542" s="16" t="str">
        <x:v>Columns</x:v>
      </x:c>
      <x:c r="E542" s="16" t="str">
        <x:v>SRC-025</x:v>
      </x:c>
      <x:c r="F542" s="16" t="str">
        <x:v>OBS-0012</x:v>
      </x:c>
      <x:c r="G542" s="16" t="str">
        <x:v>正式报告</x:v>
      </x:c>
      <x:c r="H542" s="19" t="n">
        <x:v>5</x:v>
      </x:c>
      <x:c r="I542" s="19" t="n">
        <x:v>8</x:v>
      </x:c>
      <x:c r="J542" s="19" t="n">
        <x:v>1</x:v>
      </x:c>
      <x:c r="K542" s="16" t="str">
        <x:v>2. New with slight deterioration</x:v>
      </x:c>
      <x:c r="L542" s="16" t="str">
        <x:v>Very unlikely</x:v>
      </x:c>
      <x:c r="M542" s="16" t="str">
        <x:v>Significant</x:v>
      </x:c>
      <x:c r="N542" s="16" t="str">
        <x:v>Low</x:v>
      </x:c>
    </x:row>
    <x:row r="543" ht="37" customHeight="1">
      <x:c r="A543" s="16" t="str">
        <x:v>RAW-00537</x:v>
      </x:c>
      <x:c r="B543" s="16" t="str">
        <x:v>Recommendation</x:v>
      </x:c>
      <x:c r="C543" s="16" t="str">
        <x:v>– None</x:v>
      </x:c>
      <x:c r="D543" s="16" t="str">
        <x:v>Columns</x:v>
      </x:c>
      <x:c r="E543" s="16" t="str">
        <x:v>SRC-025</x:v>
      </x:c>
      <x:c r="F543" s="16" t="str">
        <x:v>REC-0003</x:v>
      </x:c>
      <x:c r="G543" s="16" t="str">
        <x:v>正式报告</x:v>
      </x:c>
      <x:c r="H543" s="19" t="n">
        <x:v>5</x:v>
      </x:c>
      <x:c r="I543" s="19" t="n">
        <x:v>8</x:v>
      </x:c>
      <x:c r="J543" s="19" t="n">
        <x:v>1</x:v>
      </x:c>
      <x:c r="K543" s="16" t="str">
        <x:v>2. New with slight deterioration</x:v>
      </x:c>
      <x:c r="L543" s="16" t="str">
        <x:v>Very unlikely</x:v>
      </x:c>
      <x:c r="M543" s="16" t="str">
        <x:v>Significant</x:v>
      </x:c>
      <x:c r="N543" s="16" t="str">
        <x:v>Low</x:v>
      </x:c>
    </x:row>
    <x:row r="544" ht="37" customHeight="1">
      <x:c r="A544" s="16" t="str">
        <x:v>RAW-00538</x:v>
      </x:c>
      <x:c r="B544" s="16" t="str">
        <x:v>Observation</x:v>
      </x:c>
      <x:c r="C544" s="16" t="str">
        <x:v>– Roof and wall cladding in good condition.</x:v>
      </x:c>
      <x:c r="D544" s="16" t="str">
        <x:v>Cladding and framing</x:v>
      </x:c>
      <x:c r="E544" s="16" t="str">
        <x:v>SRC-025</x:v>
      </x:c>
      <x:c r="F544" s="16" t="str">
        <x:v>OBS-0512</x:v>
      </x:c>
      <x:c r="G544" s="16" t="str">
        <x:v>正式报告</x:v>
      </x:c>
      <x:c r="H544" s="19" t="n">
        <x:v>6</x:v>
      </x:c>
      <x:c r="I544" s="19" t="n">
        <x:v>6</x:v>
      </x:c>
      <x:c r="J544" s="19" t="n">
        <x:v>1</x:v>
      </x:c>
      <x:c r="K544" s="16" t="str">
        <x:v>2. New with slight deterioration</x:v>
      </x:c>
      <x:c r="L544" s="16" t="str">
        <x:v>Very unlikely</x:v>
      </x:c>
      <x:c r="M544" s="16" t="str">
        <x:v>Negligible</x:v>
      </x:c>
      <x:c r="N544" s="16" t="str">
        <x:v>Low</x:v>
      </x:c>
    </x:row>
    <x:row r="545" ht="41" customHeight="1">
      <x:c r="A545" s="16" t="str">
        <x:v>RAW-00539</x:v>
      </x:c>
      <x:c r="B545" s="16" t="str">
        <x:v>Observation</x:v>
      </x:c>
      <x:c r="C545" s="16" t="str">
        <x:v>– Carport front window. Minor corrosion at corner of window, typical to most windows. Salt staining on wall cladding at bolted connection.</x:v>
      </x:c>
      <x:c r="D545" s="16" t="str">
        <x:v>Cladding and framing</x:v>
      </x:c>
      <x:c r="E545" s="16" t="str">
        <x:v>SRC-025</x:v>
      </x:c>
      <x:c r="F545" s="16" t="str">
        <x:v>OBS-0161</x:v>
      </x:c>
      <x:c r="G545" s="16" t="str">
        <x:v>正式报告</x:v>
      </x:c>
      <x:c r="H545" s="19" t="n">
        <x:v>6</x:v>
      </x:c>
      <x:c r="I545" s="19" t="n">
        <x:v>7</x:v>
      </x:c>
      <x:c r="J545" s="19" t="n">
        <x:v>1</x:v>
      </x:c>
      <x:c r="K545" s="16" t="str">
        <x:v>2. New with slight deterioration</x:v>
      </x:c>
      <x:c r="L545" s="16" t="str">
        <x:v>Very unlikely</x:v>
      </x:c>
      <x:c r="M545" s="16" t="str">
        <x:v>Negligible</x:v>
      </x:c>
      <x:c r="N545" s="16" t="str">
        <x:v>Low</x:v>
      </x:c>
    </x:row>
    <x:row r="546" ht="41" customHeight="1">
      <x:c r="A546" s="16" t="str">
        <x:v>RAW-00540</x:v>
      </x:c>
      <x:c r="B546" s="16" t="str">
        <x:v>Observation</x:v>
      </x:c>
      <x:c r="C546" s="16" t="str">
        <x:v>– Right hand side of house front window. Minor corrosion to rafters. Salt staining on wall cladding at bolted connection.</x:v>
      </x:c>
      <x:c r="D546" s="16" t="str">
        <x:v>Cladding and framing</x:v>
      </x:c>
      <x:c r="E546" s="16" t="str">
        <x:v>SRC-025</x:v>
      </x:c>
      <x:c r="F546" s="16" t="str">
        <x:v>OBS-0497</x:v>
      </x:c>
      <x:c r="G546" s="16" t="str">
        <x:v>正式报告</x:v>
      </x:c>
      <x:c r="H546" s="19" t="n">
        <x:v>6</x:v>
      </x:c>
      <x:c r="I546" s="19" t="n">
        <x:v>8</x:v>
      </x:c>
      <x:c r="J546" s="19" t="n">
        <x:v>1</x:v>
      </x:c>
      <x:c r="K546" s="16" t="str">
        <x:v>2. New with slight deterioration</x:v>
      </x:c>
      <x:c r="L546" s="16" t="str">
        <x:v>Very unlikely</x:v>
      </x:c>
      <x:c r="M546" s="16" t="str">
        <x:v>Negligible</x:v>
      </x:c>
      <x:c r="N546" s="16" t="str">
        <x:v>Low</x:v>
      </x:c>
    </x:row>
    <x:row r="547" ht="37" customHeight="1">
      <x:c r="A547" s="16" t="str">
        <x:v>RAW-00541</x:v>
      </x:c>
      <x:c r="B547" s="16" t="str">
        <x:v>Observation</x:v>
      </x:c>
      <x:c r="C547" s="16" t="str">
        <x:v>– Paint deterioration on service box</x:v>
      </x:c>
      <x:c r="D547" s="16" t="str">
        <x:v>Cladding and framing</x:v>
      </x:c>
      <x:c r="E547" s="16" t="str">
        <x:v>SRC-025</x:v>
      </x:c>
      <x:c r="F547" s="16" t="str">
        <x:v>OBS-0449</x:v>
      </x:c>
      <x:c r="G547" s="16" t="str">
        <x:v>正式报告</x:v>
      </x:c>
      <x:c r="H547" s="19" t="n">
        <x:v>6</x:v>
      </x:c>
      <x:c r="I547" s="19" t="n">
        <x:v>9</x:v>
      </x:c>
      <x:c r="J547" s="19" t="n">
        <x:v>1</x:v>
      </x:c>
      <x:c r="K547" s="16" t="str">
        <x:v>2. New with slight deterioration</x:v>
      </x:c>
      <x:c r="L547" s="16" t="str">
        <x:v>Very unlikely</x:v>
      </x:c>
      <x:c r="M547" s="16" t="str">
        <x:v>Negligible</x:v>
      </x:c>
      <x:c r="N547" s="16" t="str">
        <x:v>Low</x:v>
      </x:c>
    </x:row>
    <x:row r="548" ht="37" customHeight="1">
      <x:c r="A548" s="16" t="str">
        <x:v>RAW-00542</x:v>
      </x:c>
      <x:c r="B548" s="16" t="str">
        <x:v>Recommendation</x:v>
      </x:c>
      <x:c r="C548" s="16" t="str">
        <x:v>– Clean all salt staining.</x:v>
      </x:c>
      <x:c r="D548" s="16" t="str">
        <x:v>Cladding and framing</x:v>
      </x:c>
      <x:c r="E548" s="16" t="str">
        <x:v>SRC-025</x:v>
      </x:c>
      <x:c r="F548" s="16" t="str">
        <x:v>REC-0013</x:v>
      </x:c>
      <x:c r="G548" s="16" t="str">
        <x:v>正式报告</x:v>
      </x:c>
      <x:c r="H548" s="19" t="n">
        <x:v>6</x:v>
      </x:c>
      <x:c r="I548" s="19" t="n">
        <x:v>9</x:v>
      </x:c>
      <x:c r="J548" s="19" t="n">
        <x:v>1</x:v>
      </x:c>
      <x:c r="K548" s="16" t="str">
        <x:v>2. New with slight deterioration</x:v>
      </x:c>
      <x:c r="L548" s="16" t="str">
        <x:v>Very unlikely</x:v>
      </x:c>
      <x:c r="M548" s="16" t="str">
        <x:v>Negligible</x:v>
      </x:c>
      <x:c r="N548" s="16" t="str">
        <x:v>Low</x:v>
      </x:c>
    </x:row>
    <x:row r="549" ht="37" customHeight="1">
      <x:c r="A549" s="16" t="str">
        <x:v>RAW-00543</x:v>
      </x:c>
      <x:c r="B549" s="16" t="str">
        <x:v>Observation</x:v>
      </x:c>
      <x:c r="C549" s="16" t="str">
        <x:v>– Backyard fencing post. Most posts have paint deterioration at the lower section.</x:v>
      </x:c>
      <x:c r="D549" s="16" t="str">
        <x:v>Fencing posts</x:v>
      </x:c>
      <x:c r="E549" s="16" t="str">
        <x:v>SRC-026</x:v>
      </x:c>
      <x:c r="F549" s="16" t="str">
        <x:v>OBS-0035</x:v>
      </x:c>
      <x:c r="G549" s="16" t="str">
        <x:v>正式报告</x:v>
      </x:c>
      <x:c r="H549" s="19" t="n">
        <x:v>3</x:v>
      </x:c>
      <x:c r="I549" s="19" t="n">
        <x:v>6</x:v>
      </x:c>
      <x:c r="J549" s="19" t="n">
        <x:v>1</x:v>
      </x:c>
      <x:c r="K549" s="16" t="str">
        <x:v>6. Severe deterioration</x:v>
      </x:c>
      <x:c r="L549" s="16" t="str">
        <x:v>Unlikely</x:v>
      </x:c>
      <x:c r="M549" s="16" t="str">
        <x:v>Moderate</x:v>
      </x:c>
      <x:c r="N549" s="16" t="str">
        <x:v>Critical</x:v>
      </x:c>
    </x:row>
    <x:row r="550" ht="37" customHeight="1">
      <x:c r="A550" s="16" t="str">
        <x:v>RAW-00544</x:v>
      </x:c>
      <x:c r="B550" s="16" t="str">
        <x:v>Observation</x:v>
      </x:c>
      <x:c r="C550" s="16" t="str">
        <x:v>– Backyard fencing post. Bitumen Paint deterioration and severe flaking corrosion.</x:v>
      </x:c>
      <x:c r="D550" s="16" t="str">
        <x:v>Fencing posts</x:v>
      </x:c>
      <x:c r="E550" s="16" t="str">
        <x:v>SRC-026</x:v>
      </x:c>
      <x:c r="F550" s="16" t="str">
        <x:v>OBS-0128</x:v>
      </x:c>
      <x:c r="G550" s="16" t="str">
        <x:v>正式报告</x:v>
      </x:c>
      <x:c r="H550" s="19" t="n">
        <x:v>3</x:v>
      </x:c>
      <x:c r="I550" s="19" t="n">
        <x:v>7</x:v>
      </x:c>
      <x:c r="J550" s="19" t="n">
        <x:v>1</x:v>
      </x:c>
      <x:c r="K550" s="16" t="str">
        <x:v>6. Severe deterioration</x:v>
      </x:c>
      <x:c r="L550" s="16" t="str">
        <x:v>Unlikely</x:v>
      </x:c>
      <x:c r="M550" s="16" t="str">
        <x:v>Moderate</x:v>
      </x:c>
      <x:c r="N550" s="16" t="str">
        <x:v>Critical</x:v>
      </x:c>
    </x:row>
    <x:row r="551" ht="41" customHeight="1">
      <x:c r="A551" s="16" t="str">
        <x:v>RAW-00545</x:v>
      </x:c>
      <x:c r="B551" s="16" t="str">
        <x:v>Recommendation</x:v>
      </x:c>
      <x:c r="C551" s="16" t="str">
        <x:v>– Clean, wire brush and repaint. Expose the base and investigate the condition. Undertake appropriate repair stated within Section 3.</x:v>
      </x:c>
      <x:c r="D551" s="16" t="str">
        <x:v>Fencing posts</x:v>
      </x:c>
      <x:c r="E551" s="16" t="str">
        <x:v>SRC-026</x:v>
      </x:c>
      <x:c r="F551" s="16" t="str">
        <x:v>REC-0081</x:v>
      </x:c>
      <x:c r="G551" s="16" t="str">
        <x:v>正式报告</x:v>
      </x:c>
      <x:c r="H551" s="19" t="n">
        <x:v>3</x:v>
      </x:c>
      <x:c r="I551" s="19" t="n">
        <x:v>7</x:v>
      </x:c>
      <x:c r="J551" s="19" t="n">
        <x:v>1</x:v>
      </x:c>
      <x:c r="K551" s="16" t="str">
        <x:v>6. Severe deterioration</x:v>
      </x:c>
      <x:c r="L551" s="16" t="str">
        <x:v>Unlikely</x:v>
      </x:c>
      <x:c r="M551" s="16" t="str">
        <x:v>Moderate</x:v>
      </x:c>
      <x:c r="N551" s="16" t="str">
        <x:v>Critical</x:v>
      </x:c>
    </x:row>
    <x:row r="552" ht="37" customHeight="1">
      <x:c r="A552" s="16" t="str">
        <x:v>RAW-00546</x:v>
      </x:c>
      <x:c r="B552" s="16" t="str">
        <x:v>Observation</x:v>
      </x:c>
      <x:c r="C552" s="16" t="str">
        <x:v>– Carport verandah columns. Minor corrosion.</x:v>
      </x:c>
      <x:c r="D552" s="16" t="str">
        <x:v>Columns</x:v>
      </x:c>
      <x:c r="E552" s="16" t="str">
        <x:v>SRC-026</x:v>
      </x:c>
      <x:c r="F552" s="16" t="str">
        <x:v>OBS-0169</x:v>
      </x:c>
      <x:c r="G552" s="16" t="str">
        <x:v>正式报告</x:v>
      </x:c>
      <x:c r="H552" s="19" t="n">
        <x:v>4</x:v>
      </x:c>
      <x:c r="I552" s="19" t="n">
        <x:v>8</x:v>
      </x:c>
      <x:c r="J552" s="19" t="n">
        <x:v>2</x:v>
      </x:c>
      <x:c r="K552" s="16" t="str">
        <x:v>3. Minor deterioration</x:v>
      </x:c>
      <x:c r="L552" s="16" t="str">
        <x:v>Unlikely</x:v>
      </x:c>
      <x:c r="M552" s="16" t="str">
        <x:v>Significant</x:v>
      </x:c>
      <x:c r="N552" s="16" t="str">
        <x:v>Moderate</x:v>
      </x:c>
    </x:row>
    <x:row r="553" ht="37" customHeight="1">
      <x:c r="A553" s="16" t="str">
        <x:v>RAW-00547</x:v>
      </x:c>
      <x:c r="B553" s="16" t="str">
        <x:v>Observation</x:v>
      </x:c>
      <x:c r="C553" s="16" t="str">
        <x:v>– Back verandah columns in good condition.</x:v>
      </x:c>
      <x:c r="D553" s="16" t="str">
        <x:v>Columns</x:v>
      </x:c>
      <x:c r="E553" s="16" t="str">
        <x:v>SRC-026</x:v>
      </x:c>
      <x:c r="F553" s="16" t="str">
        <x:v>OBS-0021</x:v>
      </x:c>
      <x:c r="G553" s="16" t="str">
        <x:v>正式报告</x:v>
      </x:c>
      <x:c r="H553" s="19" t="n">
        <x:v>4</x:v>
      </x:c>
      <x:c r="I553" s="19" t="n">
        <x:v>10</x:v>
      </x:c>
      <x:c r="J553" s="19" t="n">
        <x:v>1</x:v>
      </x:c>
      <x:c r="K553" s="16" t="str">
        <x:v>3. Minor deterioration</x:v>
      </x:c>
      <x:c r="L553" s="16" t="str">
        <x:v>Unlikely</x:v>
      </x:c>
      <x:c r="M553" s="16" t="str">
        <x:v>Significant</x:v>
      </x:c>
      <x:c r="N553" s="16" t="str">
        <x:v>Moderate</x:v>
      </x:c>
    </x:row>
    <x:row r="554" ht="37" customHeight="1">
      <x:c r="A554" s="16" t="str">
        <x:v>RAW-00548</x:v>
      </x:c>
      <x:c r="B554" s="16" t="str">
        <x:v>Recommendation</x:v>
      </x:c>
      <x:c r="C554" s="16" t="str">
        <x:v>– Clean, wire brush and repaint corroded areas.</x:v>
      </x:c>
      <x:c r="D554" s="16" t="str">
        <x:v>Columns</x:v>
      </x:c>
      <x:c r="E554" s="16" t="str">
        <x:v>SRC-026</x:v>
      </x:c>
      <x:c r="F554" s="16" t="str">
        <x:v>REC-0005</x:v>
      </x:c>
      <x:c r="G554" s="16" t="str">
        <x:v>正式报告</x:v>
      </x:c>
      <x:c r="H554" s="19" t="n">
        <x:v>4</x:v>
      </x:c>
      <x:c r="I554" s="19" t="n">
        <x:v>10</x:v>
      </x:c>
      <x:c r="J554" s="19" t="n">
        <x:v>1</x:v>
      </x:c>
      <x:c r="K554" s="16" t="str">
        <x:v>3. Minor deterioration</x:v>
      </x:c>
      <x:c r="L554" s="16" t="str">
        <x:v>Unlikely</x:v>
      </x:c>
      <x:c r="M554" s="16" t="str">
        <x:v>Significant</x:v>
      </x:c>
      <x:c r="N554" s="16" t="str">
        <x:v>Moderate</x:v>
      </x:c>
    </x:row>
    <x:row r="555" ht="37" customHeight="1">
      <x:c r="A555" s="16" t="str">
        <x:v>RAW-00549</x:v>
      </x:c>
      <x:c r="B555" s="16" t="str">
        <x:v>Observation</x:v>
      </x:c>
      <x:c r="C555" s="16" t="str">
        <x:v>– Front verandah in good condition.</x:v>
      </x:c>
      <x:c r="D555" s="16" t="str">
        <x:v>Rafters and purlins</x:v>
      </x:c>
      <x:c r="E555" s="16" t="str">
        <x:v>SRC-026</x:v>
      </x:c>
      <x:c r="F555" s="16" t="str">
        <x:v>OBS-0013</x:v>
      </x:c>
      <x:c r="G555" s="16" t="str">
        <x:v>正式报告</x:v>
      </x:c>
      <x:c r="H555" s="19" t="n">
        <x:v>5</x:v>
      </x:c>
      <x:c r="I555" s="19" t="n">
        <x:v>6</x:v>
      </x:c>
      <x:c r="J555" s="19" t="n">
        <x:v>1</x:v>
      </x:c>
      <x:c r="K555" s="16" t="str">
        <x:v>2. New with slight deterioration</x:v>
      </x:c>
      <x:c r="L555" s="16" t="str">
        <x:v>Very unlikely</x:v>
      </x:c>
      <x:c r="M555" s="16" t="str">
        <x:v>Significant</x:v>
      </x:c>
      <x:c r="N555" s="16" t="str">
        <x:v>Low</x:v>
      </x:c>
    </x:row>
    <x:row r="556" ht="37" customHeight="1">
      <x:c r="A556" s="16" t="str">
        <x:v>RAW-00550</x:v>
      </x:c>
      <x:c r="B556" s="16" t="str">
        <x:v>Observation</x:v>
      </x:c>
      <x:c r="C556" s="16" t="str">
        <x:v>– Carport verandah in good condition.</x:v>
      </x:c>
      <x:c r="D556" s="16" t="str">
        <x:v>Rafters and purlins</x:v>
      </x:c>
      <x:c r="E556" s="16" t="str">
        <x:v>SRC-026</x:v>
      </x:c>
      <x:c r="F556" s="16" t="str">
        <x:v>OBS-0003</x:v>
      </x:c>
      <x:c r="G556" s="16" t="str">
        <x:v>正式报告</x:v>
      </x:c>
      <x:c r="H556" s="19" t="n">
        <x:v>5</x:v>
      </x:c>
      <x:c r="I556" s="19" t="n">
        <x:v>7</x:v>
      </x:c>
      <x:c r="J556" s="19" t="n">
        <x:v>1</x:v>
      </x:c>
      <x:c r="K556" s="16" t="str">
        <x:v>2. New with slight deterioration</x:v>
      </x:c>
      <x:c r="L556" s="16" t="str">
        <x:v>Very unlikely</x:v>
      </x:c>
      <x:c r="M556" s="16" t="str">
        <x:v>Significant</x:v>
      </x:c>
      <x:c r="N556" s="16" t="str">
        <x:v>Low</x:v>
      </x:c>
    </x:row>
    <x:row r="557" ht="37" customHeight="1">
      <x:c r="A557" s="16" t="str">
        <x:v>RAW-00551</x:v>
      </x:c>
      <x:c r="B557" s="16" t="str">
        <x:v>Observation</x:v>
      </x:c>
      <x:c r="C557" s="16" t="str">
        <x:v>– Back verandah in good condition.</x:v>
      </x:c>
      <x:c r="D557" s="16" t="str">
        <x:v>Rafters and purlins</x:v>
      </x:c>
      <x:c r="E557" s="16" t="str">
        <x:v>SRC-026</x:v>
      </x:c>
      <x:c r="F557" s="16" t="str">
        <x:v>OBS-0007</x:v>
      </x:c>
      <x:c r="G557" s="16" t="str">
        <x:v>正式报告</x:v>
      </x:c>
      <x:c r="H557" s="19" t="n">
        <x:v>5</x:v>
      </x:c>
      <x:c r="I557" s="19" t="n">
        <x:v>8</x:v>
      </x:c>
      <x:c r="J557" s="19" t="n">
        <x:v>1</x:v>
      </x:c>
      <x:c r="K557" s="16" t="str">
        <x:v>2. New with slight deterioration</x:v>
      </x:c>
      <x:c r="L557" s="16" t="str">
        <x:v>Very unlikely</x:v>
      </x:c>
      <x:c r="M557" s="16" t="str">
        <x:v>Significant</x:v>
      </x:c>
      <x:c r="N557" s="16" t="str">
        <x:v>Low</x:v>
      </x:c>
    </x:row>
    <x:row r="558" ht="37" customHeight="1">
      <x:c r="A558" s="16" t="str">
        <x:v>RAW-00552</x:v>
      </x:c>
      <x:c r="B558" s="16" t="str">
        <x:v>Observation</x:v>
      </x:c>
      <x:c r="C558" s="16" t="str">
        <x:v>– Salt staining on rafters and purlins supporting roof overhang.</x:v>
      </x:c>
      <x:c r="D558" s="16" t="str">
        <x:v>Rafters and purlins</x:v>
      </x:c>
      <x:c r="E558" s="16" t="str">
        <x:v>SRC-026</x:v>
      </x:c>
      <x:c r="F558" s="16" t="str">
        <x:v>OBS-0006</x:v>
      </x:c>
      <x:c r="G558" s="16" t="str">
        <x:v>正式报告</x:v>
      </x:c>
      <x:c r="H558" s="19" t="n">
        <x:v>5</x:v>
      </x:c>
      <x:c r="I558" s="19" t="n">
        <x:v>9</x:v>
      </x:c>
      <x:c r="J558" s="19" t="n">
        <x:v>1</x:v>
      </x:c>
      <x:c r="K558" s="16" t="str">
        <x:v>2. New with slight deterioration</x:v>
      </x:c>
      <x:c r="L558" s="16" t="str">
        <x:v>Very unlikely</x:v>
      </x:c>
      <x:c r="M558" s="16" t="str">
        <x:v>Significant</x:v>
      </x:c>
      <x:c r="N558" s="16" t="str">
        <x:v>Low</x:v>
      </x:c>
    </x:row>
    <x:row r="559" ht="37" customHeight="1">
      <x:c r="A559" s="16" t="str">
        <x:v>RAW-00553</x:v>
      </x:c>
      <x:c r="B559" s="16" t="str">
        <x:v>Recommendation</x:v>
      </x:c>
      <x:c r="C559" s="16" t="str">
        <x:v>– Clean off salt staining.</x:v>
      </x:c>
      <x:c r="D559" s="16" t="str">
        <x:v>Rafters and purlins</x:v>
      </x:c>
      <x:c r="E559" s="16" t="str">
        <x:v>SRC-026</x:v>
      </x:c>
      <x:c r="F559" s="16" t="str">
        <x:v>REC-0008</x:v>
      </x:c>
      <x:c r="G559" s="16" t="str">
        <x:v>正式报告</x:v>
      </x:c>
      <x:c r="H559" s="19" t="n">
        <x:v>5</x:v>
      </x:c>
      <x:c r="I559" s="19" t="n">
        <x:v>9</x:v>
      </x:c>
      <x:c r="J559" s="19" t="n">
        <x:v>1</x:v>
      </x:c>
      <x:c r="K559" s="16" t="str">
        <x:v>2. New with slight deterioration</x:v>
      </x:c>
      <x:c r="L559" s="16" t="str">
        <x:v>Very unlikely</x:v>
      </x:c>
      <x:c r="M559" s="16" t="str">
        <x:v>Significant</x:v>
      </x:c>
      <x:c r="N559" s="16" t="str">
        <x:v>Low</x:v>
      </x:c>
    </x:row>
    <x:row r="560" ht="37" customHeight="1">
      <x:c r="A560" s="16" t="str">
        <x:v>RAW-00554</x:v>
      </x:c>
      <x:c r="B560" s="16" t="str">
        <x:v>Observation</x:v>
      </x:c>
      <x:c r="C560" s="16" t="str">
        <x:v>– Salt staining on rafters and purlins supporting roof overhang.</x:v>
      </x:c>
      <x:c r="D560" s="16" t="str">
        <x:v>Rafters and purlins</x:v>
      </x:c>
      <x:c r="E560" s="16" t="str">
        <x:v>SRC-026</x:v>
      </x:c>
      <x:c r="F560" s="16" t="str">
        <x:v>OBS-0006</x:v>
      </x:c>
      <x:c r="G560" s="16" t="str">
        <x:v>正式报告</x:v>
      </x:c>
      <x:c r="H560" s="19" t="n">
        <x:v>5</x:v>
      </x:c>
      <x:c r="I560" s="19" t="n">
        <x:v>10</x:v>
      </x:c>
      <x:c r="J560" s="19" t="n">
        <x:v>1</x:v>
      </x:c>
      <x:c r="K560" s="16" t="str">
        <x:v>2. New with slight deterioration</x:v>
      </x:c>
      <x:c r="L560" s="16" t="str">
        <x:v>Very unlikely</x:v>
      </x:c>
      <x:c r="M560" s="16" t="str">
        <x:v>Significant</x:v>
      </x:c>
      <x:c r="N560" s="16" t="str">
        <x:v>Low</x:v>
      </x:c>
    </x:row>
    <x:row r="561" ht="37" customHeight="1">
      <x:c r="A561" s="16" t="str">
        <x:v>RAW-00555</x:v>
      </x:c>
      <x:c r="B561" s="16" t="str">
        <x:v>Recommendation</x:v>
      </x:c>
      <x:c r="C561" s="16" t="str">
        <x:v>– Clean off salt staining.</x:v>
      </x:c>
      <x:c r="D561" s="16" t="str">
        <x:v>Rafters and purlins</x:v>
      </x:c>
      <x:c r="E561" s="16" t="str">
        <x:v>SRC-026</x:v>
      </x:c>
      <x:c r="F561" s="16" t="str">
        <x:v>REC-0008</x:v>
      </x:c>
      <x:c r="G561" s="16" t="str">
        <x:v>正式报告</x:v>
      </x:c>
      <x:c r="H561" s="19" t="n">
        <x:v>5</x:v>
      </x:c>
      <x:c r="I561" s="19" t="n">
        <x:v>10</x:v>
      </x:c>
      <x:c r="J561" s="19" t="n">
        <x:v>1</x:v>
      </x:c>
      <x:c r="K561" s="16" t="str">
        <x:v>2. New with slight deterioration</x:v>
      </x:c>
      <x:c r="L561" s="16" t="str">
        <x:v>Very unlikely</x:v>
      </x:c>
      <x:c r="M561" s="16" t="str">
        <x:v>Significant</x:v>
      </x:c>
      <x:c r="N561" s="16" t="str">
        <x:v>Low</x:v>
      </x:c>
    </x:row>
    <x:row r="562" ht="37" customHeight="1">
      <x:c r="A562" s="16" t="str">
        <x:v>RAW-00556</x:v>
      </x:c>
      <x:c r="B562" s="16" t="str">
        <x:v>Observation</x:v>
      </x:c>
      <x:c r="C562" s="16" t="str">
        <x:v>– Front of property. Cladding and framing in good condition.</x:v>
      </x:c>
      <x:c r="D562" s="16" t="str">
        <x:v>Cladding and framing</x:v>
      </x:c>
      <x:c r="E562" s="16" t="str">
        <x:v>SRC-026</x:v>
      </x:c>
      <x:c r="F562" s="16" t="str">
        <x:v>OBS-0004</x:v>
      </x:c>
      <x:c r="G562" s="16" t="str">
        <x:v>正式报告</x:v>
      </x:c>
      <x:c r="H562" s="19" t="n">
        <x:v>6</x:v>
      </x:c>
      <x:c r="I562" s="19" t="n">
        <x:v>6</x:v>
      </x:c>
      <x:c r="J562" s="19" t="n">
        <x:v>1</x:v>
      </x:c>
      <x:c r="K562" s="16" t="str">
        <x:v>3. Minor deterioration</x:v>
      </x:c>
      <x:c r="L562" s="16" t="str">
        <x:v>Unlikely</x:v>
      </x:c>
      <x:c r="M562" s="16" t="str">
        <x:v>Negligible</x:v>
      </x:c>
      <x:c r="N562" s="16" t="str">
        <x:v>Low</x:v>
      </x:c>
    </x:row>
    <x:row r="563" ht="37" customHeight="1">
      <x:c r="A563" s="16" t="str">
        <x:v>RAW-00557</x:v>
      </x:c>
      <x:c r="B563" s="16" t="str">
        <x:v>Observation</x:v>
      </x:c>
      <x:c r="C563" s="16" t="str">
        <x:v>– Carport wall cladding in good condition.</x:v>
      </x:c>
      <x:c r="D563" s="16" t="str">
        <x:v>Cladding and framing</x:v>
      </x:c>
      <x:c r="E563" s="16" t="str">
        <x:v>SRC-026</x:v>
      </x:c>
      <x:c r="F563" s="16" t="str">
        <x:v>OBS-0038</x:v>
      </x:c>
      <x:c r="G563" s="16" t="str">
        <x:v>正式报告</x:v>
      </x:c>
      <x:c r="H563" s="19" t="n">
        <x:v>6</x:v>
      </x:c>
      <x:c r="I563" s="19" t="n">
        <x:v>7</x:v>
      </x:c>
      <x:c r="J563" s="19" t="n">
        <x:v>2</x:v>
      </x:c>
      <x:c r="K563" s="16" t="str">
        <x:v>3. Minor deterioration</x:v>
      </x:c>
      <x:c r="L563" s="16" t="str">
        <x:v>Unlikely</x:v>
      </x:c>
      <x:c r="M563" s="16" t="str">
        <x:v>Negligible</x:v>
      </x:c>
      <x:c r="N563" s="16" t="str">
        <x:v>Low</x:v>
      </x:c>
    </x:row>
    <x:row r="564" ht="37" customHeight="1">
      <x:c r="A564" s="16" t="str">
        <x:v>RAW-00558</x:v>
      </x:c>
      <x:c r="B564" s="16" t="str">
        <x:v>Recommendation</x:v>
      </x:c>
      <x:c r="C564" s="16" t="str">
        <x:v>– Clean, wire brush and repaint corroded areas.</x:v>
      </x:c>
      <x:c r="D564" s="16" t="str">
        <x:v>Cladding and framing</x:v>
      </x:c>
      <x:c r="E564" s="16" t="str">
        <x:v>SRC-026</x:v>
      </x:c>
      <x:c r="F564" s="16" t="str">
        <x:v>REC-0005</x:v>
      </x:c>
      <x:c r="G564" s="16" t="str">
        <x:v>正式报告</x:v>
      </x:c>
      <x:c r="H564" s="19" t="n">
        <x:v>6</x:v>
      </x:c>
      <x:c r="I564" s="19" t="n">
        <x:v>7</x:v>
      </x:c>
      <x:c r="J564" s="19" t="n">
        <x:v>2</x:v>
      </x:c>
      <x:c r="K564" s="16" t="str">
        <x:v>3. Minor deterioration</x:v>
      </x:c>
      <x:c r="L564" s="16" t="str">
        <x:v>Unlikely</x:v>
      </x:c>
      <x:c r="M564" s="16" t="str">
        <x:v>Negligible</x:v>
      </x:c>
      <x:c r="N564" s="16" t="str">
        <x:v>Low</x:v>
      </x:c>
    </x:row>
    <x:row r="565" ht="37" customHeight="1">
      <x:c r="A565" s="16" t="str">
        <x:v>RAW-00559</x:v>
      </x:c>
      <x:c r="B565" s="16" t="str">
        <x:v>Observation</x:v>
      </x:c>
      <x:c r="C565" s="16" t="str">
        <x:v>– Back of property. Cladding and framing in good condition.</x:v>
      </x:c>
      <x:c r="D565" s="16" t="str">
        <x:v>Cladding and framing</x:v>
      </x:c>
      <x:c r="E565" s="16" t="str">
        <x:v>SRC-026</x:v>
      </x:c>
      <x:c r="F565" s="16" t="str">
        <x:v>OBS-0011</x:v>
      </x:c>
      <x:c r="G565" s="16" t="str">
        <x:v>正式报告</x:v>
      </x:c>
      <x:c r="H565" s="19" t="n">
        <x:v>6</x:v>
      </x:c>
      <x:c r="I565" s="19" t="n">
        <x:v>9</x:v>
      </x:c>
      <x:c r="J565" s="19" t="n">
        <x:v>1</x:v>
      </x:c>
      <x:c r="K565" s="16" t="str">
        <x:v>3. Minor deterioration</x:v>
      </x:c>
      <x:c r="L565" s="16" t="str">
        <x:v>Unlikely</x:v>
      </x:c>
      <x:c r="M565" s="16" t="str">
        <x:v>Negligible</x:v>
      </x:c>
      <x:c r="N565" s="16" t="str">
        <x:v>Low</x:v>
      </x:c>
    </x:row>
    <x:row r="566" ht="37" customHeight="1">
      <x:c r="A566" s="16" t="str">
        <x:v>RAW-00560</x:v>
      </x:c>
      <x:c r="B566" s="16" t="str">
        <x:v>Observation</x:v>
      </x:c>
      <x:c r="C566" s="16" t="str">
        <x:v>– Overview of carport verandah.</x:v>
      </x:c>
      <x:c r="D566" s="16" t="str">
        <x:v>Carport verandah</x:v>
      </x:c>
      <x:c r="E566" s="16" t="str">
        <x:v>SRC-027</x:v>
      </x:c>
      <x:c r="F566" s="16" t="str">
        <x:v>OBS-0009</x:v>
      </x:c>
      <x:c r="G566" s="16" t="str">
        <x:v>正式报告</x:v>
      </x:c>
      <x:c r="H566" s="19" t="n">
        <x:v>3</x:v>
      </x:c>
      <x:c r="I566" s="19" t="n">
        <x:v>6</x:v>
      </x:c>
      <x:c r="J566" s="19" t="n">
        <x:v>1</x:v>
      </x:c>
      <x:c r="K566" s="16" t="str">
        <x:v>3. Minor deterioration</x:v>
      </x:c>
      <x:c r="L566" s="16" t="str">
        <x:v>Unlikely</x:v>
      </x:c>
      <x:c r="M566" s="16" t="str">
        <x:v>Significant</x:v>
      </x:c>
      <x:c r="N566" s="16" t="str">
        <x:v>Moderate</x:v>
      </x:c>
    </x:row>
    <x:row r="567" ht="41" customHeight="1">
      <x:c r="A567" s="16" t="str">
        <x:v>RAW-00561</x:v>
      </x:c>
      <x:c r="B567" s="16" t="str">
        <x:v>Observation</x:v>
      </x:c>
      <x:c r="C567" s="16" t="str">
        <x:v>– Left hand side of house facing the entrance. Minor corrosion to rafters and purlins. Salt staining on purlins.</x:v>
      </x:c>
      <x:c r="D567" s="16" t="str">
        <x:v>Carport verandah</x:v>
      </x:c>
      <x:c r="E567" s="16" t="str">
        <x:v>SRC-027</x:v>
      </x:c>
      <x:c r="F567" s="16" t="str">
        <x:v>OBS-0015</x:v>
      </x:c>
      <x:c r="G567" s="16" t="str">
        <x:v>正式报告</x:v>
      </x:c>
      <x:c r="H567" s="19" t="n">
        <x:v>3</x:v>
      </x:c>
      <x:c r="I567" s="19" t="n">
        <x:v>7</x:v>
      </x:c>
      <x:c r="J567" s="19" t="n">
        <x:v>1</x:v>
      </x:c>
      <x:c r="K567" s="16" t="str">
        <x:v>3. Minor deterioration</x:v>
      </x:c>
      <x:c r="L567" s="16" t="str">
        <x:v>Unlikely</x:v>
      </x:c>
      <x:c r="M567" s="16" t="str">
        <x:v>Significant</x:v>
      </x:c>
      <x:c r="N567" s="16" t="str">
        <x:v>Moderate</x:v>
      </x:c>
    </x:row>
    <x:row r="568" ht="41" customHeight="1">
      <x:c r="A568" s="16" t="str">
        <x:v>RAW-00562</x:v>
      </x:c>
      <x:c r="B568" s="16" t="str">
        <x:v>Observation</x:v>
      </x:c>
      <x:c r="C568" s="16" t="str">
        <x:v>– Right hand side of house facing the entrance. Minor corrosion to rafters and purlins. Salt staining on purlins.</x:v>
      </x:c>
      <x:c r="D568" s="16" t="str">
        <x:v>Carport verandah</x:v>
      </x:c>
      <x:c r="E568" s="16" t="str">
        <x:v>SRC-027</x:v>
      </x:c>
      <x:c r="F568" s="16" t="str">
        <x:v>OBS-0029</x:v>
      </x:c>
      <x:c r="G568" s="16" t="str">
        <x:v>正式报告</x:v>
      </x:c>
      <x:c r="H568" s="19" t="n">
        <x:v>3</x:v>
      </x:c>
      <x:c r="I568" s="19" t="n">
        <x:v>8</x:v>
      </x:c>
      <x:c r="J568" s="19" t="n">
        <x:v>1</x:v>
      </x:c>
      <x:c r="K568" s="16" t="str">
        <x:v>3. Minor deterioration</x:v>
      </x:c>
      <x:c r="L568" s="16" t="str">
        <x:v>Unlikely</x:v>
      </x:c>
      <x:c r="M568" s="16" t="str">
        <x:v>Significant</x:v>
      </x:c>
      <x:c r="N568" s="16" t="str">
        <x:v>Moderate</x:v>
      </x:c>
    </x:row>
    <x:row r="569" ht="37" customHeight="1">
      <x:c r="A569" s="16" t="str">
        <x:v>RAW-00563</x:v>
      </x:c>
      <x:c r="B569" s="16" t="str">
        <x:v>Observation</x:v>
      </x:c>
      <x:c r="C569" s="16" t="str">
        <x:v>– Right hand side of house facing the entrance. Minor corrosion of sheeting adjacent to verandah beam.</x:v>
      </x:c>
      <x:c r="D569" s="16" t="str">
        <x:v>Carport verandah</x:v>
      </x:c>
      <x:c r="E569" s="16" t="str">
        <x:v>SRC-027</x:v>
      </x:c>
      <x:c r="F569" s="16" t="str">
        <x:v>OBS-0492</x:v>
      </x:c>
      <x:c r="G569" s="16" t="str">
        <x:v>正式报告</x:v>
      </x:c>
      <x:c r="H569" s="19" t="n">
        <x:v>3</x:v>
      </x:c>
      <x:c r="I569" s="19" t="n">
        <x:v>9</x:v>
      </x:c>
      <x:c r="J569" s="19" t="n">
        <x:v>1</x:v>
      </x:c>
      <x:c r="K569" s="16" t="str">
        <x:v>3. Minor deterioration</x:v>
      </x:c>
      <x:c r="L569" s="16" t="str">
        <x:v>Unlikely</x:v>
      </x:c>
      <x:c r="M569" s="16" t="str">
        <x:v>Significant</x:v>
      </x:c>
      <x:c r="N569" s="16" t="str">
        <x:v>Moderate</x:v>
      </x:c>
    </x:row>
    <x:row r="570" ht="37" customHeight="1">
      <x:c r="A570" s="16" t="str">
        <x:v>RAW-00564</x:v>
      </x:c>
      <x:c r="B570" s="16" t="str">
        <x:v>Recommendation</x:v>
      </x:c>
      <x:c r="C570" s="16" t="str">
        <x:v>– Clean, wire brush and repaint.</x:v>
      </x:c>
      <x:c r="D570" s="16" t="str">
        <x:v>Carport verandah</x:v>
      </x:c>
      <x:c r="E570" s="16" t="str">
        <x:v>SRC-027</x:v>
      </x:c>
      <x:c r="F570" s="16" t="str">
        <x:v>REC-0001</x:v>
      </x:c>
      <x:c r="G570" s="16" t="str">
        <x:v>正式报告</x:v>
      </x:c>
      <x:c r="H570" s="19" t="n">
        <x:v>3</x:v>
      </x:c>
      <x:c r="I570" s="19" t="n">
        <x:v>9</x:v>
      </x:c>
      <x:c r="J570" s="19" t="n">
        <x:v>1</x:v>
      </x:c>
      <x:c r="K570" s="16" t="str">
        <x:v>3. Minor deterioration</x:v>
      </x:c>
      <x:c r="L570" s="16" t="str">
        <x:v>Unlikely</x:v>
      </x:c>
      <x:c r="M570" s="16" t="str">
        <x:v>Significant</x:v>
      </x:c>
      <x:c r="N570" s="16" t="str">
        <x:v>Moderate</x:v>
      </x:c>
    </x:row>
    <x:row r="571" ht="37" customHeight="1">
      <x:c r="A571" s="16" t="str">
        <x:v>RAW-00565</x:v>
      </x:c>
      <x:c r="B571" s="16" t="str">
        <x:v>Observation</x:v>
      </x:c>
      <x:c r="C571" s="16" t="str">
        <x:v>– Minor corrosion of front verandah columns.</x:v>
      </x:c>
      <x:c r="D571" s="16" t="str">
        <x:v>Columns</x:v>
      </x:c>
      <x:c r="E571" s="16" t="str">
        <x:v>SRC-027</x:v>
      </x:c>
      <x:c r="F571" s="16" t="str">
        <x:v>OBS-0389</x:v>
      </x:c>
      <x:c r="G571" s="16" t="str">
        <x:v>正式报告</x:v>
      </x:c>
      <x:c r="H571" s="19" t="n">
        <x:v>4</x:v>
      </x:c>
      <x:c r="I571" s="19" t="n">
        <x:v>6</x:v>
      </x:c>
      <x:c r="J571" s="19" t="n">
        <x:v>2</x:v>
      </x:c>
      <x:c r="K571" s="16" t="str">
        <x:v>3. Minor deterioration</x:v>
      </x:c>
      <x:c r="L571" s="16" t="str">
        <x:v>Unlikely</x:v>
      </x:c>
      <x:c r="M571" s="16" t="str">
        <x:v>Significant</x:v>
      </x:c>
      <x:c r="N571" s="16" t="str">
        <x:v>Moderate</x:v>
      </x:c>
    </x:row>
    <x:row r="572" ht="37" customHeight="1">
      <x:c r="A572" s="16" t="str">
        <x:v>RAW-00566</x:v>
      </x:c>
      <x:c r="B572" s="16" t="str">
        <x:v>Recommendation</x:v>
      </x:c>
      <x:c r="C572" s="16" t="str">
        <x:v>– Clean, wire brush and repaint.</x:v>
      </x:c>
      <x:c r="D572" s="16" t="str">
        <x:v>Columns</x:v>
      </x:c>
      <x:c r="E572" s="16" t="str">
        <x:v>SRC-027</x:v>
      </x:c>
      <x:c r="F572" s="16" t="str">
        <x:v>REC-0001</x:v>
      </x:c>
      <x:c r="G572" s="16" t="str">
        <x:v>正式报告</x:v>
      </x:c>
      <x:c r="H572" s="19" t="n">
        <x:v>4</x:v>
      </x:c>
      <x:c r="I572" s="19" t="n">
        <x:v>6</x:v>
      </x:c>
      <x:c r="J572" s="19" t="n">
        <x:v>2</x:v>
      </x:c>
      <x:c r="K572" s="16" t="str">
        <x:v>3. Minor deterioration</x:v>
      </x:c>
      <x:c r="L572" s="16" t="str">
        <x:v>Unlikely</x:v>
      </x:c>
      <x:c r="M572" s="16" t="str">
        <x:v>Significant</x:v>
      </x:c>
      <x:c r="N572" s="16" t="str">
        <x:v>Moderate</x:v>
      </x:c>
    </x:row>
    <x:row r="573" ht="37" customHeight="1">
      <x:c r="A573" s="16" t="str">
        <x:v>RAW-00567</x:v>
      </x:c>
      <x:c r="B573" s="16" t="str">
        <x:v>Observation</x:v>
      </x:c>
      <x:c r="C573" s="16" t="str">
        <x:v>– Minor corrosion of backyard column.</x:v>
      </x:c>
      <x:c r="D573" s="16" t="str">
        <x:v>Columns</x:v>
      </x:c>
      <x:c r="E573" s="16" t="str">
        <x:v>SRC-027</x:v>
      </x:c>
      <x:c r="F573" s="16" t="str">
        <x:v>OBS-0387</x:v>
      </x:c>
      <x:c r="G573" s="16" t="str">
        <x:v>正式报告</x:v>
      </x:c>
      <x:c r="H573" s="19" t="n">
        <x:v>4</x:v>
      </x:c>
      <x:c r="I573" s="19" t="n">
        <x:v>8</x:v>
      </x:c>
      <x:c r="J573" s="19" t="n">
        <x:v>2</x:v>
      </x:c>
      <x:c r="K573" s="16" t="str">
        <x:v>3. Minor deterioration</x:v>
      </x:c>
      <x:c r="L573" s="16" t="str">
        <x:v>Unlikely</x:v>
      </x:c>
      <x:c r="M573" s="16" t="str">
        <x:v>Significant</x:v>
      </x:c>
      <x:c r="N573" s="16" t="str">
        <x:v>Moderate</x:v>
      </x:c>
    </x:row>
    <x:row r="574" ht="37" customHeight="1">
      <x:c r="A574" s="16" t="str">
        <x:v>RAW-00568</x:v>
      </x:c>
      <x:c r="B574" s="16" t="str">
        <x:v>Recommendation</x:v>
      </x:c>
      <x:c r="C574" s="16" t="str">
        <x:v>– Clean, wire brush and repaint.</x:v>
      </x:c>
      <x:c r="D574" s="16" t="str">
        <x:v>Columns</x:v>
      </x:c>
      <x:c r="E574" s="16" t="str">
        <x:v>SRC-027</x:v>
      </x:c>
      <x:c r="F574" s="16" t="str">
        <x:v>REC-0001</x:v>
      </x:c>
      <x:c r="G574" s="16" t="str">
        <x:v>正式报告</x:v>
      </x:c>
      <x:c r="H574" s="19" t="n">
        <x:v>4</x:v>
      </x:c>
      <x:c r="I574" s="19" t="n">
        <x:v>8</x:v>
      </x:c>
      <x:c r="J574" s="19" t="n">
        <x:v>2</x:v>
      </x:c>
      <x:c r="K574" s="16" t="str">
        <x:v>3. Minor deterioration</x:v>
      </x:c>
      <x:c r="L574" s="16" t="str">
        <x:v>Unlikely</x:v>
      </x:c>
      <x:c r="M574" s="16" t="str">
        <x:v>Significant</x:v>
      </x:c>
      <x:c r="N574" s="16" t="str">
        <x:v>Moderate</x:v>
      </x:c>
    </x:row>
    <x:row r="575" ht="37" customHeight="1">
      <x:c r="A575" s="16" t="str">
        <x:v>RAW-00569</x:v>
      </x:c>
      <x:c r="B575" s="16" t="str">
        <x:v>Observation</x:v>
      </x:c>
      <x:c r="C575" s="16" t="str">
        <x:v>– Fencing posts on left hand side of property facing the front entrance. Bitumen paint deterioration.</x:v>
      </x:c>
      <x:c r="D575" s="16" t="str">
        <x:v>Fencing post</x:v>
      </x:c>
      <x:c r="E575" s="16" t="str">
        <x:v>SRC-027</x:v>
      </x:c>
      <x:c r="F575" s="16" t="str">
        <x:v>OBS-0005</x:v>
      </x:c>
      <x:c r="G575" s="16" t="str">
        <x:v>正式报告</x:v>
      </x:c>
      <x:c r="H575" s="19" t="n">
        <x:v>5</x:v>
      </x:c>
      <x:c r="I575" s="19" t="n">
        <x:v>6</x:v>
      </x:c>
      <x:c r="J575" s="19" t="n">
        <x:v>1</x:v>
      </x:c>
      <x:c r="K575" s="16" t="str">
        <x:v>2. New with slight deterioration</x:v>
      </x:c>
      <x:c r="L575" s="16" t="str">
        <x:v>Very unlikely</x:v>
      </x:c>
      <x:c r="M575" s="16" t="str">
        <x:v>Moderate</x:v>
      </x:c>
      <x:c r="N575" s="16" t="str">
        <x:v>Low</x:v>
      </x:c>
    </x:row>
    <x:row r="576" ht="41" customHeight="1">
      <x:c r="A576" s="16" t="str">
        <x:v>RAW-00570</x:v>
      </x:c>
      <x:c r="B576" s="16" t="str">
        <x:v>Recommendation</x:v>
      </x:c>
      <x:c r="C576" s="16" t="str">
        <x:v>– Clean and repaint. Excavate all fencing posts to the base and investigate the condition. Undertake appropriate repair stated within Section 3.</x:v>
      </x:c>
      <x:c r="D576" s="16" t="str">
        <x:v>Fencing post</x:v>
      </x:c>
      <x:c r="E576" s="16" t="str">
        <x:v>SRC-027</x:v>
      </x:c>
      <x:c r="F576" s="16" t="str">
        <x:v>REC-0054</x:v>
      </x:c>
      <x:c r="G576" s="16" t="str">
        <x:v>正式报告</x:v>
      </x:c>
      <x:c r="H576" s="19" t="n">
        <x:v>5</x:v>
      </x:c>
      <x:c r="I576" s="19" t="n">
        <x:v>6</x:v>
      </x:c>
      <x:c r="J576" s="19" t="n">
        <x:v>1</x:v>
      </x:c>
      <x:c r="K576" s="16" t="str">
        <x:v>2. New with slight deterioration</x:v>
      </x:c>
      <x:c r="L576" s="16" t="str">
        <x:v>Very unlikely</x:v>
      </x:c>
      <x:c r="M576" s="16" t="str">
        <x:v>Moderate</x:v>
      </x:c>
      <x:c r="N576" s="16" t="str">
        <x:v>Low</x:v>
      </x:c>
    </x:row>
    <x:row r="577" ht="41" customHeight="1">
      <x:c r="A577" s="16" t="str">
        <x:v>RAW-00571</x:v>
      </x:c>
      <x:c r="B577" s="16" t="str">
        <x:v>Observation</x:v>
      </x:c>
      <x:c r="C577" s="16" t="str">
        <x:v>– Minor corrosion at corner of window, typical to most windows. Salt staining on wall cladding at bolted connection.</x:v>
      </x:c>
      <x:c r="D577" s="16" t="str">
        <x:v>Cladding and framing</x:v>
      </x:c>
      <x:c r="E577" s="16" t="str">
        <x:v>SRC-027</x:v>
      </x:c>
      <x:c r="F577" s="16" t="str">
        <x:v>OBS-0383</x:v>
      </x:c>
      <x:c r="G577" s="16" t="str">
        <x:v>正式报告</x:v>
      </x:c>
      <x:c r="H577" s="19" t="n">
        <x:v>6</x:v>
      </x:c>
      <x:c r="I577" s="19" t="n">
        <x:v>6</x:v>
      </x:c>
      <x:c r="J577" s="19" t="n">
        <x:v>1</x:v>
      </x:c>
      <x:c r="K577" s="16" t="str">
        <x:v>2. New with slight deterioration</x:v>
      </x:c>
      <x:c r="L577" s="16" t="str">
        <x:v>Unlikely</x:v>
      </x:c>
      <x:c r="M577" s="16" t="str">
        <x:v>Negligible</x:v>
      </x:c>
      <x:c r="N577" s="16" t="str">
        <x:v>Low</x:v>
      </x:c>
    </x:row>
    <x:row r="578" ht="37" customHeight="1">
      <x:c r="A578" s="16" t="str">
        <x:v>RAW-00572</x:v>
      </x:c>
      <x:c r="B578" s="16" t="str">
        <x:v>Observation</x:v>
      </x:c>
      <x:c r="C578" s="16" t="str">
        <x:v>– Salt staining on wall cladding on window frame, typical to most windows.</x:v>
      </x:c>
      <x:c r="D578" s="16" t="str">
        <x:v>Cladding and framing</x:v>
      </x:c>
      <x:c r="E578" s="16" t="str">
        <x:v>SRC-027</x:v>
      </x:c>
      <x:c r="F578" s="16" t="str">
        <x:v>OBS-0081</x:v>
      </x:c>
      <x:c r="G578" s="16" t="str">
        <x:v>正式报告</x:v>
      </x:c>
      <x:c r="H578" s="19" t="n">
        <x:v>6</x:v>
      </x:c>
      <x:c r="I578" s="19" t="n">
        <x:v>7</x:v>
      </x:c>
      <x:c r="J578" s="19" t="n">
        <x:v>1</x:v>
      </x:c>
      <x:c r="K578" s="16" t="str">
        <x:v>2. New with slight deterioration</x:v>
      </x:c>
      <x:c r="L578" s="16" t="str">
        <x:v>Unlikely</x:v>
      </x:c>
      <x:c r="M578" s="16" t="str">
        <x:v>Negligible</x:v>
      </x:c>
      <x:c r="N578" s="16" t="str">
        <x:v>Low</x:v>
      </x:c>
    </x:row>
    <x:row r="579" ht="37" customHeight="1">
      <x:c r="A579" s="16" t="str">
        <x:v>RAW-00573</x:v>
      </x:c>
      <x:c r="B579" s="16" t="str">
        <x:v>Recommendation</x:v>
      </x:c>
      <x:c r="C579" s="16" t="str">
        <x:v>– Clean all salt staining.</x:v>
      </x:c>
      <x:c r="D579" s="16" t="str">
        <x:v>Cladding and framing</x:v>
      </x:c>
      <x:c r="E579" s="16" t="str">
        <x:v>SRC-027</x:v>
      </x:c>
      <x:c r="F579" s="16" t="str">
        <x:v>REC-0013</x:v>
      </x:c>
      <x:c r="G579" s="16" t="str">
        <x:v>正式报告</x:v>
      </x:c>
      <x:c r="H579" s="19" t="n">
        <x:v>6</x:v>
      </x:c>
      <x:c r="I579" s="19" t="n">
        <x:v>7</x:v>
      </x:c>
      <x:c r="J579" s="19" t="n">
        <x:v>1</x:v>
      </x:c>
      <x:c r="K579" s="16" t="str">
        <x:v>2. New with slight deterioration</x:v>
      </x:c>
      <x:c r="L579" s="16" t="str">
        <x:v>Unlikely</x:v>
      </x:c>
      <x:c r="M579" s="16" t="str">
        <x:v>Negligible</x:v>
      </x:c>
      <x:c r="N579" s="16" t="str">
        <x:v>Low</x:v>
      </x:c>
    </x:row>
    <x:row r="580" ht="41" customHeight="1">
      <x:c r="A580" s="16" t="str">
        <x:v>RAW-00574</x:v>
      </x:c>
      <x:c r="B580" s="16" t="str">
        <x:v>Observation</x:v>
      </x:c>
      <x:c r="C580" s="16" t="str">
        <x:v>– Carport fencing post. Most posts have paint deterioration at the lower section. Bitumen Paint deterioration and severe flaking corrosion.</x:v>
      </x:c>
      <x:c r="D580" s="16" t="str">
        <x:v>Fencing posts</x:v>
      </x:c>
      <x:c r="E580" s="16" t="str">
        <x:v>SRC-028</x:v>
      </x:c>
      <x:c r="F580" s="16" t="str">
        <x:v>OBS-0158</x:v>
      </x:c>
      <x:c r="G580" s="16" t="str">
        <x:v>正式报告</x:v>
      </x:c>
      <x:c r="H580" s="19" t="n">
        <x:v>3</x:v>
      </x:c>
      <x:c r="I580" s="19" t="n">
        <x:v>6</x:v>
      </x:c>
      <x:c r="J580" s="19" t="n">
        <x:v>2</x:v>
      </x:c>
      <x:c r="K580" s="16" t="str">
        <x:v>6. Severe deterioration</x:v>
      </x:c>
      <x:c r="L580" s="16" t="str">
        <x:v>Unlikely</x:v>
      </x:c>
      <x:c r="M580" s="16" t="str">
        <x:v>Moderate</x:v>
      </x:c>
      <x:c r="N580" s="16" t="str">
        <x:v>Critical</x:v>
      </x:c>
    </x:row>
    <x:row r="581" ht="41" customHeight="1">
      <x:c r="A581" s="16" t="str">
        <x:v>RAW-00575</x:v>
      </x:c>
      <x:c r="B581" s="16" t="str">
        <x:v>Recommendation</x:v>
      </x:c>
      <x:c r="C581" s="16" t="str">
        <x:v>– Clean, wire brush and repaint. Excavate all fencing posts to the base and investigate the condition. Undertake appropriate repair stated within Section 3.</x:v>
      </x:c>
      <x:c r="D581" s="16" t="str">
        <x:v>Fencing posts</x:v>
      </x:c>
      <x:c r="E581" s="16" t="str">
        <x:v>SRC-028</x:v>
      </x:c>
      <x:c r="F581" s="16" t="str">
        <x:v>REC-0011</x:v>
      </x:c>
      <x:c r="G581" s="16" t="str">
        <x:v>正式报告</x:v>
      </x:c>
      <x:c r="H581" s="19" t="n">
        <x:v>3</x:v>
      </x:c>
      <x:c r="I581" s="19" t="n">
        <x:v>6</x:v>
      </x:c>
      <x:c r="J581" s="19" t="n">
        <x:v>2</x:v>
      </x:c>
      <x:c r="K581" s="16" t="str">
        <x:v>6. Severe deterioration</x:v>
      </x:c>
      <x:c r="L581" s="16" t="str">
        <x:v>Unlikely</x:v>
      </x:c>
      <x:c r="M581" s="16" t="str">
        <x:v>Moderate</x:v>
      </x:c>
      <x:c r="N581" s="16" t="str">
        <x:v>Critical</x:v>
      </x:c>
    </x:row>
    <x:row r="582" ht="37" customHeight="1">
      <x:c r="A582" s="16" t="str">
        <x:v>RAW-00576</x:v>
      </x:c>
      <x:c r="B582" s="16" t="str">
        <x:v>Observation</x:v>
      </x:c>
      <x:c r="C582" s="16" t="str">
        <x:v>– Carport. Cracks on the retaining wall.</x:v>
      </x:c>
      <x:c r="D582" s="16" t="str">
        <x:v>Retaining wall</x:v>
      </x:c>
      <x:c r="E582" s="16" t="str">
        <x:v>SRC-028</x:v>
      </x:c>
      <x:c r="F582" s="16" t="str">
        <x:v>OBS-0040</x:v>
      </x:c>
      <x:c r="G582" s="16" t="str">
        <x:v>正式报告</x:v>
      </x:c>
      <x:c r="H582" s="19" t="n">
        <x:v>4</x:v>
      </x:c>
      <x:c r="I582" s="19" t="n">
        <x:v>6</x:v>
      </x:c>
      <x:c r="J582" s="19" t="n">
        <x:v>2</x:v>
      </x:c>
      <x:c r="K582" s="16" t="str">
        <x:v>5. Major deterioration</x:v>
      </x:c>
      <x:c r="L582" s="16" t="str">
        <x:v>Likely</x:v>
      </x:c>
      <x:c r="M582" s="16" t="str">
        <x:v>Minor</x:v>
      </x:c>
      <x:c r="N582" s="16" t="str">
        <x:v>Moderate</x:v>
      </x:c>
    </x:row>
    <x:row r="583" ht="37" customHeight="1">
      <x:c r="A583" s="16" t="str">
        <x:v>RAW-00577</x:v>
      </x:c>
      <x:c r="B583" s="16" t="str">
        <x:v>Recommendation</x:v>
      </x:c>
      <x:c r="C583" s="16" t="str">
        <x:v>– Panels displaying full-thickness cracking are to be replaced.</x:v>
      </x:c>
      <x:c r="D583" s="16" t="str">
        <x:v>Retaining wall</x:v>
      </x:c>
      <x:c r="E583" s="16" t="str">
        <x:v>SRC-028</x:v>
      </x:c>
      <x:c r="F583" s="16" t="str">
        <x:v>REC-0032</x:v>
      </x:c>
      <x:c r="G583" s="16" t="str">
        <x:v>正式报告</x:v>
      </x:c>
      <x:c r="H583" s="19" t="n">
        <x:v>4</x:v>
      </x:c>
      <x:c r="I583" s="19" t="n">
        <x:v>6</x:v>
      </x:c>
      <x:c r="J583" s="19" t="n">
        <x:v>2</x:v>
      </x:c>
      <x:c r="K583" s="16" t="str">
        <x:v>5. Major deterioration</x:v>
      </x:c>
      <x:c r="L583" s="16" t="str">
        <x:v>Likely</x:v>
      </x:c>
      <x:c r="M583" s="16" t="str">
        <x:v>Minor</x:v>
      </x:c>
      <x:c r="N583" s="16" t="str">
        <x:v>Moderate</x:v>
      </x:c>
    </x:row>
    <x:row r="584" ht="37" customHeight="1">
      <x:c r="A584" s="16" t="str">
        <x:v>RAW-00578</x:v>
      </x:c>
      <x:c r="B584" s="16" t="str">
        <x:v>Observation</x:v>
      </x:c>
      <x:c r="C584" s="16" t="str">
        <x:v>– Carport. Cracks on the retaining wall.</x:v>
      </x:c>
      <x:c r="D584" s="16" t="str">
        <x:v>Retaining wall</x:v>
      </x:c>
      <x:c r="E584" s="16" t="str">
        <x:v>SRC-028</x:v>
      </x:c>
      <x:c r="F584" s="16" t="str">
        <x:v>OBS-0040</x:v>
      </x:c>
      <x:c r="G584" s="16" t="str">
        <x:v>正式报告</x:v>
      </x:c>
      <x:c r="H584" s="19" t="n">
        <x:v>4</x:v>
      </x:c>
      <x:c r="I584" s="19" t="n">
        <x:v>8</x:v>
      </x:c>
      <x:c r="J584" s="19" t="n">
        <x:v>1</x:v>
      </x:c>
      <x:c r="K584" s="16" t="str">
        <x:v>5. Major deterioration</x:v>
      </x:c>
      <x:c r="L584" s="16" t="str">
        <x:v>Likely</x:v>
      </x:c>
      <x:c r="M584" s="16" t="str">
        <x:v>Minor</x:v>
      </x:c>
      <x:c r="N584" s="16" t="str">
        <x:v>Moderate</x:v>
      </x:c>
    </x:row>
    <x:row r="585" ht="37" customHeight="1">
      <x:c r="A585" s="16" t="str">
        <x:v>RAW-00579</x:v>
      </x:c>
      <x:c r="B585" s="16" t="str">
        <x:v>Recommendation</x:v>
      </x:c>
      <x:c r="C585" s="16" t="str">
        <x:v>– Panels displaying full-thickness cracking are to be replaced.</x:v>
      </x:c>
      <x:c r="D585" s="16" t="str">
        <x:v>Retaining wall</x:v>
      </x:c>
      <x:c r="E585" s="16" t="str">
        <x:v>SRC-028</x:v>
      </x:c>
      <x:c r="F585" s="16" t="str">
        <x:v>REC-0032</x:v>
      </x:c>
      <x:c r="G585" s="16" t="str">
        <x:v>正式报告</x:v>
      </x:c>
      <x:c r="H585" s="19" t="n">
        <x:v>4</x:v>
      </x:c>
      <x:c r="I585" s="19" t="n">
        <x:v>8</x:v>
      </x:c>
      <x:c r="J585" s="19" t="n">
        <x:v>1</x:v>
      </x:c>
      <x:c r="K585" s="16" t="str">
        <x:v>5. Major deterioration</x:v>
      </x:c>
      <x:c r="L585" s="16" t="str">
        <x:v>Likely</x:v>
      </x:c>
      <x:c r="M585" s="16" t="str">
        <x:v>Minor</x:v>
      </x:c>
      <x:c r="N585" s="16" t="str">
        <x:v>Moderate</x:v>
      </x:c>
    </x:row>
    <x:row r="586" ht="37" customHeight="1">
      <x:c r="A586" s="16" t="str">
        <x:v>RAW-00580</x:v>
      </x:c>
      <x:c r="B586" s="16" t="str">
        <x:v>Recommendation</x:v>
      </x:c>
      <x:c r="C586" s="16" t="str">
        <x:v>– Clean, wire brush and repaint corroded areas.</x:v>
      </x:c>
      <x:c r="D586" s="16" t="str">
        <x:v>Columns</x:v>
      </x:c>
      <x:c r="E586" s="16" t="str">
        <x:v>SRC-028</x:v>
      </x:c>
      <x:c r="F586" s="16" t="str">
        <x:v>REC-0005</x:v>
      </x:c>
      <x:c r="G586" s="16" t="str">
        <x:v>正式报告</x:v>
      </x:c>
      <x:c r="H586" s="19" t="n">
        <x:v>5</x:v>
      </x:c>
      <x:c r="I586" s="19" t="n">
        <x:v>6</x:v>
      </x:c>
      <x:c r="J586" s="19" t="n">
        <x:v>3</x:v>
      </x:c>
      <x:c r="K586" s="16" t="str">
        <x:v>3. Minor deterioration</x:v>
      </x:c>
      <x:c r="L586" s="16" t="str">
        <x:v>Unlikely</x:v>
      </x:c>
      <x:c r="M586" s="16" t="str">
        <x:v>Significant</x:v>
      </x:c>
      <x:c r="N586" s="16" t="str">
        <x:v>Low</x:v>
      </x:c>
    </x:row>
    <x:row r="587" ht="37" customHeight="1">
      <x:c r="A587" s="16" t="str">
        <x:v>RAW-00581</x:v>
      </x:c>
      <x:c r="B587" s="16" t="str">
        <x:v>Observation</x:v>
      </x:c>
      <x:c r="C587" s="16" t="str">
        <x:v>– Purlins and rafters of carport and front verandah in good condition.</x:v>
      </x:c>
      <x:c r="D587" s="16" t="str">
        <x:v>Rafters and purlins</x:v>
      </x:c>
      <x:c r="E587" s="16" t="str">
        <x:v>SRC-028</x:v>
      </x:c>
      <x:c r="F587" s="16" t="str">
        <x:v>OBS-0028</x:v>
      </x:c>
      <x:c r="G587" s="16" t="str">
        <x:v>正式报告</x:v>
      </x:c>
      <x:c r="H587" s="19" t="n">
        <x:v>6</x:v>
      </x:c>
      <x:c r="I587" s="19" t="n">
        <x:v>6</x:v>
      </x:c>
      <x:c r="J587" s="19" t="n">
        <x:v>1</x:v>
      </x:c>
      <x:c r="K587" s="16" t="str">
        <x:v>2. New with slight deterioration</x:v>
      </x:c>
      <x:c r="L587" s="16" t="str">
        <x:v>Very unlikely</x:v>
      </x:c>
      <x:c r="M587" s="16" t="str">
        <x:v>Significant</x:v>
      </x:c>
      <x:c r="N587" s="16" t="str">
        <x:v>Low</x:v>
      </x:c>
    </x:row>
    <x:row r="588" ht="37" customHeight="1">
      <x:c r="A588" s="16" t="str">
        <x:v>RAW-00582</x:v>
      </x:c>
      <x:c r="B588" s="16" t="str">
        <x:v>Recommendation</x:v>
      </x:c>
      <x:c r="C588" s="16" t="str">
        <x:v>– None.</x:v>
      </x:c>
      <x:c r="D588" s="16" t="str">
        <x:v>Rafters and purlins</x:v>
      </x:c>
      <x:c r="E588" s="16" t="str">
        <x:v>SRC-028</x:v>
      </x:c>
      <x:c r="F588" s="16" t="str">
        <x:v>REC-0003</x:v>
      </x:c>
      <x:c r="G588" s="16" t="str">
        <x:v>正式报告</x:v>
      </x:c>
      <x:c r="H588" s="19" t="n">
        <x:v>6</x:v>
      </x:c>
      <x:c r="I588" s="19" t="n">
        <x:v>6</x:v>
      </x:c>
      <x:c r="J588" s="19" t="n">
        <x:v>1</x:v>
      </x:c>
      <x:c r="K588" s="16" t="str">
        <x:v>2. New with slight deterioration</x:v>
      </x:c>
      <x:c r="L588" s="16" t="str">
        <x:v>Very unlikely</x:v>
      </x:c>
      <x:c r="M588" s="16" t="str">
        <x:v>Significant</x:v>
      </x:c>
      <x:c r="N588" s="16" t="str">
        <x:v>Low</x:v>
      </x:c>
    </x:row>
    <x:row r="589" ht="41" customHeight="1">
      <x:c r="A589" s="16" t="str">
        <x:v>RAW-00583</x:v>
      </x:c>
      <x:c r="B589" s="16" t="str">
        <x:v>Observation</x:v>
      </x:c>
      <x:c r="C589" s="16" t="str">
        <x:v>– Side overhang. Salt staining on rafters and purlins. Minor corrosion on bolts securing antenna to rafter.</x:v>
      </x:c>
      <x:c r="D589" s="16" t="str">
        <x:v>Rafters and purlins</x:v>
      </x:c>
      <x:c r="E589" s="16" t="str">
        <x:v>SRC-028</x:v>
      </x:c>
      <x:c r="F589" s="16" t="str">
        <x:v>OBS-0570</x:v>
      </x:c>
      <x:c r="G589" s="16" t="str">
        <x:v>正式报告</x:v>
      </x:c>
      <x:c r="H589" s="19" t="n">
        <x:v>6</x:v>
      </x:c>
      <x:c r="I589" s="19" t="n">
        <x:v>7</x:v>
      </x:c>
      <x:c r="J589" s="19" t="n">
        <x:v>1</x:v>
      </x:c>
      <x:c r="K589" s="16" t="str">
        <x:v>2. New with slight deterioration</x:v>
      </x:c>
      <x:c r="L589" s="16" t="str">
        <x:v>Very unlikely</x:v>
      </x:c>
      <x:c r="M589" s="16" t="str">
        <x:v>Significant</x:v>
      </x:c>
      <x:c r="N589" s="16" t="str">
        <x:v>Low</x:v>
      </x:c>
    </x:row>
    <x:row r="590" ht="37" customHeight="1">
      <x:c r="A590" s="16" t="str">
        <x:v>RAW-00584</x:v>
      </x:c>
      <x:c r="B590" s="16" t="str">
        <x:v>Recommendation</x:v>
      </x:c>
      <x:c r="C590" s="16" t="str">
        <x:v>– clean salt staining.</x:v>
      </x:c>
      <x:c r="D590" s="16" t="str">
        <x:v>Rafters and purlins</x:v>
      </x:c>
      <x:c r="E590" s="16" t="str">
        <x:v>SRC-028</x:v>
      </x:c>
      <x:c r="F590" s="16" t="str">
        <x:v>REC-0009</x:v>
      </x:c>
      <x:c r="G590" s="16" t="str">
        <x:v>正式报告</x:v>
      </x:c>
      <x:c r="H590" s="19" t="n">
        <x:v>6</x:v>
      </x:c>
      <x:c r="I590" s="19" t="n">
        <x:v>7</x:v>
      </x:c>
      <x:c r="J590" s="19" t="n">
        <x:v>1</x:v>
      </x:c>
      <x:c r="K590" s="16" t="str">
        <x:v>2. New with slight deterioration</x:v>
      </x:c>
      <x:c r="L590" s="16" t="str">
        <x:v>Very unlikely</x:v>
      </x:c>
      <x:c r="M590" s="16" t="str">
        <x:v>Significant</x:v>
      </x:c>
      <x:c r="N590" s="16" t="str">
        <x:v>Low</x:v>
      </x:c>
    </x:row>
    <x:row r="591" ht="37" customHeight="1">
      <x:c r="A591" s="16" t="str">
        <x:v>RAW-00585</x:v>
      </x:c>
      <x:c r="B591" s="16" t="str">
        <x:v>Observation</x:v>
      </x:c>
      <x:c r="C591" s="16" t="str">
        <x:v>– Front of property. Cladding and framing in good condition. Discolouration of paint in some areas.</x:v>
      </x:c>
      <x:c r="D591" s="16" t="str">
        <x:v>Cladding and framing</x:v>
      </x:c>
      <x:c r="E591" s="16" t="str">
        <x:v>SRC-028</x:v>
      </x:c>
      <x:c r="F591" s="16" t="str">
        <x:v>OBS-0276</x:v>
      </x:c>
      <x:c r="G591" s="16" t="str">
        <x:v>正式报告</x:v>
      </x:c>
      <x:c r="H591" s="19" t="n">
        <x:v>7</x:v>
      </x:c>
      <x:c r="I591" s="19" t="n">
        <x:v>6</x:v>
      </x:c>
      <x:c r="J591" s="19" t="n">
        <x:v>1</x:v>
      </x:c>
      <x:c r="K591" s="16" t="str">
        <x:v>2. New with slight deterioration</x:v>
      </x:c>
      <x:c r="L591" s="16" t="str">
        <x:v>Unlikely</x:v>
      </x:c>
      <x:c r="M591" s="16" t="str">
        <x:v>Negligible</x:v>
      </x:c>
      <x:c r="N591" s="16" t="str">
        <x:v>Low</x:v>
      </x:c>
    </x:row>
    <x:row r="592" ht="41" customHeight="1">
      <x:c r="A592" s="16" t="str">
        <x:v>RAW-00586</x:v>
      </x:c>
      <x:c r="B592" s="16" t="str">
        <x:v>Observation</x:v>
      </x:c>
      <x:c r="C592" s="16" t="str">
        <x:v>– Carport wall cladding in good condition. Discolouration of paint in some areas. Minor corrosion around outlet pipe.</x:v>
      </x:c>
      <x:c r="D592" s="16" t="str">
        <x:v>Cladding and framing</x:v>
      </x:c>
      <x:c r="E592" s="16" t="str">
        <x:v>SRC-028</x:v>
      </x:c>
      <x:c r="F592" s="16" t="str">
        <x:v>OBS-0039</x:v>
      </x:c>
      <x:c r="G592" s="16" t="str">
        <x:v>正式报告</x:v>
      </x:c>
      <x:c r="H592" s="19" t="n">
        <x:v>7</x:v>
      </x:c>
      <x:c r="I592" s="19" t="n">
        <x:v>7</x:v>
      </x:c>
      <x:c r="J592" s="19" t="n">
        <x:v>3</x:v>
      </x:c>
      <x:c r="K592" s="16" t="str">
        <x:v>2. New with slight deterioration</x:v>
      </x:c>
      <x:c r="L592" s="16" t="str">
        <x:v>Unlikely</x:v>
      </x:c>
      <x:c r="M592" s="16" t="str">
        <x:v>Negligible</x:v>
      </x:c>
      <x:c r="N592" s="16" t="str">
        <x:v>Low</x:v>
      </x:c>
    </x:row>
    <x:row r="593" ht="37" customHeight="1">
      <x:c r="A593" s="16" t="str">
        <x:v>RAW-00587</x:v>
      </x:c>
      <x:c r="B593" s="16" t="str">
        <x:v>Recommendation</x:v>
      </x:c>
      <x:c r="C593" s="16" t="str">
        <x:v>– Clean and repaint areas where discolouration has occurred.</x:v>
      </x:c>
      <x:c r="D593" s="16" t="str">
        <x:v>Cladding and framing</x:v>
      </x:c>
      <x:c r="E593" s="16" t="str">
        <x:v>SRC-028</x:v>
      </x:c>
      <x:c r="F593" s="16" t="str">
        <x:v>REC-0053</x:v>
      </x:c>
      <x:c r="G593" s="16" t="str">
        <x:v>正式报告</x:v>
      </x:c>
      <x:c r="H593" s="19" t="n">
        <x:v>7</x:v>
      </x:c>
      <x:c r="I593" s="19" t="n">
        <x:v>7</x:v>
      </x:c>
      <x:c r="J593" s="19" t="n">
        <x:v>3</x:v>
      </x:c>
      <x:c r="K593" s="16" t="str">
        <x:v>2. New with slight deterioration</x:v>
      </x:c>
      <x:c r="L593" s="16" t="str">
        <x:v>Unlikely</x:v>
      </x:c>
      <x:c r="M593" s="16" t="str">
        <x:v>Negligible</x:v>
      </x:c>
      <x:c r="N593" s="16" t="str">
        <x:v>Low</x:v>
      </x:c>
    </x:row>
    <x:row r="594" ht="37" customHeight="1">
      <x:c r="A594" s="16" t="str">
        <x:v>RAW-00588</x:v>
      </x:c>
      <x:c r="B594" s="16" t="str">
        <x:v>Observation</x:v>
      </x:c>
      <x:c r="C594" s="16" t="str">
        <x:v>– Overview of Verandah columns. With Row 1 Column 1 nearest to the camera is nominated as C1.</x:v>
      </x:c>
      <x:c r="D594" s="16" t="str">
        <x:v>Verandah columns</x:v>
      </x:c>
      <x:c r="E594" s="16" t="str">
        <x:v>SRC-029</x:v>
      </x:c>
      <x:c r="F594" s="16" t="str">
        <x:v>OBS-0422</x:v>
      </x:c>
      <x:c r="G594" s="16" t="str">
        <x:v>正式报告</x:v>
      </x:c>
      <x:c r="H594" s="19" t="n">
        <x:v>3</x:v>
      </x:c>
      <x:c r="I594" s="19" t="n">
        <x:v>7</x:v>
      </x:c>
      <x:c r="J594" s="19" t="n">
        <x:v>1</x:v>
      </x:c>
      <x:c r="K594" s="16" t="str">
        <x:v>7. Very severe deterioration</x:v>
      </x:c>
      <x:c r="L594" s="16" t="str">
        <x:v>Very likely</x:v>
      </x:c>
      <x:c r="M594" s="16" t="str">
        <x:v>Severe</x:v>
      </x:c>
      <x:c r="N594" s="16" t="str">
        <x:v>Urgent</x:v>
      </x:c>
    </x:row>
    <x:row r="595" ht="37" customHeight="1">
      <x:c r="A595" s="16" t="str">
        <x:v>RAW-00589</x:v>
      </x:c>
      <x:c r="B595" s="16" t="str">
        <x:v>Observation</x:v>
      </x:c>
      <x:c r="C595" s="16" t="str">
        <x:v>– Column C1 had completely corroded through and is close to failure.</x:v>
      </x:c>
      <x:c r="D595" s="16" t="str">
        <x:v>Verandah columns</x:v>
      </x:c>
      <x:c r="E595" s="16" t="str">
        <x:v>SRC-029</x:v>
      </x:c>
      <x:c r="F595" s="16" t="str">
        <x:v>OBS-0207</x:v>
      </x:c>
      <x:c r="G595" s="16" t="str">
        <x:v>正式报告</x:v>
      </x:c>
      <x:c r="H595" s="19" t="n">
        <x:v>3</x:v>
      </x:c>
      <x:c r="I595" s="19" t="n">
        <x:v>8</x:v>
      </x:c>
      <x:c r="J595" s="19" t="n">
        <x:v>1</x:v>
      </x:c>
      <x:c r="K595" s="16" t="str">
        <x:v>7. Very severe deterioration</x:v>
      </x:c>
      <x:c r="L595" s="16" t="str">
        <x:v>Very likely</x:v>
      </x:c>
      <x:c r="M595" s="16" t="str">
        <x:v>Severe</x:v>
      </x:c>
      <x:c r="N595" s="16" t="str">
        <x:v>Urgent</x:v>
      </x:c>
    </x:row>
    <x:row r="596" ht="37" customHeight="1">
      <x:c r="A596" s="16" t="str">
        <x:v>RAW-00590</x:v>
      </x:c>
      <x:c r="B596" s="16" t="str">
        <x:v>Recommendation</x:v>
      </x:c>
      <x:c r="C596" s="16" t="str">
        <x:v>– Replace the column to match existing.</x:v>
      </x:c>
      <x:c r="D596" s="16" t="str">
        <x:v>Verandah columns</x:v>
      </x:c>
      <x:c r="E596" s="16" t="str">
        <x:v>SRC-029</x:v>
      </x:c>
      <x:c r="F596" s="16" t="str">
        <x:v>REC-0017</x:v>
      </x:c>
      <x:c r="G596" s="16" t="str">
        <x:v>正式报告</x:v>
      </x:c>
      <x:c r="H596" s="19" t="n">
        <x:v>3</x:v>
      </x:c>
      <x:c r="I596" s="19" t="n">
        <x:v>8</x:v>
      </x:c>
      <x:c r="J596" s="19" t="n">
        <x:v>1</x:v>
      </x:c>
      <x:c r="K596" s="16" t="str">
        <x:v>7. Very severe deterioration</x:v>
      </x:c>
      <x:c r="L596" s="16" t="str">
        <x:v>Very likely</x:v>
      </x:c>
      <x:c r="M596" s="16" t="str">
        <x:v>Severe</x:v>
      </x:c>
      <x:c r="N596" s="16" t="str">
        <x:v>Urgent</x:v>
      </x:c>
    </x:row>
    <x:row r="597" ht="37" customHeight="1">
      <x:c r="A597" s="16" t="str">
        <x:v>RAW-00591</x:v>
      </x:c>
      <x:c r="B597" s="16" t="str">
        <x:v>Observation</x:v>
      </x:c>
      <x:c r="C597" s="16" t="str">
        <x:v>– Columns C2.1, C2.2 and C2.3 had been rusted through at the base and is close to failure.</x:v>
      </x:c>
      <x:c r="D597" s="16" t="str">
        <x:v>Verandah columns</x:v>
      </x:c>
      <x:c r="E597" s="16" t="str">
        <x:v>SRC-029</x:v>
      </x:c>
      <x:c r="F597" s="16" t="str">
        <x:v>OBS-0215</x:v>
      </x:c>
      <x:c r="G597" s="16" t="str">
        <x:v>正式报告</x:v>
      </x:c>
      <x:c r="H597" s="19" t="n">
        <x:v>3</x:v>
      </x:c>
      <x:c r="I597" s="19" t="n">
        <x:v>9</x:v>
      </x:c>
      <x:c r="J597" s="19" t="n">
        <x:v>1</x:v>
      </x:c>
      <x:c r="K597" s="16" t="str">
        <x:v>7. Very severe deterioration</x:v>
      </x:c>
      <x:c r="L597" s="16" t="str">
        <x:v>Very likely</x:v>
      </x:c>
      <x:c r="M597" s="16" t="str">
        <x:v>Severe</x:v>
      </x:c>
      <x:c r="N597" s="16" t="str">
        <x:v>Urgent</x:v>
      </x:c>
    </x:row>
    <x:row r="598" ht="37" customHeight="1">
      <x:c r="A598" s="16" t="str">
        <x:v>RAW-00592</x:v>
      </x:c>
      <x:c r="B598" s="16" t="str">
        <x:v>Recommendation</x:v>
      </x:c>
      <x:c r="C598" s="16" t="str">
        <x:v>– Replace the columns to match existing.</x:v>
      </x:c>
      <x:c r="D598" s="16" t="str">
        <x:v>Verandah columns</x:v>
      </x:c>
      <x:c r="E598" s="16" t="str">
        <x:v>SRC-029</x:v>
      </x:c>
      <x:c r="F598" s="16" t="str">
        <x:v>REC-0043</x:v>
      </x:c>
      <x:c r="G598" s="16" t="str">
        <x:v>正式报告</x:v>
      </x:c>
      <x:c r="H598" s="19" t="n">
        <x:v>3</x:v>
      </x:c>
      <x:c r="I598" s="19" t="n">
        <x:v>9</x:v>
      </x:c>
      <x:c r="J598" s="19" t="n">
        <x:v>1</x:v>
      </x:c>
      <x:c r="K598" s="16" t="str">
        <x:v>7. Very severe deterioration</x:v>
      </x:c>
      <x:c r="L598" s="16" t="str">
        <x:v>Very likely</x:v>
      </x:c>
      <x:c r="M598" s="16" t="str">
        <x:v>Severe</x:v>
      </x:c>
      <x:c r="N598" s="16" t="str">
        <x:v>Urgent</x:v>
      </x:c>
    </x:row>
    <x:row r="599" ht="37" customHeight="1">
      <x:c r="A599" s="16" t="str">
        <x:v>RAW-00593</x:v>
      </x:c>
      <x:c r="B599" s="16" t="str">
        <x:v>Observation</x:v>
      </x:c>
      <x:c r="C599" s="16" t="str">
        <x:v>– Column C4.1 has been rusted with holes at the lower portion of the column and is close to failure</x:v>
      </x:c>
      <x:c r="D599" s="16" t="str">
        <x:v>Verandah columns</x:v>
      </x:c>
      <x:c r="E599" s="16" t="str">
        <x:v>SRC-029</x:v>
      </x:c>
      <x:c r="F599" s="16" t="str">
        <x:v>OBS-0208</x:v>
      </x:c>
      <x:c r="G599" s="16" t="str">
        <x:v>正式报告</x:v>
      </x:c>
      <x:c r="H599" s="19" t="n">
        <x:v>3</x:v>
      </x:c>
      <x:c r="I599" s="19" t="n">
        <x:v>10</x:v>
      </x:c>
      <x:c r="J599" s="19" t="n">
        <x:v>1</x:v>
      </x:c>
      <x:c r="K599" s="16" t="str">
        <x:v>7. Very severe deterioration</x:v>
      </x:c>
      <x:c r="L599" s="16" t="str">
        <x:v>Very likely</x:v>
      </x:c>
      <x:c r="M599" s="16" t="str">
        <x:v>Severe</x:v>
      </x:c>
      <x:c r="N599" s="16" t="str">
        <x:v>Urgent</x:v>
      </x:c>
    </x:row>
    <x:row r="600" ht="37" customHeight="1">
      <x:c r="A600" s="16" t="str">
        <x:v>RAW-00594</x:v>
      </x:c>
      <x:c r="B600" s="16" t="str">
        <x:v>Recommendation</x:v>
      </x:c>
      <x:c r="C600" s="16" t="str">
        <x:v>– Replace the columns to match existing.</x:v>
      </x:c>
      <x:c r="D600" s="16" t="str">
        <x:v>Verandah columns</x:v>
      </x:c>
      <x:c r="E600" s="16" t="str">
        <x:v>SRC-029</x:v>
      </x:c>
      <x:c r="F600" s="16" t="str">
        <x:v>REC-0043</x:v>
      </x:c>
      <x:c r="G600" s="16" t="str">
        <x:v>正式报告</x:v>
      </x:c>
      <x:c r="H600" s="19" t="n">
        <x:v>3</x:v>
      </x:c>
      <x:c r="I600" s="19" t="n">
        <x:v>10</x:v>
      </x:c>
      <x:c r="J600" s="19" t="n">
        <x:v>1</x:v>
      </x:c>
      <x:c r="K600" s="16" t="str">
        <x:v>7. Very severe deterioration</x:v>
      </x:c>
      <x:c r="L600" s="16" t="str">
        <x:v>Very likely</x:v>
      </x:c>
      <x:c r="M600" s="16" t="str">
        <x:v>Severe</x:v>
      </x:c>
      <x:c r="N600" s="16" t="str">
        <x:v>Urgent</x:v>
      </x:c>
    </x:row>
    <x:row r="601" ht="41" customHeight="1">
      <x:c r="A601" s="16" t="str">
        <x:v>RAW-00595</x:v>
      </x:c>
      <x:c r="B601" s="16" t="str">
        <x:v>Observation</x:v>
      </x:c>
      <x:c r="C601" s="16" t="str">
        <x:v>– Colum C5.1. Column has been rusted with holes at the base and is close to failure
C5.2 appears to be rusted at the base as well.</x:v>
      </x:c>
      <x:c r="D601" s="16" t="str">
        <x:v>Verandah columns</x:v>
      </x:c>
      <x:c r="E601" s="16" t="str">
        <x:v>SRC-029</x:v>
      </x:c>
      <x:c r="F601" s="16" t="str">
        <x:v>OBS-0187</x:v>
      </x:c>
      <x:c r="G601" s="16" t="str">
        <x:v>正式报告</x:v>
      </x:c>
      <x:c r="H601" s="19" t="n">
        <x:v>3</x:v>
      </x:c>
      <x:c r="I601" s="19" t="n">
        <x:v>11</x:v>
      </x:c>
      <x:c r="J601" s="19" t="n">
        <x:v>2</x:v>
      </x:c>
      <x:c r="K601" s="16" t="str">
        <x:v>7. Very severe deterioration</x:v>
      </x:c>
      <x:c r="L601" s="16" t="str">
        <x:v>Very likely</x:v>
      </x:c>
      <x:c r="M601" s="16" t="str">
        <x:v>Severe</x:v>
      </x:c>
      <x:c r="N601" s="16" t="str">
        <x:v>Urgent</x:v>
      </x:c>
    </x:row>
    <x:row r="602" ht="37" customHeight="1">
      <x:c r="A602" s="16" t="str">
        <x:v>RAW-00596</x:v>
      </x:c>
      <x:c r="B602" s="16" t="str">
        <x:v>Recommendation</x:v>
      </x:c>
      <x:c r="C602" s="16" t="str">
        <x:v>– Replace columns to match existing.</x:v>
      </x:c>
      <x:c r="D602" s="16" t="str">
        <x:v>Verandah columns</x:v>
      </x:c>
      <x:c r="E602" s="16" t="str">
        <x:v>SRC-029</x:v>
      </x:c>
      <x:c r="F602" s="16" t="str">
        <x:v>REC-0145</x:v>
      </x:c>
      <x:c r="G602" s="16" t="str">
        <x:v>正式报告</x:v>
      </x:c>
      <x:c r="H602" s="19" t="n">
        <x:v>3</x:v>
      </x:c>
      <x:c r="I602" s="19" t="n">
        <x:v>11</x:v>
      </x:c>
      <x:c r="J602" s="19" t="n">
        <x:v>2</x:v>
      </x:c>
      <x:c r="K602" s="16" t="str">
        <x:v>7. Very severe deterioration</x:v>
      </x:c>
      <x:c r="L602" s="16" t="str">
        <x:v>Very likely</x:v>
      </x:c>
      <x:c r="M602" s="16" t="str">
        <x:v>Severe</x:v>
      </x:c>
      <x:c r="N602" s="16" t="str">
        <x:v>Urgent</x:v>
      </x:c>
    </x:row>
    <x:row r="603" ht="37" customHeight="1">
      <x:c r="A603" s="16" t="str">
        <x:v>RAW-00597</x:v>
      </x:c>
      <x:c r="B603" s="16" t="str">
        <x:v>Observation</x:v>
      </x:c>
      <x:c r="C603" s="16" t="str">
        <x:v>–Column C6.1 has been rusted with holes through at the base and is close to failure</x:v>
      </x:c>
      <x:c r="D603" s="16" t="str">
        <x:v>Verandah columns</x:v>
      </x:c>
      <x:c r="E603" s="16" t="str">
        <x:v>SRC-029</x:v>
      </x:c>
      <x:c r="F603" s="16" t="str">
        <x:v>OBS-0210</x:v>
      </x:c>
      <x:c r="G603" s="16" t="str">
        <x:v>正式报告</x:v>
      </x:c>
      <x:c r="H603" s="19" t="n">
        <x:v>3</x:v>
      </x:c>
      <x:c r="I603" s="19" t="n">
        <x:v>12</x:v>
      </x:c>
      <x:c r="J603" s="19" t="n">
        <x:v>1</x:v>
      </x:c>
      <x:c r="K603" s="16" t="str">
        <x:v>7. Very severe deterioration</x:v>
      </x:c>
      <x:c r="L603" s="16" t="str">
        <x:v>Very likely</x:v>
      </x:c>
      <x:c r="M603" s="16" t="str">
        <x:v>Severe</x:v>
      </x:c>
      <x:c r="N603" s="16" t="str">
        <x:v>Urgent</x:v>
      </x:c>
    </x:row>
    <x:row r="604" ht="37" customHeight="1">
      <x:c r="A604" s="16" t="str">
        <x:v>RAW-00598</x:v>
      </x:c>
      <x:c r="B604" s="16" t="str">
        <x:v>Recommendation</x:v>
      </x:c>
      <x:c r="C604" s="16" t="str">
        <x:v>– Replace the column to match existing.</x:v>
      </x:c>
      <x:c r="D604" s="16" t="str">
        <x:v>Verandah columns</x:v>
      </x:c>
      <x:c r="E604" s="16" t="str">
        <x:v>SRC-029</x:v>
      </x:c>
      <x:c r="F604" s="16" t="str">
        <x:v>REC-0017</x:v>
      </x:c>
      <x:c r="G604" s="16" t="str">
        <x:v>正式报告</x:v>
      </x:c>
      <x:c r="H604" s="19" t="n">
        <x:v>3</x:v>
      </x:c>
      <x:c r="I604" s="19" t="n">
        <x:v>12</x:v>
      </x:c>
      <x:c r="J604" s="19" t="n">
        <x:v>1</x:v>
      </x:c>
      <x:c r="K604" s="16" t="str">
        <x:v>7. Very severe deterioration</x:v>
      </x:c>
      <x:c r="L604" s="16" t="str">
        <x:v>Very likely</x:v>
      </x:c>
      <x:c r="M604" s="16" t="str">
        <x:v>Severe</x:v>
      </x:c>
      <x:c r="N604" s="16" t="str">
        <x:v>Urgent</x:v>
      </x:c>
    </x:row>
    <x:row r="605" ht="37" customHeight="1">
      <x:c r="A605" s="16" t="str">
        <x:v>RAW-00599</x:v>
      </x:c>
      <x:c r="B605" s="16" t="str">
        <x:v>Observation</x:v>
      </x:c>
      <x:c r="C605" s="16" t="str">
        <x:v>– Column C7.1 1 has severe corrosion at the base and is close to failure</x:v>
      </x:c>
      <x:c r="D605" s="16" t="str">
        <x:v>Verandah columns</x:v>
      </x:c>
      <x:c r="E605" s="16" t="str">
        <x:v>SRC-029</x:v>
      </x:c>
      <x:c r="F605" s="16" t="str">
        <x:v>OBS-0212</x:v>
      </x:c>
      <x:c r="G605" s="16" t="str">
        <x:v>正式报告</x:v>
      </x:c>
      <x:c r="H605" s="19" t="n">
        <x:v>3</x:v>
      </x:c>
      <x:c r="I605" s="19" t="n">
        <x:v>13</x:v>
      </x:c>
      <x:c r="J605" s="19" t="n">
        <x:v>1</x:v>
      </x:c>
      <x:c r="K605" s="16" t="str">
        <x:v>7. Very severe deterioration</x:v>
      </x:c>
      <x:c r="L605" s="16" t="str">
        <x:v>Very likely</x:v>
      </x:c>
      <x:c r="M605" s="16" t="str">
        <x:v>Severe</x:v>
      </x:c>
      <x:c r="N605" s="16" t="str">
        <x:v>Urgent</x:v>
      </x:c>
    </x:row>
    <x:row r="606" ht="37" customHeight="1">
      <x:c r="A606" s="16" t="str">
        <x:v>RAW-00600</x:v>
      </x:c>
      <x:c r="B606" s="16" t="str">
        <x:v>Recommendation</x:v>
      </x:c>
      <x:c r="C606" s="16" t="str">
        <x:v>– Replace the column to match existing.</x:v>
      </x:c>
      <x:c r="D606" s="16" t="str">
        <x:v>Verandah columns</x:v>
      </x:c>
      <x:c r="E606" s="16" t="str">
        <x:v>SRC-029</x:v>
      </x:c>
      <x:c r="F606" s="16" t="str">
        <x:v>REC-0017</x:v>
      </x:c>
      <x:c r="G606" s="16" t="str">
        <x:v>正式报告</x:v>
      </x:c>
      <x:c r="H606" s="19" t="n">
        <x:v>3</x:v>
      </x:c>
      <x:c r="I606" s="19" t="n">
        <x:v>13</x:v>
      </x:c>
      <x:c r="J606" s="19" t="n">
        <x:v>1</x:v>
      </x:c>
      <x:c r="K606" s="16" t="str">
        <x:v>7. Very severe deterioration</x:v>
      </x:c>
      <x:c r="L606" s="16" t="str">
        <x:v>Very likely</x:v>
      </x:c>
      <x:c r="M606" s="16" t="str">
        <x:v>Severe</x:v>
      </x:c>
      <x:c r="N606" s="16" t="str">
        <x:v>Urgent</x:v>
      </x:c>
    </x:row>
    <x:row r="607" ht="41" customHeight="1">
      <x:c r="A607" s="16" t="str">
        <x:v>RAW-00601</x:v>
      </x:c>
      <x:c r="B607" s="16" t="str">
        <x:v>Observation</x:v>
      </x:c>
      <x:c r="C607" s="16" t="str">
        <x:v>– Column C8.1 is within 57B Lukis Street front yard and has severe corrosion at the base and is close to failure</x:v>
      </x:c>
      <x:c r="D607" s="16" t="str">
        <x:v>Verandah columns</x:v>
      </x:c>
      <x:c r="E607" s="16" t="str">
        <x:v>SRC-029</x:v>
      </x:c>
      <x:c r="F607" s="16" t="str">
        <x:v>OBS-0213</x:v>
      </x:c>
      <x:c r="G607" s="16" t="str">
        <x:v>正式报告</x:v>
      </x:c>
      <x:c r="H607" s="19" t="n">
        <x:v>3</x:v>
      </x:c>
      <x:c r="I607" s="19" t="n">
        <x:v>14</x:v>
      </x:c>
      <x:c r="J607" s="19" t="n">
        <x:v>2</x:v>
      </x:c>
      <x:c r="K607" s="16" t="str">
        <x:v>7. Very severe deterioration</x:v>
      </x:c>
      <x:c r="L607" s="16" t="str">
        <x:v>Very likely</x:v>
      </x:c>
      <x:c r="M607" s="16" t="str">
        <x:v>Severe</x:v>
      </x:c>
      <x:c r="N607" s="16" t="str">
        <x:v>Urgent</x:v>
      </x:c>
    </x:row>
    <x:row r="608" ht="37" customHeight="1">
      <x:c r="A608" s="16" t="str">
        <x:v>RAW-00602</x:v>
      </x:c>
      <x:c r="B608" s="16" t="str">
        <x:v>Recommendation</x:v>
      </x:c>
      <x:c r="C608" s="16" t="str">
        <x:v>– Replace the column to match existing.</x:v>
      </x:c>
      <x:c r="D608" s="16" t="str">
        <x:v>Verandah columns</x:v>
      </x:c>
      <x:c r="E608" s="16" t="str">
        <x:v>SRC-029</x:v>
      </x:c>
      <x:c r="F608" s="16" t="str">
        <x:v>REC-0017</x:v>
      </x:c>
      <x:c r="G608" s="16" t="str">
        <x:v>正式报告</x:v>
      </x:c>
      <x:c r="H608" s="19" t="n">
        <x:v>3</x:v>
      </x:c>
      <x:c r="I608" s="19" t="n">
        <x:v>14</x:v>
      </x:c>
      <x:c r="J608" s="19" t="n">
        <x:v>2</x:v>
      </x:c>
      <x:c r="K608" s="16" t="str">
        <x:v>7. Very severe deterioration</x:v>
      </x:c>
      <x:c r="L608" s="16" t="str">
        <x:v>Very likely</x:v>
      </x:c>
      <x:c r="M608" s="16" t="str">
        <x:v>Severe</x:v>
      </x:c>
      <x:c r="N608" s="16" t="str">
        <x:v>Urgent</x:v>
      </x:c>
    </x:row>
    <x:row r="609" ht="41" customHeight="1">
      <x:c r="A609" s="16" t="str">
        <x:v>RAW-00603</x:v>
      </x:c>
      <x:c r="B609" s="16" t="str">
        <x:v>Observation</x:v>
      </x:c>
      <x:c r="C609" s="16" t="str">
        <x:v>– The straps wrapped around the beams have severe corrosion and the roof strap bracing appears to be rusted</x:v>
      </x:c>
      <x:c r="D609" s="16" t="str">
        <x:v>Carport strap bracing</x:v>
      </x:c>
      <x:c r="E609" s="16" t="str">
        <x:v>SRC-029</x:v>
      </x:c>
      <x:c r="F609" s="16" t="str">
        <x:v>OBS-0592</x:v>
      </x:c>
      <x:c r="G609" s="16" t="str">
        <x:v>正式报告</x:v>
      </x:c>
      <x:c r="H609" s="19" t="n">
        <x:v>4</x:v>
      </x:c>
      <x:c r="I609" s="19" t="n">
        <x:v>6</x:v>
      </x:c>
      <x:c r="J609" s="19" t="n">
        <x:v>2</x:v>
      </x:c>
      <x:c r="K609" s="16" t="str">
        <x:v>7. Very severe deterioration</x:v>
      </x:c>
      <x:c r="L609" s="16" t="str">
        <x:v>Very likely</x:v>
      </x:c>
      <x:c r="M609" s="16" t="str">
        <x:v>Severe</x:v>
      </x:c>
      <x:c r="N609" s="16" t="str">
        <x:v>Urgent</x:v>
      </x:c>
    </x:row>
    <x:row r="610" ht="37" customHeight="1">
      <x:c r="A610" s="16" t="str">
        <x:v>RAW-00604</x:v>
      </x:c>
      <x:c r="B610" s="16" t="str">
        <x:v>Recommendation</x:v>
      </x:c>
      <x:c r="C610" s="16" t="str">
        <x:v>– Replace all strap bracing.</x:v>
      </x:c>
      <x:c r="D610" s="16" t="str">
        <x:v>Carport strap bracing</x:v>
      </x:c>
      <x:c r="E610" s="16" t="str">
        <x:v>SRC-029</x:v>
      </x:c>
      <x:c r="F610" s="16" t="str">
        <x:v>REC-0141</x:v>
      </x:c>
      <x:c r="G610" s="16" t="str">
        <x:v>正式报告</x:v>
      </x:c>
      <x:c r="H610" s="19" t="n">
        <x:v>4</x:v>
      </x:c>
      <x:c r="I610" s="19" t="n">
        <x:v>6</x:v>
      </x:c>
      <x:c r="J610" s="19" t="n">
        <x:v>2</x:v>
      </x:c>
      <x:c r="K610" s="16" t="str">
        <x:v>7. Very severe deterioration</x:v>
      </x:c>
      <x:c r="L610" s="16" t="str">
        <x:v>Very likely</x:v>
      </x:c>
      <x:c r="M610" s="16" t="str">
        <x:v>Severe</x:v>
      </x:c>
      <x:c r="N610" s="16" t="str">
        <x:v>Urgent</x:v>
      </x:c>
    </x:row>
    <x:row r="611" ht="37" customHeight="1">
      <x:c r="A611" s="16" t="str">
        <x:v>RAW-00605</x:v>
      </x:c>
      <x:c r="B611" s="16" t="str">
        <x:v>Observation</x:v>
      </x:c>
      <x:c r="C611" s="16" t="str">
        <x:v>– Overview of fencing along carport.</x:v>
      </x:c>
      <x:c r="D611" s="16" t="str">
        <x:v>Fencing posts</x:v>
      </x:c>
      <x:c r="E611" s="16" t="str">
        <x:v>SRC-029</x:v>
      </x:c>
      <x:c r="F611" s="16" t="str">
        <x:v>OBS-0427</x:v>
      </x:c>
      <x:c r="G611" s="16" t="str">
        <x:v>正式报告</x:v>
      </x:c>
      <x:c r="H611" s="19" t="n">
        <x:v>5</x:v>
      </x:c>
      <x:c r="I611" s="19" t="n">
        <x:v>6</x:v>
      </x:c>
      <x:c r="J611" s="19" t="n">
        <x:v>1</x:v>
      </x:c>
      <x:c r="K611" s="16" t="str">
        <x:v>7. Very severe deterioration</x:v>
      </x:c>
      <x:c r="L611" s="16" t="str">
        <x:v>Very likely</x:v>
      </x:c>
      <x:c r="M611" s="16" t="str">
        <x:v>Moderate</x:v>
      </x:c>
      <x:c r="N611" s="16" t="str">
        <x:v>Critical</x:v>
      </x:c>
    </x:row>
    <x:row r="612" ht="41" customHeight="1">
      <x:c r="A612" s="16" t="str">
        <x:v>RAW-00606</x:v>
      </x:c>
      <x:c r="B612" s="16" t="str">
        <x:v>Observation</x:v>
      </x:c>
      <x:c r="C612" s="16" t="str">
        <x:v>– Fencing along carport. Post has a hole in the lower portion of post. Baseplate has severe corrosion delamination.</x:v>
      </x:c>
      <x:c r="D612" s="16" t="str">
        <x:v>Fencing posts</x:v>
      </x:c>
      <x:c r="E612" s="16" t="str">
        <x:v>SRC-029</x:v>
      </x:c>
      <x:c r="F612" s="16" t="str">
        <x:v>OBS-0260</x:v>
      </x:c>
      <x:c r="G612" s="16" t="str">
        <x:v>正式报告</x:v>
      </x:c>
      <x:c r="H612" s="19" t="n">
        <x:v>5</x:v>
      </x:c>
      <x:c r="I612" s="19" t="n">
        <x:v>7</x:v>
      </x:c>
      <x:c r="J612" s="19" t="n">
        <x:v>1</x:v>
      </x:c>
      <x:c r="K612" s="16" t="str">
        <x:v>7. Very severe deterioration</x:v>
      </x:c>
      <x:c r="L612" s="16" t="str">
        <x:v>Very likely</x:v>
      </x:c>
      <x:c r="M612" s="16" t="str">
        <x:v>Moderate</x:v>
      </x:c>
      <x:c r="N612" s="16" t="str">
        <x:v>Critical</x:v>
      </x:c>
    </x:row>
    <x:row r="613" ht="37" customHeight="1">
      <x:c r="A613" s="16" t="str">
        <x:v>RAW-00607</x:v>
      </x:c>
      <x:c r="B613" s="16" t="str">
        <x:v>Recommendation</x:v>
      </x:c>
      <x:c r="C613" s="16" t="str">
        <x:v>– Replace the post to match existing.</x:v>
      </x:c>
      <x:c r="D613" s="16" t="str">
        <x:v>Fencing posts</x:v>
      </x:c>
      <x:c r="E613" s="16" t="str">
        <x:v>SRC-029</x:v>
      </x:c>
      <x:c r="F613" s="16" t="str">
        <x:v>REC-0021</x:v>
      </x:c>
      <x:c r="G613" s="16" t="str">
        <x:v>正式报告</x:v>
      </x:c>
      <x:c r="H613" s="19" t="n">
        <x:v>5</x:v>
      </x:c>
      <x:c r="I613" s="19" t="n">
        <x:v>7</x:v>
      </x:c>
      <x:c r="J613" s="19" t="n">
        <x:v>1</x:v>
      </x:c>
      <x:c r="K613" s="16" t="str">
        <x:v>7. Very severe deterioration</x:v>
      </x:c>
      <x:c r="L613" s="16" t="str">
        <x:v>Very likely</x:v>
      </x:c>
      <x:c r="M613" s="16" t="str">
        <x:v>Moderate</x:v>
      </x:c>
      <x:c r="N613" s="16" t="str">
        <x:v>Critical</x:v>
      </x:c>
    </x:row>
    <x:row r="614" ht="37" customHeight="1">
      <x:c r="A614" s="16" t="str">
        <x:v>RAW-00608</x:v>
      </x:c>
      <x:c r="B614" s="16" t="str">
        <x:v>Observation</x:v>
      </x:c>
      <x:c r="C614" s="16" t="str">
        <x:v>– Fencing along carport. Post base has hole at the base.</x:v>
      </x:c>
      <x:c r="D614" s="16" t="str">
        <x:v>Fencing posts</x:v>
      </x:c>
      <x:c r="E614" s="16" t="str">
        <x:v>SRC-029</x:v>
      </x:c>
      <x:c r="F614" s="16" t="str">
        <x:v>OBS-0259</x:v>
      </x:c>
      <x:c r="G614" s="16" t="str">
        <x:v>正式报告</x:v>
      </x:c>
      <x:c r="H614" s="19" t="n">
        <x:v>5</x:v>
      </x:c>
      <x:c r="I614" s="19" t="n">
        <x:v>8</x:v>
      </x:c>
      <x:c r="J614" s="19" t="n">
        <x:v>1</x:v>
      </x:c>
      <x:c r="K614" s="16" t="str">
        <x:v>7. Very severe deterioration</x:v>
      </x:c>
      <x:c r="L614" s="16" t="str">
        <x:v>Very likely</x:v>
      </x:c>
      <x:c r="M614" s="16" t="str">
        <x:v>Moderate</x:v>
      </x:c>
      <x:c r="N614" s="16" t="str">
        <x:v>Critical</x:v>
      </x:c>
    </x:row>
    <x:row r="615" ht="37" customHeight="1">
      <x:c r="A615" s="16" t="str">
        <x:v>RAW-00609</x:v>
      </x:c>
      <x:c r="B615" s="16" t="str">
        <x:v>Recommendation</x:v>
      </x:c>
      <x:c r="C615" s="16" t="str">
        <x:v>– Replace the post to match existing.</x:v>
      </x:c>
      <x:c r="D615" s="16" t="str">
        <x:v>Fencing posts</x:v>
      </x:c>
      <x:c r="E615" s="16" t="str">
        <x:v>SRC-029</x:v>
      </x:c>
      <x:c r="F615" s="16" t="str">
        <x:v>REC-0021</x:v>
      </x:c>
      <x:c r="G615" s="16" t="str">
        <x:v>正式报告</x:v>
      </x:c>
      <x:c r="H615" s="19" t="n">
        <x:v>5</x:v>
      </x:c>
      <x:c r="I615" s="19" t="n">
        <x:v>8</x:v>
      </x:c>
      <x:c r="J615" s="19" t="n">
        <x:v>1</x:v>
      </x:c>
      <x:c r="K615" s="16" t="str">
        <x:v>7. Very severe deterioration</x:v>
      </x:c>
      <x:c r="L615" s="16" t="str">
        <x:v>Very likely</x:v>
      </x:c>
      <x:c r="M615" s="16" t="str">
        <x:v>Moderate</x:v>
      </x:c>
      <x:c r="N615" s="16" t="str">
        <x:v>Critical</x:v>
      </x:c>
    </x:row>
    <x:row r="616" ht="37" customHeight="1">
      <x:c r="A616" s="16" t="str">
        <x:v>RAW-00610</x:v>
      </x:c>
      <x:c r="B616" s="16" t="str">
        <x:v>Observation</x:v>
      </x:c>
      <x:c r="C616" s="16" t="str">
        <x:v>– Fencing along carport. Significant corrosion at lower portion of post.</x:v>
      </x:c>
      <x:c r="D616" s="16" t="str">
        <x:v>Fencing posts</x:v>
      </x:c>
      <x:c r="E616" s="16" t="str">
        <x:v>SRC-029</x:v>
      </x:c>
      <x:c r="F616" s="16" t="str">
        <x:v>OBS-0262</x:v>
      </x:c>
      <x:c r="G616" s="16" t="str">
        <x:v>正式报告</x:v>
      </x:c>
      <x:c r="H616" s="19" t="n">
        <x:v>5</x:v>
      </x:c>
      <x:c r="I616" s="19" t="n">
        <x:v>9</x:v>
      </x:c>
      <x:c r="J616" s="19" t="n">
        <x:v>1</x:v>
      </x:c>
      <x:c r="K616" s="16" t="str">
        <x:v>7. Very severe deterioration</x:v>
      </x:c>
      <x:c r="L616" s="16" t="str">
        <x:v>Very likely</x:v>
      </x:c>
      <x:c r="M616" s="16" t="str">
        <x:v>Moderate</x:v>
      </x:c>
      <x:c r="N616" s="16" t="str">
        <x:v>Critical</x:v>
      </x:c>
    </x:row>
    <x:row r="617" ht="37" customHeight="1">
      <x:c r="A617" s="16" t="str">
        <x:v>RAW-00611</x:v>
      </x:c>
      <x:c r="B617" s="16" t="str">
        <x:v>Recommendation</x:v>
      </x:c>
      <x:c r="C617" s="16" t="str">
        <x:v>– Clean, wire brush and repaint.</x:v>
      </x:c>
      <x:c r="D617" s="16" t="str">
        <x:v>Fencing posts</x:v>
      </x:c>
      <x:c r="E617" s="16" t="str">
        <x:v>SRC-029</x:v>
      </x:c>
      <x:c r="F617" s="16" t="str">
        <x:v>REC-0001</x:v>
      </x:c>
      <x:c r="G617" s="16" t="str">
        <x:v>正式报告</x:v>
      </x:c>
      <x:c r="H617" s="19" t="n">
        <x:v>5</x:v>
      </x:c>
      <x:c r="I617" s="19" t="n">
        <x:v>9</x:v>
      </x:c>
      <x:c r="J617" s="19" t="n">
        <x:v>1</x:v>
      </x:c>
      <x:c r="K617" s="16" t="str">
        <x:v>7. Very severe deterioration</x:v>
      </x:c>
      <x:c r="L617" s="16" t="str">
        <x:v>Very likely</x:v>
      </x:c>
      <x:c r="M617" s="16" t="str">
        <x:v>Moderate</x:v>
      </x:c>
      <x:c r="N617" s="16" t="str">
        <x:v>Critical</x:v>
      </x:c>
    </x:row>
    <x:row r="618" ht="37" customHeight="1">
      <x:c r="A618" s="16" t="str">
        <x:v>RAW-00612</x:v>
      </x:c>
      <x:c r="B618" s="16" t="str">
        <x:v>Observation</x:v>
      </x:c>
      <x:c r="C618" s="16" t="str">
        <x:v>– Fencing along carport. Post has been rusted and a hole at the base.</x:v>
      </x:c>
      <x:c r="D618" s="16" t="str">
        <x:v>Fencing posts</x:v>
      </x:c>
      <x:c r="E618" s="16" t="str">
        <x:v>SRC-029</x:v>
      </x:c>
      <x:c r="F618" s="16" t="str">
        <x:v>OBS-0261</x:v>
      </x:c>
      <x:c r="G618" s="16" t="str">
        <x:v>正式报告</x:v>
      </x:c>
      <x:c r="H618" s="19" t="n">
        <x:v>5</x:v>
      </x:c>
      <x:c r="I618" s="19" t="n">
        <x:v>10</x:v>
      </x:c>
      <x:c r="J618" s="19" t="n">
        <x:v>2</x:v>
      </x:c>
      <x:c r="K618" s="16" t="str">
        <x:v>7. Very severe deterioration</x:v>
      </x:c>
      <x:c r="L618" s="16" t="str">
        <x:v>Very likely</x:v>
      </x:c>
      <x:c r="M618" s="16" t="str">
        <x:v>Moderate</x:v>
      </x:c>
      <x:c r="N618" s="16" t="str">
        <x:v>Critical</x:v>
      </x:c>
    </x:row>
    <x:row r="619" ht="37" customHeight="1">
      <x:c r="A619" s="16" t="str">
        <x:v>RAW-00613</x:v>
      </x:c>
      <x:c r="B619" s="16" t="str">
        <x:v>Recommendation</x:v>
      </x:c>
      <x:c r="C619" s="16" t="str">
        <x:v>– Replace the post to match existing.</x:v>
      </x:c>
      <x:c r="D619" s="16" t="str">
        <x:v>Fencing posts</x:v>
      </x:c>
      <x:c r="E619" s="16" t="str">
        <x:v>SRC-029</x:v>
      </x:c>
      <x:c r="F619" s="16" t="str">
        <x:v>REC-0021</x:v>
      </x:c>
      <x:c r="G619" s="16" t="str">
        <x:v>正式报告</x:v>
      </x:c>
      <x:c r="H619" s="19" t="n">
        <x:v>5</x:v>
      </x:c>
      <x:c r="I619" s="19" t="n">
        <x:v>10</x:v>
      </x:c>
      <x:c r="J619" s="19" t="n">
        <x:v>2</x:v>
      </x:c>
      <x:c r="K619" s="16" t="str">
        <x:v>7. Very severe deterioration</x:v>
      </x:c>
      <x:c r="L619" s="16" t="str">
        <x:v>Very likely</x:v>
      </x:c>
      <x:c r="M619" s="16" t="str">
        <x:v>Moderate</x:v>
      </x:c>
      <x:c r="N619" s="16" t="str">
        <x:v>Critical</x:v>
      </x:c>
    </x:row>
    <x:row r="620" ht="41" customHeight="1">
      <x:c r="A620" s="16" t="str">
        <x:v>RAW-00614</x:v>
      </x:c>
      <x:c r="B620" s="16" t="str">
        <x:v>Observation</x:v>
      </x:c>
      <x:c r="C620" s="16" t="str">
        <x:v>– East side corner in the front of house. Top hats and Tek screws have rusted.</x:v>
      </x:c>
      <x:c r="D620" s="16" t="str">
        <x:v>Top hat purlins and Tek screws</x:v>
      </x:c>
      <x:c r="E620" s="16" t="str">
        <x:v>SRC-029</x:v>
      </x:c>
      <x:c r="F620" s="16" t="str">
        <x:v>OBS-0255</x:v>
      </x:c>
      <x:c r="G620" s="16" t="str">
        <x:v>正式报告</x:v>
      </x:c>
      <x:c r="H620" s="19" t="n">
        <x:v>6</x:v>
      </x:c>
      <x:c r="I620" s="19" t="n">
        <x:v>6</x:v>
      </x:c>
      <x:c r="J620" s="19" t="n">
        <x:v>2</x:v>
      </x:c>
      <x:c r="K620" s="16" t="str">
        <x:v>7. Very severe deterioration</x:v>
      </x:c>
      <x:c r="L620" s="16" t="str">
        <x:v>Very likely</x:v>
      </x:c>
      <x:c r="M620" s="16" t="str">
        <x:v>Moderate. Recommended to be replaced prior to cyclonic season.</x:v>
      </x:c>
      <x:c r="N620" s="16" t="str">
        <x:v>Critical</x:v>
      </x:c>
    </x:row>
    <x:row r="621" ht="41" customHeight="1">
      <x:c r="A621" s="16" t="str">
        <x:v>RAW-00615</x:v>
      </x:c>
      <x:c r="B621" s="16" t="str">
        <x:v>Recommendation</x:v>
      </x:c>
      <x:c r="C621" s="16" t="str">
        <x:v>– Clean the rust and paint with cold galvanise coating where it is possible. Replace top hat purlins and screws that have been rusted through.</x:v>
      </x:c>
      <x:c r="D621" s="16" t="str">
        <x:v>Top hat purlins and Tek screws</x:v>
      </x:c>
      <x:c r="E621" s="16" t="str">
        <x:v>SRC-029</x:v>
      </x:c>
      <x:c r="F621" s="16" t="str">
        <x:v>REC-0061</x:v>
      </x:c>
      <x:c r="G621" s="16" t="str">
        <x:v>正式报告</x:v>
      </x:c>
      <x:c r="H621" s="19" t="n">
        <x:v>6</x:v>
      </x:c>
      <x:c r="I621" s="19" t="n">
        <x:v>6</x:v>
      </x:c>
      <x:c r="J621" s="19" t="n">
        <x:v>2</x:v>
      </x:c>
      <x:c r="K621" s="16" t="str">
        <x:v>7. Very severe deterioration</x:v>
      </x:c>
      <x:c r="L621" s="16" t="str">
        <x:v>Very likely</x:v>
      </x:c>
      <x:c r="M621" s="16" t="str">
        <x:v>Moderate. Recommended to be replaced prior to cyclonic season.</x:v>
      </x:c>
      <x:c r="N621" s="16" t="str">
        <x:v>Critical</x:v>
      </x:c>
    </x:row>
    <x:row r="622" ht="41" customHeight="1">
      <x:c r="A622" s="16" t="str">
        <x:v>RAW-00616</x:v>
      </x:c>
      <x:c r="B622" s="16" t="str">
        <x:v>Observation</x:v>
      </x:c>
      <x:c r="C622" s="16" t="str">
        <x:v>– Wall facing the Lukis Street. Minor corrosion of tap hats to the entire length.</x:v>
      </x:c>
      <x:c r="D622" s="16" t="str">
        <x:v>Top hat purlins and Tek screws</x:v>
      </x:c>
      <x:c r="E622" s="16" t="str">
        <x:v>SRC-029</x:v>
      </x:c>
      <x:c r="F622" s="16" t="str">
        <x:v>OBS-0603</x:v>
      </x:c>
      <x:c r="G622" s="16" t="str">
        <x:v>正式报告</x:v>
      </x:c>
      <x:c r="H622" s="19" t="n">
        <x:v>6</x:v>
      </x:c>
      <x:c r="I622" s="19" t="n">
        <x:v>8</x:v>
      </x:c>
      <x:c r="J622" s="19" t="n">
        <x:v>1</x:v>
      </x:c>
      <x:c r="K622" s="16" t="str">
        <x:v>7. Very severe deterioration</x:v>
      </x:c>
      <x:c r="L622" s="16" t="str">
        <x:v>Very likely</x:v>
      </x:c>
      <x:c r="M622" s="16" t="str">
        <x:v>Moderate. Recommended to be replaced prior to cyclonic season.</x:v>
      </x:c>
      <x:c r="N622" s="16" t="str">
        <x:v>Critical</x:v>
      </x:c>
    </x:row>
    <x:row r="623" ht="41" customHeight="1">
      <x:c r="A623" s="16" t="str">
        <x:v>RAW-00617</x:v>
      </x:c>
      <x:c r="B623" s="16" t="str">
        <x:v>Recommendation</x:v>
      </x:c>
      <x:c r="C623" s="16" t="str">
        <x:v>– Clean, wire brush, and paint with cold galvanise coating. Replace all corroded Tek screws.</x:v>
      </x:c>
      <x:c r="D623" s="16" t="str">
        <x:v>Top hat purlins and Tek screws</x:v>
      </x:c>
      <x:c r="E623" s="16" t="str">
        <x:v>SRC-029</x:v>
      </x:c>
      <x:c r="F623" s="16" t="str">
        <x:v>REC-0028</x:v>
      </x:c>
      <x:c r="G623" s="16" t="str">
        <x:v>正式报告</x:v>
      </x:c>
      <x:c r="H623" s="19" t="n">
        <x:v>6</x:v>
      </x:c>
      <x:c r="I623" s="19" t="n">
        <x:v>8</x:v>
      </x:c>
      <x:c r="J623" s="19" t="n">
        <x:v>1</x:v>
      </x:c>
      <x:c r="K623" s="16" t="str">
        <x:v>7. Very severe deterioration</x:v>
      </x:c>
      <x:c r="L623" s="16" t="str">
        <x:v>Very likely</x:v>
      </x:c>
      <x:c r="M623" s="16" t="str">
        <x:v>Moderate. Recommended to be replaced prior to cyclonic season.</x:v>
      </x:c>
      <x:c r="N623" s="16" t="str">
        <x:v>Critical</x:v>
      </x:c>
    </x:row>
    <x:row r="624" ht="41" customHeight="1">
      <x:c r="A624" s="16" t="str">
        <x:v>RAW-00618</x:v>
      </x:c>
      <x:c r="B624" s="16" t="str">
        <x:v>Observation</x:v>
      </x:c>
      <x:c r="C624" s="16" t="str">
        <x:v>– At west side of house, minor corrosion of tap hats to the entire length. Minor surface corrosion of rectangular hollow section rafters.</x:v>
      </x:c>
      <x:c r="D624" s="16" t="str">
        <x:v>Top hat purlins and Tek screws</x:v>
      </x:c>
      <x:c r="E624" s="16" t="str">
        <x:v>SRC-029</x:v>
      </x:c>
      <x:c r="F624" s="16" t="str">
        <x:v>OBS-0097</x:v>
      </x:c>
      <x:c r="G624" s="16" t="str">
        <x:v>正式报告</x:v>
      </x:c>
      <x:c r="H624" s="19" t="n">
        <x:v>6</x:v>
      </x:c>
      <x:c r="I624" s="19" t="n">
        <x:v>9</x:v>
      </x:c>
      <x:c r="J624" s="19" t="n">
        <x:v>2</x:v>
      </x:c>
      <x:c r="K624" s="16" t="str">
        <x:v>7. Very severe deterioration</x:v>
      </x:c>
      <x:c r="L624" s="16" t="str">
        <x:v>Very likely</x:v>
      </x:c>
      <x:c r="M624" s="16" t="str">
        <x:v>Moderate. Recommended to be replaced prior to cyclonic season.</x:v>
      </x:c>
      <x:c r="N624" s="16" t="str">
        <x:v>Critical</x:v>
      </x:c>
    </x:row>
    <x:row r="625" ht="41" customHeight="1">
      <x:c r="A625" s="16" t="str">
        <x:v>RAW-00619</x:v>
      </x:c>
      <x:c r="B625" s="16" t="str">
        <x:v>Recommendation</x:v>
      </x:c>
      <x:c r="C625" s="16" t="str">
        <x:v>– Clean, wire brush, and paint with cold galvanise coating. Replace all corroded Tek screws.</x:v>
      </x:c>
      <x:c r="D625" s="16" t="str">
        <x:v>Top hat purlins and Tek screws</x:v>
      </x:c>
      <x:c r="E625" s="16" t="str">
        <x:v>SRC-029</x:v>
      </x:c>
      <x:c r="F625" s="16" t="str">
        <x:v>REC-0028</x:v>
      </x:c>
      <x:c r="G625" s="16" t="str">
        <x:v>正式报告</x:v>
      </x:c>
      <x:c r="H625" s="19" t="n">
        <x:v>6</x:v>
      </x:c>
      <x:c r="I625" s="19" t="n">
        <x:v>9</x:v>
      </x:c>
      <x:c r="J625" s="19" t="n">
        <x:v>2</x:v>
      </x:c>
      <x:c r="K625" s="16" t="str">
        <x:v>7. Very severe deterioration</x:v>
      </x:c>
      <x:c r="L625" s="16" t="str">
        <x:v>Very likely</x:v>
      </x:c>
      <x:c r="M625" s="16" t="str">
        <x:v>Moderate. Recommended to be replaced prior to cyclonic season.</x:v>
      </x:c>
      <x:c r="N625" s="16" t="str">
        <x:v>Critical</x:v>
      </x:c>
    </x:row>
    <x:row r="626" ht="37" customHeight="1">
      <x:c r="A626" s="16" t="str">
        <x:v>RAW-00620</x:v>
      </x:c>
      <x:c r="B626" s="16" t="str">
        <x:v>Observation</x:v>
      </x:c>
      <x:c r="C626" s="16" t="str">
        <x:v>– Overview of gutter collecting water from verandah and house.</x:v>
      </x:c>
      <x:c r="D626" s="16" t="str">
        <x:v>Gutter</x:v>
      </x:c>
      <x:c r="E626" s="16" t="str">
        <x:v>SRC-029</x:v>
      </x:c>
      <x:c r="F626" s="16" t="str">
        <x:v>OBS-0432</x:v>
      </x:c>
      <x:c r="G626" s="16" t="str">
        <x:v>正式报告</x:v>
      </x:c>
      <x:c r="H626" s="19" t="n">
        <x:v>7</x:v>
      </x:c>
      <x:c r="I626" s="19" t="n">
        <x:v>6</x:v>
      </x:c>
      <x:c r="J626" s="19" t="n">
        <x:v>1</x:v>
      </x:c>
      <x:c r="K626" s="16" t="str">
        <x:v>7. Very severe deterioration</x:v>
      </x:c>
      <x:c r="L626" s="16" t="str">
        <x:v>Very likely</x:v>
      </x:c>
      <x:c r="M626" s="16" t="str">
        <x:v>Minor</x:v>
      </x:c>
      <x:c r="N626" s="16" t="str">
        <x:v>High</x:v>
      </x:c>
    </x:row>
    <x:row r="627" ht="37" customHeight="1">
      <x:c r="A627" s="16" t="str">
        <x:v>RAW-00621</x:v>
      </x:c>
      <x:c r="B627" s="16" t="str">
        <x:v>Observation</x:v>
      </x:c>
      <x:c r="C627" s="16" t="str">
        <x:v>– Gutter has corrosion delamination resulting in significant loss of section.</x:v>
      </x:c>
      <x:c r="D627" s="16" t="str">
        <x:v>Gutter</x:v>
      </x:c>
      <x:c r="E627" s="16" t="str">
        <x:v>SRC-029</x:v>
      </x:c>
      <x:c r="F627" s="16" t="str">
        <x:v>OBS-0323</x:v>
      </x:c>
      <x:c r="G627" s="16" t="str">
        <x:v>正式报告</x:v>
      </x:c>
      <x:c r="H627" s="19" t="n">
        <x:v>7</x:v>
      </x:c>
      <x:c r="I627" s="19" t="n">
        <x:v>7</x:v>
      </x:c>
      <x:c r="J627" s="19" t="n">
        <x:v>1</x:v>
      </x:c>
      <x:c r="K627" s="16" t="str">
        <x:v>7. Very severe deterioration</x:v>
      </x:c>
      <x:c r="L627" s="16" t="str">
        <x:v>Very likely</x:v>
      </x:c>
      <x:c r="M627" s="16" t="str">
        <x:v>Minor</x:v>
      </x:c>
      <x:c r="N627" s="16" t="str">
        <x:v>High</x:v>
      </x:c>
    </x:row>
    <x:row r="628" ht="37" customHeight="1">
      <x:c r="A628" s="16" t="str">
        <x:v>RAW-00622</x:v>
      </x:c>
      <x:c r="B628" s="16" t="str">
        <x:v>Recommendation</x:v>
      </x:c>
      <x:c r="C628" s="16" t="str">
        <x:v>– Replace the gutter completely to match existing.</x:v>
      </x:c>
      <x:c r="D628" s="16" t="str">
        <x:v>Gutter</x:v>
      </x:c>
      <x:c r="E628" s="16" t="str">
        <x:v>SRC-029</x:v>
      </x:c>
      <x:c r="F628" s="16" t="str">
        <x:v>REC-0020</x:v>
      </x:c>
      <x:c r="G628" s="16" t="str">
        <x:v>正式报告</x:v>
      </x:c>
      <x:c r="H628" s="19" t="n">
        <x:v>7</x:v>
      </x:c>
      <x:c r="I628" s="19" t="n">
        <x:v>7</x:v>
      </x:c>
      <x:c r="J628" s="19" t="n">
        <x:v>1</x:v>
      </x:c>
      <x:c r="K628" s="16" t="str">
        <x:v>7. Very severe deterioration</x:v>
      </x:c>
      <x:c r="L628" s="16" t="str">
        <x:v>Very likely</x:v>
      </x:c>
      <x:c r="M628" s="16" t="str">
        <x:v>Minor</x:v>
      </x:c>
      <x:c r="N628" s="16" t="str">
        <x:v>High</x:v>
      </x:c>
    </x:row>
    <x:row r="629" ht="41" customHeight="1">
      <x:c r="A629" s="16" t="str">
        <x:v>RAW-00623</x:v>
      </x:c>
      <x:c r="B629" s="16" t="str">
        <x:v>Observation</x:v>
      </x:c>
      <x:c r="C629" s="16" t="str">
        <x:v>– Rectangular opening in the gutter possibly for a downpipe. The gutter is not redirecting water away from columns causing columns to corrode.</x:v>
      </x:c>
      <x:c r="D629" s="16" t="str">
        <x:v>Gutter</x:v>
      </x:c>
      <x:c r="E629" s="16" t="str">
        <x:v>SRC-029</x:v>
      </x:c>
      <x:c r="F629" s="16" t="str">
        <x:v>OBS-0476</x:v>
      </x:c>
      <x:c r="G629" s="16" t="str">
        <x:v>正式报告</x:v>
      </x:c>
      <x:c r="H629" s="19" t="n">
        <x:v>7</x:v>
      </x:c>
      <x:c r="I629" s="19" t="n">
        <x:v>8</x:v>
      </x:c>
      <x:c r="J629" s="19" t="n">
        <x:v>1</x:v>
      </x:c>
      <x:c r="K629" s="16" t="str">
        <x:v>7. Very severe deterioration</x:v>
      </x:c>
      <x:c r="L629" s="16" t="str">
        <x:v>Very likely</x:v>
      </x:c>
      <x:c r="M629" s="16" t="str">
        <x:v>Minor</x:v>
      </x:c>
      <x:c r="N629" s="16" t="str">
        <x:v>High</x:v>
      </x:c>
    </x:row>
    <x:row r="630" ht="37" customHeight="1">
      <x:c r="A630" s="16" t="str">
        <x:v>RAW-00624</x:v>
      </x:c>
      <x:c r="B630" s="16" t="str">
        <x:v>Recommendation</x:v>
      </x:c>
      <x:c r="C630" s="16" t="str">
        <x:v>– Replace the gutter completely to match existing.</x:v>
      </x:c>
      <x:c r="D630" s="16" t="str">
        <x:v>Gutter</x:v>
      </x:c>
      <x:c r="E630" s="16" t="str">
        <x:v>SRC-029</x:v>
      </x:c>
      <x:c r="F630" s="16" t="str">
        <x:v>REC-0020</x:v>
      </x:c>
      <x:c r="G630" s="16" t="str">
        <x:v>正式报告</x:v>
      </x:c>
      <x:c r="H630" s="19" t="n">
        <x:v>7</x:v>
      </x:c>
      <x:c r="I630" s="19" t="n">
        <x:v>8</x:v>
      </x:c>
      <x:c r="J630" s="19" t="n">
        <x:v>1</x:v>
      </x:c>
      <x:c r="K630" s="16" t="str">
        <x:v>7. Very severe deterioration</x:v>
      </x:c>
      <x:c r="L630" s="16" t="str">
        <x:v>Very likely</x:v>
      </x:c>
      <x:c r="M630" s="16" t="str">
        <x:v>Minor</x:v>
      </x:c>
      <x:c r="N630" s="16" t="str">
        <x:v>High</x:v>
      </x:c>
    </x:row>
    <x:row r="631" ht="41" customHeight="1">
      <x:c r="A631" s="16" t="str">
        <x:v>RAW-00625</x:v>
      </x:c>
      <x:c r="B631" s="16" t="str">
        <x:v>Observation</x:v>
      </x:c>
      <x:c r="C631" s="16" t="str">
        <x:v>– Side wall of gutter has holes along length. The gutter is not redirecting water away from columns causing columns to corrode.</x:v>
      </x:c>
      <x:c r="D631" s="16" t="str">
        <x:v>Gutter</x:v>
      </x:c>
      <x:c r="E631" s="16" t="str">
        <x:v>SRC-029</x:v>
      </x:c>
      <x:c r="F631" s="16" t="str">
        <x:v>OBS-0571</x:v>
      </x:c>
      <x:c r="G631" s="16" t="str">
        <x:v>正式报告</x:v>
      </x:c>
      <x:c r="H631" s="19" t="n">
        <x:v>7</x:v>
      </x:c>
      <x:c r="I631" s="19" t="n">
        <x:v>9</x:v>
      </x:c>
      <x:c r="J631" s="19" t="n">
        <x:v>1</x:v>
      </x:c>
      <x:c r="K631" s="16" t="str">
        <x:v>7. Very severe deterioration</x:v>
      </x:c>
      <x:c r="L631" s="16" t="str">
        <x:v>Very likely</x:v>
      </x:c>
      <x:c r="M631" s="16" t="str">
        <x:v>Minor</x:v>
      </x:c>
      <x:c r="N631" s="16" t="str">
        <x:v>High</x:v>
      </x:c>
    </x:row>
    <x:row r="632" ht="37" customHeight="1">
      <x:c r="A632" s="16" t="str">
        <x:v>RAW-00626</x:v>
      </x:c>
      <x:c r="B632" s="16" t="str">
        <x:v>Recommendation</x:v>
      </x:c>
      <x:c r="C632" s="16" t="str">
        <x:v>– Replace the gutter completely to match existing.</x:v>
      </x:c>
      <x:c r="D632" s="16" t="str">
        <x:v>Gutter</x:v>
      </x:c>
      <x:c r="E632" s="16" t="str">
        <x:v>SRC-029</x:v>
      </x:c>
      <x:c r="F632" s="16" t="str">
        <x:v>REC-0020</x:v>
      </x:c>
      <x:c r="G632" s="16" t="str">
        <x:v>正式报告</x:v>
      </x:c>
      <x:c r="H632" s="19" t="n">
        <x:v>7</x:v>
      </x:c>
      <x:c r="I632" s="19" t="n">
        <x:v>9</x:v>
      </x:c>
      <x:c r="J632" s="19" t="n">
        <x:v>1</x:v>
      </x:c>
      <x:c r="K632" s="16" t="str">
        <x:v>7. Very severe deterioration</x:v>
      </x:c>
      <x:c r="L632" s="16" t="str">
        <x:v>Very likely</x:v>
      </x:c>
      <x:c r="M632" s="16" t="str">
        <x:v>Minor</x:v>
      </x:c>
      <x:c r="N632" s="16" t="str">
        <x:v>High</x:v>
      </x:c>
    </x:row>
    <x:row r="633" ht="37" customHeight="1">
      <x:c r="A633" s="16" t="str">
        <x:v>RAW-00627</x:v>
      </x:c>
      <x:c r="B633" s="16" t="str">
        <x:v>Observation</x:v>
      </x:c>
      <x:c r="C633" s="16" t="str">
        <x:v>– Overview of carport.</x:v>
      </x:c>
      <x:c r="D633" s="16" t="str">
        <x:v>Carport column baseplate</x:v>
      </x:c>
      <x:c r="E633" s="16" t="str">
        <x:v>SRC-029</x:v>
      </x:c>
      <x:c r="F633" s="16" t="str">
        <x:v>OBS-0072</x:v>
      </x:c>
      <x:c r="G633" s="16" t="str">
        <x:v>正式报告</x:v>
      </x:c>
      <x:c r="H633" s="19" t="n">
        <x:v>8</x:v>
      </x:c>
      <x:c r="I633" s="19" t="n">
        <x:v>6</x:v>
      </x:c>
      <x:c r="J633" s="19" t="n">
        <x:v>1</x:v>
      </x:c>
      <x:c r="K633" s="16" t="str">
        <x:v>3. Minor deterioration</x:v>
      </x:c>
      <x:c r="L633" s="16" t="str">
        <x:v>Unlikely</x:v>
      </x:c>
      <x:c r="M633" s="16" t="str">
        <x:v>Significant</x:v>
      </x:c>
      <x:c r="N633" s="16" t="str">
        <x:v>Moderate</x:v>
      </x:c>
    </x:row>
    <x:row r="634" ht="37" customHeight="1">
      <x:c r="A634" s="16" t="str">
        <x:v>RAW-00628</x:v>
      </x:c>
      <x:c r="B634" s="16" t="str">
        <x:v>Observation</x:v>
      </x:c>
      <x:c r="C634" s="16" t="str">
        <x:v>– Edge column C5.6 has minor corrosion at baseplate and anchors.</x:v>
      </x:c>
      <x:c r="D634" s="16" t="str">
        <x:v>Carport column baseplate</x:v>
      </x:c>
      <x:c r="E634" s="16" t="str">
        <x:v>SRC-029</x:v>
      </x:c>
      <x:c r="F634" s="16" t="str">
        <x:v>OBS-0256</x:v>
      </x:c>
      <x:c r="G634" s="16" t="str">
        <x:v>正式报告</x:v>
      </x:c>
      <x:c r="H634" s="19" t="n">
        <x:v>8</x:v>
      </x:c>
      <x:c r="I634" s="19" t="n">
        <x:v>7</x:v>
      </x:c>
      <x:c r="J634" s="19" t="n">
        <x:v>1</x:v>
      </x:c>
      <x:c r="K634" s="16" t="str">
        <x:v>3. Minor deterioration</x:v>
      </x:c>
      <x:c r="L634" s="16" t="str">
        <x:v>Unlikely</x:v>
      </x:c>
      <x:c r="M634" s="16" t="str">
        <x:v>Significant</x:v>
      </x:c>
      <x:c r="N634" s="16" t="str">
        <x:v>Moderate</x:v>
      </x:c>
    </x:row>
    <x:row r="635" ht="37" customHeight="1">
      <x:c r="A635" s="16" t="str">
        <x:v>RAW-00629</x:v>
      </x:c>
      <x:c r="B635" s="16" t="str">
        <x:v>Recommendation</x:v>
      </x:c>
      <x:c r="C635" s="16" t="str">
        <x:v>– Remove the rust, clean, wire brush and repaint.</x:v>
      </x:c>
      <x:c r="D635" s="16" t="str">
        <x:v>Carport column baseplate</x:v>
      </x:c>
      <x:c r="E635" s="16" t="str">
        <x:v>SRC-029</x:v>
      </x:c>
      <x:c r="F635" s="16" t="str">
        <x:v>REC-0038</x:v>
      </x:c>
      <x:c r="G635" s="16" t="str">
        <x:v>正式报告</x:v>
      </x:c>
      <x:c r="H635" s="19" t="n">
        <x:v>8</x:v>
      </x:c>
      <x:c r="I635" s="19" t="n">
        <x:v>7</x:v>
      </x:c>
      <x:c r="J635" s="19" t="n">
        <x:v>1</x:v>
      </x:c>
      <x:c r="K635" s="16" t="str">
        <x:v>3. Minor deterioration</x:v>
      </x:c>
      <x:c r="L635" s="16" t="str">
        <x:v>Unlikely</x:v>
      </x:c>
      <x:c r="M635" s="16" t="str">
        <x:v>Significant</x:v>
      </x:c>
      <x:c r="N635" s="16" t="str">
        <x:v>Moderate</x:v>
      </x:c>
    </x:row>
    <x:row r="636" ht="37" customHeight="1">
      <x:c r="A636" s="16" t="str">
        <x:v>RAW-00630</x:v>
      </x:c>
      <x:c r="B636" s="16" t="str">
        <x:v>Observation</x:v>
      </x:c>
      <x:c r="C636" s="16" t="str">
        <x:v>– Edge column C6.5 has minor corrosion at baseplate.</x:v>
      </x:c>
      <x:c r="D636" s="16" t="str">
        <x:v>Carport column baseplate</x:v>
      </x:c>
      <x:c r="E636" s="16" t="str">
        <x:v>SRC-029</x:v>
      </x:c>
      <x:c r="F636" s="16" t="str">
        <x:v>OBS-0257</x:v>
      </x:c>
      <x:c r="G636" s="16" t="str">
        <x:v>正式报告</x:v>
      </x:c>
      <x:c r="H636" s="19" t="n">
        <x:v>8</x:v>
      </x:c>
      <x:c r="I636" s="19" t="n">
        <x:v>8</x:v>
      </x:c>
      <x:c r="J636" s="19" t="n">
        <x:v>1</x:v>
      </x:c>
      <x:c r="K636" s="16" t="str">
        <x:v>3. Minor deterioration</x:v>
      </x:c>
      <x:c r="L636" s="16" t="str">
        <x:v>Unlikely</x:v>
      </x:c>
      <x:c r="M636" s="16" t="str">
        <x:v>Significant</x:v>
      </x:c>
      <x:c r="N636" s="16" t="str">
        <x:v>Moderate</x:v>
      </x:c>
    </x:row>
    <x:row r="637" ht="37" customHeight="1">
      <x:c r="A637" s="16" t="str">
        <x:v>RAW-00631</x:v>
      </x:c>
      <x:c r="B637" s="16" t="str">
        <x:v>Recommendation</x:v>
      </x:c>
      <x:c r="C637" s="16" t="str">
        <x:v>– Remove the rust, clean, wire brush and repaint.</x:v>
      </x:c>
      <x:c r="D637" s="16" t="str">
        <x:v>Carport column baseplate</x:v>
      </x:c>
      <x:c r="E637" s="16" t="str">
        <x:v>SRC-029</x:v>
      </x:c>
      <x:c r="F637" s="16" t="str">
        <x:v>REC-0038</x:v>
      </x:c>
      <x:c r="G637" s="16" t="str">
        <x:v>正式报告</x:v>
      </x:c>
      <x:c r="H637" s="19" t="n">
        <x:v>8</x:v>
      </x:c>
      <x:c r="I637" s="19" t="n">
        <x:v>8</x:v>
      </x:c>
      <x:c r="J637" s="19" t="n">
        <x:v>1</x:v>
      </x:c>
      <x:c r="K637" s="16" t="str">
        <x:v>3. Minor deterioration</x:v>
      </x:c>
      <x:c r="L637" s="16" t="str">
        <x:v>Unlikely</x:v>
      </x:c>
      <x:c r="M637" s="16" t="str">
        <x:v>Significant</x:v>
      </x:c>
      <x:c r="N637" s="16" t="str">
        <x:v>Moderate</x:v>
      </x:c>
    </x:row>
    <x:row r="638" ht="37" customHeight="1">
      <x:c r="A638" s="16" t="str">
        <x:v>RAW-00632</x:v>
      </x:c>
      <x:c r="B638" s="16" t="str">
        <x:v>Observation</x:v>
      </x:c>
      <x:c r="C638" s="16" t="str">
        <x:v>– Column C5.4 has corrosion delamination.</x:v>
      </x:c>
      <x:c r="D638" s="16" t="str">
        <x:v>Carport column baseplate</x:v>
      </x:c>
      <x:c r="E638" s="16" t="str">
        <x:v>SRC-029</x:v>
      </x:c>
      <x:c r="F638" s="16" t="str">
        <x:v>OBS-0209</x:v>
      </x:c>
      <x:c r="G638" s="16" t="str">
        <x:v>正式报告</x:v>
      </x:c>
      <x:c r="H638" s="19" t="n">
        <x:v>8</x:v>
      </x:c>
      <x:c r="I638" s="19" t="n">
        <x:v>9</x:v>
      </x:c>
      <x:c r="J638" s="19" t="n">
        <x:v>1</x:v>
      </x:c>
      <x:c r="K638" s="16" t="str">
        <x:v>3. Minor deterioration</x:v>
      </x:c>
      <x:c r="L638" s="16" t="str">
        <x:v>Unlikely</x:v>
      </x:c>
      <x:c r="M638" s="16" t="str">
        <x:v>Significant</x:v>
      </x:c>
      <x:c r="N638" s="16" t="str">
        <x:v>Moderate</x:v>
      </x:c>
    </x:row>
    <x:row r="639" ht="37" customHeight="1">
      <x:c r="A639" s="16" t="str">
        <x:v>RAW-00633</x:v>
      </x:c>
      <x:c r="B639" s="16" t="str">
        <x:v>Recommendation</x:v>
      </x:c>
      <x:c r="C639" s="16" t="str">
        <x:v>– Clean, wire brush and repaint.</x:v>
      </x:c>
      <x:c r="D639" s="16" t="str">
        <x:v>Carport column baseplate</x:v>
      </x:c>
      <x:c r="E639" s="16" t="str">
        <x:v>SRC-029</x:v>
      </x:c>
      <x:c r="F639" s="16" t="str">
        <x:v>REC-0001</x:v>
      </x:c>
      <x:c r="G639" s="16" t="str">
        <x:v>正式报告</x:v>
      </x:c>
      <x:c r="H639" s="19" t="n">
        <x:v>8</x:v>
      </x:c>
      <x:c r="I639" s="19" t="n">
        <x:v>9</x:v>
      </x:c>
      <x:c r="J639" s="19" t="n">
        <x:v>1</x:v>
      </x:c>
      <x:c r="K639" s="16" t="str">
        <x:v>3. Minor deterioration</x:v>
      </x:c>
      <x:c r="L639" s="16" t="str">
        <x:v>Unlikely</x:v>
      </x:c>
      <x:c r="M639" s="16" t="str">
        <x:v>Significant</x:v>
      </x:c>
      <x:c r="N639" s="16" t="str">
        <x:v>Moderate</x:v>
      </x:c>
    </x:row>
    <x:row r="640" ht="37" customHeight="1">
      <x:c r="A640" s="16" t="str">
        <x:v>RAW-00634</x:v>
      </x:c>
      <x:c r="B640" s="16" t="str">
        <x:v>Observation</x:v>
      </x:c>
      <x:c r="C640" s="16" t="str">
        <x:v>– Column C6.4 along perimeter fencing has corrosion delamination of baseplate.</x:v>
      </x:c>
      <x:c r="D640" s="16" t="str">
        <x:v>Carport column baseplate</x:v>
      </x:c>
      <x:c r="E640" s="16" t="str">
        <x:v>SRC-029</x:v>
      </x:c>
      <x:c r="F640" s="16" t="str">
        <x:v>OBS-0211</x:v>
      </x:c>
      <x:c r="G640" s="16" t="str">
        <x:v>正式报告</x:v>
      </x:c>
      <x:c r="H640" s="19" t="n">
        <x:v>8</x:v>
      </x:c>
      <x:c r="I640" s="19" t="n">
        <x:v>10</x:v>
      </x:c>
      <x:c r="J640" s="19" t="n">
        <x:v>1</x:v>
      </x:c>
      <x:c r="K640" s="16" t="str">
        <x:v>3. Minor deterioration</x:v>
      </x:c>
      <x:c r="L640" s="16" t="str">
        <x:v>Unlikely</x:v>
      </x:c>
      <x:c r="M640" s="16" t="str">
        <x:v>Significant</x:v>
      </x:c>
      <x:c r="N640" s="16" t="str">
        <x:v>Moderate</x:v>
      </x:c>
    </x:row>
    <x:row r="641" ht="37" customHeight="1">
      <x:c r="A641" s="16" t="str">
        <x:v>RAW-00635</x:v>
      </x:c>
      <x:c r="B641" s="16" t="str">
        <x:v>Recommendation</x:v>
      </x:c>
      <x:c r="C641" s="16" t="str">
        <x:v>– Clean, wire brush and repaint.</x:v>
      </x:c>
      <x:c r="D641" s="16" t="str">
        <x:v>Carport column baseplate</x:v>
      </x:c>
      <x:c r="E641" s="16" t="str">
        <x:v>SRC-029</x:v>
      </x:c>
      <x:c r="F641" s="16" t="str">
        <x:v>REC-0001</x:v>
      </x:c>
      <x:c r="G641" s="16" t="str">
        <x:v>正式报告</x:v>
      </x:c>
      <x:c r="H641" s="19" t="n">
        <x:v>8</x:v>
      </x:c>
      <x:c r="I641" s="19" t="n">
        <x:v>10</x:v>
      </x:c>
      <x:c r="J641" s="19" t="n">
        <x:v>1</x:v>
      </x:c>
      <x:c r="K641" s="16" t="str">
        <x:v>3. Minor deterioration</x:v>
      </x:c>
      <x:c r="L641" s="16" t="str">
        <x:v>Unlikely</x:v>
      </x:c>
      <x:c r="M641" s="16" t="str">
        <x:v>Significant</x:v>
      </x:c>
      <x:c r="N641" s="16" t="str">
        <x:v>Moderate</x:v>
      </x:c>
    </x:row>
    <x:row r="642" ht="55" customHeight="1">
      <x:c r="A642" s="16" t="str">
        <x:v>RAW-00636</x:v>
      </x:c>
      <x:c r="B642" s="16" t="str">
        <x:v>Observation</x:v>
      </x:c>
      <x:c r="C642" s="16" t="str">
        <x:v>– Overview of back of house.</x:v>
      </x:c>
      <x:c r="D642" s="16" t="str">
        <x:v>Roof sheeting</x:v>
      </x:c>
      <x:c r="E642" s="16" t="str">
        <x:v>SRC-029</x:v>
      </x:c>
      <x:c r="F642" s="16" t="str">
        <x:v>OBS-0423</x:v>
      </x:c>
      <x:c r="G642" s="16" t="str">
        <x:v>正式报告</x:v>
      </x:c>
      <x:c r="H642" s="19" t="n">
        <x:v>9</x:v>
      </x:c>
      <x:c r="I642" s="19" t="n">
        <x:v>6</x:v>
      </x:c>
      <x:c r="J642" s="19" t="n">
        <x:v>1</x:v>
      </x:c>
      <x:c r="K642" s="16" t="str">
        <x:v>6. Severe deterioration</x:v>
      </x:c>
      <x:c r="L642" s="16" t="str">
        <x:v>Likely</x:v>
      </x:c>
      <x:c r="M642" s="16" t="str">
        <x:v>Critical. Recommended to replace where has been damaged prior to cyclonic season.</x:v>
      </x:c>
      <x:c r="N642" s="16" t="str">
        <x:v>Moderate</x:v>
      </x:c>
    </x:row>
    <x:row r="643" ht="55" customHeight="1">
      <x:c r="A643" s="16" t="str">
        <x:v>RAW-00637</x:v>
      </x:c>
      <x:c r="B643" s="16" t="str">
        <x:v>Observation</x:v>
      </x:c>
      <x:c r="C643" s="16" t="str">
        <x:v>– Roof sheeting has been locally damaged.</x:v>
      </x:c>
      <x:c r="D643" s="16" t="str">
        <x:v>Roof sheeting</x:v>
      </x:c>
      <x:c r="E643" s="16" t="str">
        <x:v>SRC-029</x:v>
      </x:c>
      <x:c r="F643" s="16" t="str">
        <x:v>OBS-0514</x:v>
      </x:c>
      <x:c r="G643" s="16" t="str">
        <x:v>正式报告</x:v>
      </x:c>
      <x:c r="H643" s="19" t="n">
        <x:v>9</x:v>
      </x:c>
      <x:c r="I643" s="19" t="n">
        <x:v>7</x:v>
      </x:c>
      <x:c r="J643" s="19" t="n">
        <x:v>1</x:v>
      </x:c>
      <x:c r="K643" s="16" t="str">
        <x:v>6. Severe deterioration</x:v>
      </x:c>
      <x:c r="L643" s="16" t="str">
        <x:v>Likely</x:v>
      </x:c>
      <x:c r="M643" s="16" t="str">
        <x:v>Critical. Recommended to replace where has been damaged prior to cyclonic season.</x:v>
      </x:c>
      <x:c r="N643" s="16" t="str">
        <x:v>Moderate</x:v>
      </x:c>
    </x:row>
    <x:row r="644" ht="55" customHeight="1">
      <x:c r="A644" s="16" t="str">
        <x:v>RAW-00638</x:v>
      </x:c>
      <x:c r="B644" s="16" t="str">
        <x:v>Recommendation</x:v>
      </x:c>
      <x:c r="C644" s="16" t="str">
        <x:v>– Replace the locally damaged roof sheeting .</x:v>
      </x:c>
      <x:c r="D644" s="16" t="str">
        <x:v>Roof sheeting</x:v>
      </x:c>
      <x:c r="E644" s="16" t="str">
        <x:v>SRC-029</x:v>
      </x:c>
      <x:c r="F644" s="16" t="str">
        <x:v>REC-0155</x:v>
      </x:c>
      <x:c r="G644" s="16" t="str">
        <x:v>正式报告</x:v>
      </x:c>
      <x:c r="H644" s="19" t="n">
        <x:v>9</x:v>
      </x:c>
      <x:c r="I644" s="19" t="n">
        <x:v>7</x:v>
      </x:c>
      <x:c r="J644" s="19" t="n">
        <x:v>1</x:v>
      </x:c>
      <x:c r="K644" s="16" t="str">
        <x:v>6. Severe deterioration</x:v>
      </x:c>
      <x:c r="L644" s="16" t="str">
        <x:v>Likely</x:v>
      </x:c>
      <x:c r="M644" s="16" t="str">
        <x:v>Critical. Recommended to replace where has been damaged prior to cyclonic season.</x:v>
      </x:c>
      <x:c r="N644" s="16" t="str">
        <x:v>Moderate</x:v>
      </x:c>
    </x:row>
    <x:row r="645" ht="37" customHeight="1">
      <x:c r="A645" s="16" t="str">
        <x:v>RAW-00639</x:v>
      </x:c>
      <x:c r="B645" s="16" t="str">
        <x:v>Observation</x:v>
      </x:c>
      <x:c r="C645" s="16" t="str">
        <x:v>– Minor corrosion of PFC flanges.</x:v>
      </x:c>
      <x:c r="D645" s="16" t="str">
        <x:v>Carport PFC purlins</x:v>
      </x:c>
      <x:c r="E645" s="16" t="str">
        <x:v>SRC-029</x:v>
      </x:c>
      <x:c r="F645" s="16" t="str">
        <x:v>OBS-0059</x:v>
      </x:c>
      <x:c r="G645" s="16" t="str">
        <x:v>正式报告</x:v>
      </x:c>
      <x:c r="H645" s="19" t="n">
        <x:v>10</x:v>
      </x:c>
      <x:c r="I645" s="19" t="n">
        <x:v>6</x:v>
      </x:c>
      <x:c r="J645" s="19" t="n">
        <x:v>1</x:v>
      </x:c>
      <x:c r="K645" s="16" t="str">
        <x:v>3. Minor deterioration</x:v>
      </x:c>
      <x:c r="L645" s="16" t="str">
        <x:v>Unlikely</x:v>
      </x:c>
      <x:c r="M645" s="16" t="str">
        <x:v>Moderate</x:v>
      </x:c>
      <x:c r="N645" s="16" t="str">
        <x:v>Moderate</x:v>
      </x:c>
    </x:row>
    <x:row r="646" ht="37" customHeight="1">
      <x:c r="A646" s="16" t="str">
        <x:v>RAW-00640</x:v>
      </x:c>
      <x:c r="B646" s="16" t="str">
        <x:v>Recommendation</x:v>
      </x:c>
      <x:c r="C646" s="16" t="str">
        <x:v>– Clean, wire brush, and paint with cold galvanise coating.</x:v>
      </x:c>
      <x:c r="D646" s="16" t="str">
        <x:v>Carport PFC purlins</x:v>
      </x:c>
      <x:c r="E646" s="16" t="str">
        <x:v>SRC-029</x:v>
      </x:c>
      <x:c r="F646" s="16" t="str">
        <x:v>REC-0027</x:v>
      </x:c>
      <x:c r="G646" s="16" t="str">
        <x:v>正式报告</x:v>
      </x:c>
      <x:c r="H646" s="19" t="n">
        <x:v>10</x:v>
      </x:c>
      <x:c r="I646" s="19" t="n">
        <x:v>6</x:v>
      </x:c>
      <x:c r="J646" s="19" t="n">
        <x:v>1</x:v>
      </x:c>
      <x:c r="K646" s="16" t="str">
        <x:v>3. Minor deterioration</x:v>
      </x:c>
      <x:c r="L646" s="16" t="str">
        <x:v>Unlikely</x:v>
      </x:c>
      <x:c r="M646" s="16" t="str">
        <x:v>Moderate</x:v>
      </x:c>
      <x:c r="N646" s="16" t="str">
        <x:v>Moderate</x:v>
      </x:c>
    </x:row>
    <x:row r="647" ht="37" customHeight="1">
      <x:c r="A647" s="16" t="str">
        <x:v>RAW-00641</x:v>
      </x:c>
      <x:c r="B647" s="16" t="str">
        <x:v>Observation</x:v>
      </x:c>
      <x:c r="C647" s="16" t="str">
        <x:v>– Minor corrosion of PFC flanges.</x:v>
      </x:c>
      <x:c r="D647" s="16" t="str">
        <x:v>Carport PFC purlins</x:v>
      </x:c>
      <x:c r="E647" s="16" t="str">
        <x:v>SRC-029</x:v>
      </x:c>
      <x:c r="F647" s="16" t="str">
        <x:v>OBS-0059</x:v>
      </x:c>
      <x:c r="G647" s="16" t="str">
        <x:v>正式报告</x:v>
      </x:c>
      <x:c r="H647" s="19" t="n">
        <x:v>10</x:v>
      </x:c>
      <x:c r="I647" s="19" t="n">
        <x:v>7</x:v>
      </x:c>
      <x:c r="J647" s="19" t="n">
        <x:v>1</x:v>
      </x:c>
      <x:c r="K647" s="16" t="str">
        <x:v>3. Minor deterioration</x:v>
      </x:c>
      <x:c r="L647" s="16" t="str">
        <x:v>Unlikely</x:v>
      </x:c>
      <x:c r="M647" s="16" t="str">
        <x:v>Moderate</x:v>
      </x:c>
      <x:c r="N647" s="16" t="str">
        <x:v>Moderate</x:v>
      </x:c>
    </x:row>
    <x:row r="648" ht="37" customHeight="1">
      <x:c r="A648" s="16" t="str">
        <x:v>RAW-00642</x:v>
      </x:c>
      <x:c r="B648" s="16" t="str">
        <x:v>Recommendation</x:v>
      </x:c>
      <x:c r="C648" s="16" t="str">
        <x:v>– Clean, wire brush, and paint with cold galvanise coating.</x:v>
      </x:c>
      <x:c r="D648" s="16" t="str">
        <x:v>Carport PFC purlins</x:v>
      </x:c>
      <x:c r="E648" s="16" t="str">
        <x:v>SRC-029</x:v>
      </x:c>
      <x:c r="F648" s="16" t="str">
        <x:v>REC-0027</x:v>
      </x:c>
      <x:c r="G648" s="16" t="str">
        <x:v>正式报告</x:v>
      </x:c>
      <x:c r="H648" s="19" t="n">
        <x:v>10</x:v>
      </x:c>
      <x:c r="I648" s="19" t="n">
        <x:v>7</x:v>
      </x:c>
      <x:c r="J648" s="19" t="n">
        <x:v>1</x:v>
      </x:c>
      <x:c r="K648" s="16" t="str">
        <x:v>3. Minor deterioration</x:v>
      </x:c>
      <x:c r="L648" s="16" t="str">
        <x:v>Unlikely</x:v>
      </x:c>
      <x:c r="M648" s="16" t="str">
        <x:v>Moderate</x:v>
      </x:c>
      <x:c r="N648" s="16" t="str">
        <x:v>Moderate</x:v>
      </x:c>
    </x:row>
    <x:row r="649" ht="37" customHeight="1">
      <x:c r="A649" s="16" t="str">
        <x:v>RAW-00643</x:v>
      </x:c>
      <x:c r="B649" s="16" t="str">
        <x:v>Observation</x:v>
      </x:c>
      <x:c r="C649" s="16" t="str">
        <x:v>– Minor corrosion of rafters.</x:v>
      </x:c>
      <x:c r="D649" s="16" t="str">
        <x:v>Rafters</x:v>
      </x:c>
      <x:c r="E649" s="16" t="str">
        <x:v>SRC-029</x:v>
      </x:c>
      <x:c r="F649" s="16" t="str">
        <x:v>OBS-0063</x:v>
      </x:c>
      <x:c r="G649" s="16" t="str">
        <x:v>正式报告</x:v>
      </x:c>
      <x:c r="H649" s="19" t="n">
        <x:v>11</x:v>
      </x:c>
      <x:c r="I649" s="19" t="n">
        <x:v>6</x:v>
      </x:c>
      <x:c r="J649" s="19" t="n">
        <x:v>1</x:v>
      </x:c>
      <x:c r="K649" s="16" t="str">
        <x:v>3. Minor deterioration</x:v>
      </x:c>
      <x:c r="L649" s="16" t="str">
        <x:v>Unlikely</x:v>
      </x:c>
      <x:c r="M649" s="16" t="str">
        <x:v>Moderate</x:v>
      </x:c>
      <x:c r="N649" s="16" t="str">
        <x:v>Moderate</x:v>
      </x:c>
    </x:row>
    <x:row r="650" ht="37" customHeight="1">
      <x:c r="A650" s="16" t="str">
        <x:v>RAW-00644</x:v>
      </x:c>
      <x:c r="B650" s="16" t="str">
        <x:v>Recommendation</x:v>
      </x:c>
      <x:c r="C650" s="16" t="str">
        <x:v>– Clean, wire brush, and repaint</x:v>
      </x:c>
      <x:c r="D650" s="16" t="str">
        <x:v>Rafters</x:v>
      </x:c>
      <x:c r="E650" s="16" t="str">
        <x:v>SRC-029</x:v>
      </x:c>
      <x:c r="F650" s="16" t="str">
        <x:v>REC-0001</x:v>
      </x:c>
      <x:c r="G650" s="16" t="str">
        <x:v>正式报告</x:v>
      </x:c>
      <x:c r="H650" s="19" t="n">
        <x:v>11</x:v>
      </x:c>
      <x:c r="I650" s="19" t="n">
        <x:v>6</x:v>
      </x:c>
      <x:c r="J650" s="19" t="n">
        <x:v>1</x:v>
      </x:c>
      <x:c r="K650" s="16" t="str">
        <x:v>3. Minor deterioration</x:v>
      </x:c>
      <x:c r="L650" s="16" t="str">
        <x:v>Unlikely</x:v>
      </x:c>
      <x:c r="M650" s="16" t="str">
        <x:v>Moderate</x:v>
      </x:c>
      <x:c r="N650" s="16" t="str">
        <x:v>Moderate</x:v>
      </x:c>
    </x:row>
    <x:row r="651" ht="37" customHeight="1">
      <x:c r="A651" s="16" t="str">
        <x:v>RAW-00645</x:v>
      </x:c>
      <x:c r="B651" s="16" t="str">
        <x:v>Observation</x:v>
      </x:c>
      <x:c r="C651" s="16" t="str">
        <x:v>– Minor corrosion of rafters.</x:v>
      </x:c>
      <x:c r="D651" s="16" t="str">
        <x:v>Rafters</x:v>
      </x:c>
      <x:c r="E651" s="16" t="str">
        <x:v>SRC-029</x:v>
      </x:c>
      <x:c r="F651" s="16" t="str">
        <x:v>OBS-0063</x:v>
      </x:c>
      <x:c r="G651" s="16" t="str">
        <x:v>正式报告</x:v>
      </x:c>
      <x:c r="H651" s="19" t="n">
        <x:v>11</x:v>
      </x:c>
      <x:c r="I651" s="19" t="n">
        <x:v>7</x:v>
      </x:c>
      <x:c r="J651" s="19" t="n">
        <x:v>1</x:v>
      </x:c>
      <x:c r="K651" s="16" t="str">
        <x:v>3. Minor deterioration</x:v>
      </x:c>
      <x:c r="L651" s="16" t="str">
        <x:v>Unlikely</x:v>
      </x:c>
      <x:c r="M651" s="16" t="str">
        <x:v>Moderate</x:v>
      </x:c>
      <x:c r="N651" s="16" t="str">
        <x:v>Moderate</x:v>
      </x:c>
    </x:row>
    <x:row r="652" ht="37" customHeight="1">
      <x:c r="A652" s="16" t="str">
        <x:v>RAW-00646</x:v>
      </x:c>
      <x:c r="B652" s="16" t="str">
        <x:v>Recommendation</x:v>
      </x:c>
      <x:c r="C652" s="16" t="str">
        <x:v>– Clean, wire brush, and repaint</x:v>
      </x:c>
      <x:c r="D652" s="16" t="str">
        <x:v>Rafters</x:v>
      </x:c>
      <x:c r="E652" s="16" t="str">
        <x:v>SRC-029</x:v>
      </x:c>
      <x:c r="F652" s="16" t="str">
        <x:v>REC-0001</x:v>
      </x:c>
      <x:c r="G652" s="16" t="str">
        <x:v>正式报告</x:v>
      </x:c>
      <x:c r="H652" s="19" t="n">
        <x:v>11</x:v>
      </x:c>
      <x:c r="I652" s="19" t="n">
        <x:v>7</x:v>
      </x:c>
      <x:c r="J652" s="19" t="n">
        <x:v>1</x:v>
      </x:c>
      <x:c r="K652" s="16" t="str">
        <x:v>3. Minor deterioration</x:v>
      </x:c>
      <x:c r="L652" s="16" t="str">
        <x:v>Unlikely</x:v>
      </x:c>
      <x:c r="M652" s="16" t="str">
        <x:v>Moderate</x:v>
      </x:c>
      <x:c r="N652" s="16" t="str">
        <x:v>Moderate</x:v>
      </x:c>
    </x:row>
    <x:row r="653" ht="41" customHeight="1">
      <x:c r="A653" s="16" t="str">
        <x:v>RAW-00647</x:v>
      </x:c>
      <x:c r="B653" s="16" t="str">
        <x:v>Observation</x:v>
      </x:c>
      <x:c r="C653" s="16" t="str">
        <x:v>– Overview of Verandah columns. With Row 1 Column 1 nearest to the camera is nominated as C1.
Why not use Gridlines A, B , C etc ..</x:v>
      </x:c>
      <x:c r="D653" s="16" t="str">
        <x:v>Verandah columns</x:v>
      </x:c>
      <x:c r="E653" s="16" t="str">
        <x:v>SRC-030</x:v>
      </x:c>
      <x:c r="F653" s="16" t="str"/>
      <x:c r="G653" s="16" t="str">
        <x:v>审阅或辅助文档</x:v>
      </x:c>
      <x:c r="H653" s="19" t="n">
        <x:v>3</x:v>
      </x:c>
      <x:c r="I653" s="19" t="n">
        <x:v>7</x:v>
      </x:c>
      <x:c r="J653" s="19" t="n">
        <x:v>1</x:v>
      </x:c>
      <x:c r="K653" s="16" t="str">
        <x:v>7. Very severe deterioration</x:v>
      </x:c>
      <x:c r="L653" s="16" t="str">
        <x:v>Very likely</x:v>
      </x:c>
      <x:c r="M653" s="16" t="str">
        <x:v>Severe</x:v>
      </x:c>
      <x:c r="N653" s="16" t="str">
        <x:v>Urgent</x:v>
      </x:c>
    </x:row>
    <x:row r="654" ht="41" customHeight="1">
      <x:c r="A654" s="16" t="str">
        <x:v>RAW-00648</x:v>
      </x:c>
      <x:c r="B654" s="16" t="str">
        <x:v>Observation</x:v>
      </x:c>
      <x:c r="C654" s="16" t="str">
        <x:v>– Column C1 had completely corroded through and no longer fulfils its structural function. is close to failure.</x:v>
      </x:c>
      <x:c r="D654" s="16" t="str">
        <x:v>Verandah columns</x:v>
      </x:c>
      <x:c r="E654" s="16" t="str">
        <x:v>SRC-030</x:v>
      </x:c>
      <x:c r="F654" s="16" t="str"/>
      <x:c r="G654" s="16" t="str">
        <x:v>审阅或辅助文档</x:v>
      </x:c>
      <x:c r="H654" s="19" t="n">
        <x:v>3</x:v>
      </x:c>
      <x:c r="I654" s="19" t="n">
        <x:v>8</x:v>
      </x:c>
      <x:c r="J654" s="19" t="n">
        <x:v>1</x:v>
      </x:c>
      <x:c r="K654" s="16" t="str">
        <x:v>7. Very severe deterioration</x:v>
      </x:c>
      <x:c r="L654" s="16" t="str">
        <x:v>Very likely</x:v>
      </x:c>
      <x:c r="M654" s="16" t="str">
        <x:v>Severe</x:v>
      </x:c>
      <x:c r="N654" s="16" t="str">
        <x:v>Urgent</x:v>
      </x:c>
    </x:row>
    <x:row r="655" ht="37" customHeight="1">
      <x:c r="A655" s="16" t="str">
        <x:v>RAW-00649</x:v>
      </x:c>
      <x:c r="B655" s="16" t="str">
        <x:v>Recommendation</x:v>
      </x:c>
      <x:c r="C655" s="16" t="str">
        <x:v>– Replace the column to match existing.</x:v>
      </x:c>
      <x:c r="D655" s="16" t="str">
        <x:v>Verandah columns</x:v>
      </x:c>
      <x:c r="E655" s="16" t="str">
        <x:v>SRC-030</x:v>
      </x:c>
      <x:c r="F655" s="16" t="str">
        <x:v>REC-0017</x:v>
      </x:c>
      <x:c r="G655" s="16" t="str">
        <x:v>审阅或辅助文档</x:v>
      </x:c>
      <x:c r="H655" s="19" t="n">
        <x:v>3</x:v>
      </x:c>
      <x:c r="I655" s="19" t="n">
        <x:v>8</x:v>
      </x:c>
      <x:c r="J655" s="19" t="n">
        <x:v>1</x:v>
      </x:c>
      <x:c r="K655" s="16" t="str">
        <x:v>7. Very severe deterioration</x:v>
      </x:c>
      <x:c r="L655" s="16" t="str">
        <x:v>Very likely</x:v>
      </x:c>
      <x:c r="M655" s="16" t="str">
        <x:v>Severe</x:v>
      </x:c>
      <x:c r="N655" s="16" t="str">
        <x:v>Urgent</x:v>
      </x:c>
    </x:row>
    <x:row r="656" ht="41" customHeight="1">
      <x:c r="A656" s="16" t="str">
        <x:v>RAW-00650</x:v>
      </x:c>
      <x:c r="B656" s="16" t="str">
        <x:v>Observation</x:v>
      </x:c>
      <x:c r="C656" s="16" t="str">
        <x:v>– Columns C2.1, C2.2 and C2.3 had been rusted through at the base and no longer fulfil their structural function.</x:v>
      </x:c>
      <x:c r="D656" s="16" t="str">
        <x:v>Verandah columns</x:v>
      </x:c>
      <x:c r="E656" s="16" t="str">
        <x:v>SRC-030</x:v>
      </x:c>
      <x:c r="F656" s="16" t="str"/>
      <x:c r="G656" s="16" t="str">
        <x:v>审阅或辅助文档</x:v>
      </x:c>
      <x:c r="H656" s="19" t="n">
        <x:v>3</x:v>
      </x:c>
      <x:c r="I656" s="19" t="n">
        <x:v>9</x:v>
      </x:c>
      <x:c r="J656" s="19" t="n">
        <x:v>1</x:v>
      </x:c>
      <x:c r="K656" s="16" t="str">
        <x:v>7. Very severe deterioration</x:v>
      </x:c>
      <x:c r="L656" s="16" t="str">
        <x:v>Very likely</x:v>
      </x:c>
      <x:c r="M656" s="16" t="str">
        <x:v>Severe</x:v>
      </x:c>
      <x:c r="N656" s="16" t="str">
        <x:v>Urgent</x:v>
      </x:c>
    </x:row>
    <x:row r="657" ht="37" customHeight="1">
      <x:c r="A657" s="16" t="str">
        <x:v>RAW-00651</x:v>
      </x:c>
      <x:c r="B657" s="16" t="str">
        <x:v>Recommendation</x:v>
      </x:c>
      <x:c r="C657" s="16" t="str">
        <x:v>– Replace the columns to match existing.</x:v>
      </x:c>
      <x:c r="D657" s="16" t="str">
        <x:v>Verandah columns</x:v>
      </x:c>
      <x:c r="E657" s="16" t="str">
        <x:v>SRC-030</x:v>
      </x:c>
      <x:c r="F657" s="16" t="str">
        <x:v>REC-0043</x:v>
      </x:c>
      <x:c r="G657" s="16" t="str">
        <x:v>审阅或辅助文档</x:v>
      </x:c>
      <x:c r="H657" s="19" t="n">
        <x:v>3</x:v>
      </x:c>
      <x:c r="I657" s="19" t="n">
        <x:v>9</x:v>
      </x:c>
      <x:c r="J657" s="19" t="n">
        <x:v>1</x:v>
      </x:c>
      <x:c r="K657" s="16" t="str">
        <x:v>7. Very severe deterioration</x:v>
      </x:c>
      <x:c r="L657" s="16" t="str">
        <x:v>Very likely</x:v>
      </x:c>
      <x:c r="M657" s="16" t="str">
        <x:v>Severe</x:v>
      </x:c>
      <x:c r="N657" s="16" t="str">
        <x:v>Urgent</x:v>
      </x:c>
    </x:row>
    <x:row r="658" ht="41" customHeight="1">
      <x:c r="A658" s="16" t="str">
        <x:v>RAW-00652</x:v>
      </x:c>
      <x:c r="B658" s="16" t="str">
        <x:v>Observation</x:v>
      </x:c>
      <x:c r="C658" s="16" t="str">
        <x:v>– Column C4.1 has been rusted with holes at the lower portion of the column and no longer fully fulfils its structural function.</x:v>
      </x:c>
      <x:c r="D658" s="16" t="str">
        <x:v>Verandah columns</x:v>
      </x:c>
      <x:c r="E658" s="16" t="str">
        <x:v>SRC-030</x:v>
      </x:c>
      <x:c r="F658" s="16" t="str"/>
      <x:c r="G658" s="16" t="str">
        <x:v>审阅或辅助文档</x:v>
      </x:c>
      <x:c r="H658" s="19" t="n">
        <x:v>3</x:v>
      </x:c>
      <x:c r="I658" s="19" t="n">
        <x:v>10</x:v>
      </x:c>
      <x:c r="J658" s="19" t="n">
        <x:v>1</x:v>
      </x:c>
      <x:c r="K658" s="16" t="str">
        <x:v>7. Very severe deterioration</x:v>
      </x:c>
      <x:c r="L658" s="16" t="str">
        <x:v>Very likely</x:v>
      </x:c>
      <x:c r="M658" s="16" t="str">
        <x:v>Severe</x:v>
      </x:c>
      <x:c r="N658" s="16" t="str">
        <x:v>Urgent</x:v>
      </x:c>
    </x:row>
    <x:row r="659" ht="37" customHeight="1">
      <x:c r="A659" s="16" t="str">
        <x:v>RAW-00653</x:v>
      </x:c>
      <x:c r="B659" s="16" t="str">
        <x:v>Recommendation</x:v>
      </x:c>
      <x:c r="C659" s="16" t="str">
        <x:v>– Replace the columns to match existing.</x:v>
      </x:c>
      <x:c r="D659" s="16" t="str">
        <x:v>Verandah columns</x:v>
      </x:c>
      <x:c r="E659" s="16" t="str">
        <x:v>SRC-030</x:v>
      </x:c>
      <x:c r="F659" s="16" t="str">
        <x:v>REC-0043</x:v>
      </x:c>
      <x:c r="G659" s="16" t="str">
        <x:v>审阅或辅助文档</x:v>
      </x:c>
      <x:c r="H659" s="19" t="n">
        <x:v>3</x:v>
      </x:c>
      <x:c r="I659" s="19" t="n">
        <x:v>10</x:v>
      </x:c>
      <x:c r="J659" s="19" t="n">
        <x:v>1</x:v>
      </x:c>
      <x:c r="K659" s="16" t="str">
        <x:v>7. Very severe deterioration</x:v>
      </x:c>
      <x:c r="L659" s="16" t="str">
        <x:v>Very likely</x:v>
      </x:c>
      <x:c r="M659" s="16" t="str">
        <x:v>Severe</x:v>
      </x:c>
      <x:c r="N659" s="16" t="str">
        <x:v>Urgent</x:v>
      </x:c>
    </x:row>
    <x:row r="660" ht="41" customHeight="1">
      <x:c r="A660" s="16" t="str">
        <x:v>RAW-00654</x:v>
      </x:c>
      <x:c r="B660" s="16" t="str">
        <x:v>Observation</x:v>
      </x:c>
      <x:c r="C660" s="16" t="str">
        <x:v>– Colum C5.1. Column has been rusted with holes at the base and no longer fully fulfils its structural function. Columns C5.2 appears to be rusted at the base as well.</x:v>
      </x:c>
      <x:c r="D660" s="16" t="str">
        <x:v>Verandah columns</x:v>
      </x:c>
      <x:c r="E660" s="16" t="str">
        <x:v>SRC-030</x:v>
      </x:c>
      <x:c r="F660" s="16" t="str"/>
      <x:c r="G660" s="16" t="str">
        <x:v>审阅或辅助文档</x:v>
      </x:c>
      <x:c r="H660" s="19" t="n">
        <x:v>3</x:v>
      </x:c>
      <x:c r="I660" s="19" t="n">
        <x:v>11</x:v>
      </x:c>
      <x:c r="J660" s="19" t="n">
        <x:v>2</x:v>
      </x:c>
      <x:c r="K660" s="16" t="str">
        <x:v>7. Very severe deterioration</x:v>
      </x:c>
      <x:c r="L660" s="16" t="str">
        <x:v>Very likely</x:v>
      </x:c>
      <x:c r="M660" s="16" t="str">
        <x:v>Severe</x:v>
      </x:c>
      <x:c r="N660" s="16" t="str">
        <x:v>Urgent</x:v>
      </x:c>
    </x:row>
    <x:row r="661" ht="37" customHeight="1">
      <x:c r="A661" s="16" t="str">
        <x:v>RAW-00655</x:v>
      </x:c>
      <x:c r="B661" s="16" t="str">
        <x:v>Recommendation</x:v>
      </x:c>
      <x:c r="C661" s="16" t="str">
        <x:v>– Replace columns to match existing.</x:v>
      </x:c>
      <x:c r="D661" s="16" t="str">
        <x:v>Verandah columns</x:v>
      </x:c>
      <x:c r="E661" s="16" t="str">
        <x:v>SRC-030</x:v>
      </x:c>
      <x:c r="F661" s="16" t="str">
        <x:v>REC-0145</x:v>
      </x:c>
      <x:c r="G661" s="16" t="str">
        <x:v>审阅或辅助文档</x:v>
      </x:c>
      <x:c r="H661" s="19" t="n">
        <x:v>3</x:v>
      </x:c>
      <x:c r="I661" s="19" t="n">
        <x:v>11</x:v>
      </x:c>
      <x:c r="J661" s="19" t="n">
        <x:v>2</x:v>
      </x:c>
      <x:c r="K661" s="16" t="str">
        <x:v>7. Very severe deterioration</x:v>
      </x:c>
      <x:c r="L661" s="16" t="str">
        <x:v>Very likely</x:v>
      </x:c>
      <x:c r="M661" s="16" t="str">
        <x:v>Severe</x:v>
      </x:c>
      <x:c r="N661" s="16" t="str">
        <x:v>Urgent</x:v>
      </x:c>
    </x:row>
    <x:row r="662" ht="41" customHeight="1">
      <x:c r="A662" s="16" t="str">
        <x:v>RAW-00656</x:v>
      </x:c>
      <x:c r="B662" s="16" t="str">
        <x:v>Observation</x:v>
      </x:c>
      <x:c r="C662" s="16" t="str">
        <x:v>–Column C6.1 has been rusted with holes through at the base and no longer fully fulfil its structural function.</x:v>
      </x:c>
      <x:c r="D662" s="16" t="str">
        <x:v>Verandah columns</x:v>
      </x:c>
      <x:c r="E662" s="16" t="str">
        <x:v>SRC-030</x:v>
      </x:c>
      <x:c r="F662" s="16" t="str"/>
      <x:c r="G662" s="16" t="str">
        <x:v>审阅或辅助文档</x:v>
      </x:c>
      <x:c r="H662" s="19" t="n">
        <x:v>3</x:v>
      </x:c>
      <x:c r="I662" s="19" t="n">
        <x:v>12</x:v>
      </x:c>
      <x:c r="J662" s="19" t="n">
        <x:v>1</x:v>
      </x:c>
      <x:c r="K662" s="16" t="str">
        <x:v>7. Very severe deterioration</x:v>
      </x:c>
      <x:c r="L662" s="16" t="str">
        <x:v>Very likely</x:v>
      </x:c>
      <x:c r="M662" s="16" t="str">
        <x:v>Severe</x:v>
      </x:c>
      <x:c r="N662" s="16" t="str">
        <x:v>Urgent</x:v>
      </x:c>
    </x:row>
    <x:row r="663" ht="37" customHeight="1">
      <x:c r="A663" s="16" t="str">
        <x:v>RAW-00657</x:v>
      </x:c>
      <x:c r="B663" s="16" t="str">
        <x:v>Recommendation</x:v>
      </x:c>
      <x:c r="C663" s="16" t="str">
        <x:v>– Replace the column to match existing.</x:v>
      </x:c>
      <x:c r="D663" s="16" t="str">
        <x:v>Verandah columns</x:v>
      </x:c>
      <x:c r="E663" s="16" t="str">
        <x:v>SRC-030</x:v>
      </x:c>
      <x:c r="F663" s="16" t="str">
        <x:v>REC-0017</x:v>
      </x:c>
      <x:c r="G663" s="16" t="str">
        <x:v>审阅或辅助文档</x:v>
      </x:c>
      <x:c r="H663" s="19" t="n">
        <x:v>3</x:v>
      </x:c>
      <x:c r="I663" s="19" t="n">
        <x:v>12</x:v>
      </x:c>
      <x:c r="J663" s="19" t="n">
        <x:v>1</x:v>
      </x:c>
      <x:c r="K663" s="16" t="str">
        <x:v>7. Very severe deterioration</x:v>
      </x:c>
      <x:c r="L663" s="16" t="str">
        <x:v>Very likely</x:v>
      </x:c>
      <x:c r="M663" s="16" t="str">
        <x:v>Severe</x:v>
      </x:c>
      <x:c r="N663" s="16" t="str">
        <x:v>Urgent</x:v>
      </x:c>
    </x:row>
    <x:row r="664" ht="37" customHeight="1">
      <x:c r="A664" s="16" t="str">
        <x:v>RAW-00658</x:v>
      </x:c>
      <x:c r="B664" s="16" t="str">
        <x:v>Observation</x:v>
      </x:c>
      <x:c r="C664" s="16" t="str">
        <x:v>– Column C7.1 1 has severe corrosion at the base and no longer fulfills its structural function.</x:v>
      </x:c>
      <x:c r="D664" s="16" t="str">
        <x:v>Verandah columns</x:v>
      </x:c>
      <x:c r="E664" s="16" t="str">
        <x:v>SRC-030</x:v>
      </x:c>
      <x:c r="F664" s="16" t="str"/>
      <x:c r="G664" s="16" t="str">
        <x:v>审阅或辅助文档</x:v>
      </x:c>
      <x:c r="H664" s="19" t="n">
        <x:v>3</x:v>
      </x:c>
      <x:c r="I664" s="19" t="n">
        <x:v>13</x:v>
      </x:c>
      <x:c r="J664" s="19" t="n">
        <x:v>1</x:v>
      </x:c>
      <x:c r="K664" s="16" t="str">
        <x:v>7. Very severe deterioration</x:v>
      </x:c>
      <x:c r="L664" s="16" t="str">
        <x:v>Very likely</x:v>
      </x:c>
      <x:c r="M664" s="16" t="str">
        <x:v>Severe</x:v>
      </x:c>
      <x:c r="N664" s="16" t="str">
        <x:v>Urgent</x:v>
      </x:c>
    </x:row>
    <x:row r="665" ht="37" customHeight="1">
      <x:c r="A665" s="16" t="str">
        <x:v>RAW-00659</x:v>
      </x:c>
      <x:c r="B665" s="16" t="str">
        <x:v>Recommendation</x:v>
      </x:c>
      <x:c r="C665" s="16" t="str">
        <x:v>– Replace the column to match existing.</x:v>
      </x:c>
      <x:c r="D665" s="16" t="str">
        <x:v>Verandah columns</x:v>
      </x:c>
      <x:c r="E665" s="16" t="str">
        <x:v>SRC-030</x:v>
      </x:c>
      <x:c r="F665" s="16" t="str">
        <x:v>REC-0017</x:v>
      </x:c>
      <x:c r="G665" s="16" t="str">
        <x:v>审阅或辅助文档</x:v>
      </x:c>
      <x:c r="H665" s="19" t="n">
        <x:v>3</x:v>
      </x:c>
      <x:c r="I665" s="19" t="n">
        <x:v>13</x:v>
      </x:c>
      <x:c r="J665" s="19" t="n">
        <x:v>1</x:v>
      </x:c>
      <x:c r="K665" s="16" t="str">
        <x:v>7. Very severe deterioration</x:v>
      </x:c>
      <x:c r="L665" s="16" t="str">
        <x:v>Very likely</x:v>
      </x:c>
      <x:c r="M665" s="16" t="str">
        <x:v>Severe</x:v>
      </x:c>
      <x:c r="N665" s="16" t="str">
        <x:v>Urgent</x:v>
      </x:c>
    </x:row>
    <x:row r="666" ht="41" customHeight="1">
      <x:c r="A666" s="16" t="str">
        <x:v>RAW-00660</x:v>
      </x:c>
      <x:c r="B666" s="16" t="str">
        <x:v>Observation</x:v>
      </x:c>
      <x:c r="C666" s="16" t="str">
        <x:v>– Column C8.1 is within 57B Lukis Street front yard and has severe corrosion at the base and no longer fully fulfill its structural function</x:v>
      </x:c>
      <x:c r="D666" s="16" t="str">
        <x:v>Verandah columns</x:v>
      </x:c>
      <x:c r="E666" s="16" t="str">
        <x:v>SRC-030</x:v>
      </x:c>
      <x:c r="F666" s="16" t="str"/>
      <x:c r="G666" s="16" t="str">
        <x:v>审阅或辅助文档</x:v>
      </x:c>
      <x:c r="H666" s="19" t="n">
        <x:v>3</x:v>
      </x:c>
      <x:c r="I666" s="19" t="n">
        <x:v>14</x:v>
      </x:c>
      <x:c r="J666" s="19" t="n">
        <x:v>2</x:v>
      </x:c>
      <x:c r="K666" s="16" t="str">
        <x:v>7. Very severe deterioration</x:v>
      </x:c>
      <x:c r="L666" s="16" t="str">
        <x:v>Very likely</x:v>
      </x:c>
      <x:c r="M666" s="16" t="str">
        <x:v>Severe</x:v>
      </x:c>
      <x:c r="N666" s="16" t="str">
        <x:v>Urgent</x:v>
      </x:c>
    </x:row>
    <x:row r="667" ht="37" customHeight="1">
      <x:c r="A667" s="16" t="str">
        <x:v>RAW-00661</x:v>
      </x:c>
      <x:c r="B667" s="16" t="str">
        <x:v>Recommendation</x:v>
      </x:c>
      <x:c r="C667" s="16" t="str">
        <x:v>– Replace the column to match existing.</x:v>
      </x:c>
      <x:c r="D667" s="16" t="str">
        <x:v>Verandah columns</x:v>
      </x:c>
      <x:c r="E667" s="16" t="str">
        <x:v>SRC-030</x:v>
      </x:c>
      <x:c r="F667" s="16" t="str">
        <x:v>REC-0017</x:v>
      </x:c>
      <x:c r="G667" s="16" t="str">
        <x:v>审阅或辅助文档</x:v>
      </x:c>
      <x:c r="H667" s="19" t="n">
        <x:v>3</x:v>
      </x:c>
      <x:c r="I667" s="19" t="n">
        <x:v>14</x:v>
      </x:c>
      <x:c r="J667" s="19" t="n">
        <x:v>2</x:v>
      </x:c>
      <x:c r="K667" s="16" t="str">
        <x:v>7. Very severe deterioration</x:v>
      </x:c>
      <x:c r="L667" s="16" t="str">
        <x:v>Very likely</x:v>
      </x:c>
      <x:c r="M667" s="16" t="str">
        <x:v>Severe</x:v>
      </x:c>
      <x:c r="N667" s="16" t="str">
        <x:v>Urgent</x:v>
      </x:c>
    </x:row>
    <x:row r="668" ht="41" customHeight="1">
      <x:c r="A668" s="16" t="str">
        <x:v>RAW-00662</x:v>
      </x:c>
      <x:c r="B668" s="16" t="str">
        <x:v>Observation</x:v>
      </x:c>
      <x:c r="C668" s="16" t="str">
        <x:v>– The straps wrapped around the beams have severe corrosion and the roof strap bracing appears to be rusted</x:v>
      </x:c>
      <x:c r="D668" s="16" t="str">
        <x:v>Carport strap bracing</x:v>
      </x:c>
      <x:c r="E668" s="16" t="str">
        <x:v>SRC-030</x:v>
      </x:c>
      <x:c r="F668" s="16" t="str">
        <x:v>OBS-0592</x:v>
      </x:c>
      <x:c r="G668" s="16" t="str">
        <x:v>审阅或辅助文档</x:v>
      </x:c>
      <x:c r="H668" s="19" t="n">
        <x:v>4</x:v>
      </x:c>
      <x:c r="I668" s="19" t="n">
        <x:v>6</x:v>
      </x:c>
      <x:c r="J668" s="19" t="n">
        <x:v>2</x:v>
      </x:c>
      <x:c r="K668" s="16" t="str">
        <x:v>7. Very severe deterioration</x:v>
      </x:c>
      <x:c r="L668" s="16" t="str">
        <x:v>Very likely</x:v>
      </x:c>
      <x:c r="M668" s="16" t="str">
        <x:v>Severe</x:v>
      </x:c>
      <x:c r="N668" s="16" t="str">
        <x:v>Urgent</x:v>
      </x:c>
    </x:row>
    <x:row r="669" ht="37" customHeight="1">
      <x:c r="A669" s="16" t="str">
        <x:v>RAW-00663</x:v>
      </x:c>
      <x:c r="B669" s="16" t="str">
        <x:v>Recommendation</x:v>
      </x:c>
      <x:c r="C669" s="16" t="str">
        <x:v>– Replace all strap bracing.</x:v>
      </x:c>
      <x:c r="D669" s="16" t="str">
        <x:v>Carport strap bracing</x:v>
      </x:c>
      <x:c r="E669" s="16" t="str">
        <x:v>SRC-030</x:v>
      </x:c>
      <x:c r="F669" s="16" t="str">
        <x:v>REC-0141</x:v>
      </x:c>
      <x:c r="G669" s="16" t="str">
        <x:v>审阅或辅助文档</x:v>
      </x:c>
      <x:c r="H669" s="19" t="n">
        <x:v>4</x:v>
      </x:c>
      <x:c r="I669" s="19" t="n">
        <x:v>6</x:v>
      </x:c>
      <x:c r="J669" s="19" t="n">
        <x:v>2</x:v>
      </x:c>
      <x:c r="K669" s="16" t="str">
        <x:v>7. Very severe deterioration</x:v>
      </x:c>
      <x:c r="L669" s="16" t="str">
        <x:v>Very likely</x:v>
      </x:c>
      <x:c r="M669" s="16" t="str">
        <x:v>Severe</x:v>
      </x:c>
      <x:c r="N669" s="16" t="str">
        <x:v>Urgent</x:v>
      </x:c>
    </x:row>
    <x:row r="670" ht="37" customHeight="1">
      <x:c r="A670" s="16" t="str">
        <x:v>RAW-00664</x:v>
      </x:c>
      <x:c r="B670" s="16" t="str">
        <x:v>Observation</x:v>
      </x:c>
      <x:c r="C670" s="16" t="str">
        <x:v>– Overview of fencing along carport.</x:v>
      </x:c>
      <x:c r="D670" s="16" t="str">
        <x:v>Fencing posts</x:v>
      </x:c>
      <x:c r="E670" s="16" t="str">
        <x:v>SRC-030</x:v>
      </x:c>
      <x:c r="F670" s="16" t="str">
        <x:v>OBS-0427</x:v>
      </x:c>
      <x:c r="G670" s="16" t="str">
        <x:v>审阅或辅助文档</x:v>
      </x:c>
      <x:c r="H670" s="19" t="n">
        <x:v>5</x:v>
      </x:c>
      <x:c r="I670" s="19" t="n">
        <x:v>6</x:v>
      </x:c>
      <x:c r="J670" s="19" t="n">
        <x:v>1</x:v>
      </x:c>
      <x:c r="K670" s="16" t="str">
        <x:v>7. Very severe deterioration</x:v>
      </x:c>
      <x:c r="L670" s="16" t="str">
        <x:v>Very likely</x:v>
      </x:c>
      <x:c r="M670" s="16" t="str">
        <x:v>Moderate</x:v>
      </x:c>
      <x:c r="N670" s="16" t="str">
        <x:v>Critical</x:v>
      </x:c>
    </x:row>
    <x:row r="671" ht="41" customHeight="1">
      <x:c r="A671" s="16" t="str">
        <x:v>RAW-00665</x:v>
      </x:c>
      <x:c r="B671" s="16" t="str">
        <x:v>Observation</x:v>
      </x:c>
      <x:c r="C671" s="16" t="str">
        <x:v>– Fencing along carport. Post has a hole at lower portion of post. Baseplate has severe flaking. corrosion delamination.</x:v>
      </x:c>
      <x:c r="D671" s="16" t="str">
        <x:v>Fencing posts</x:v>
      </x:c>
      <x:c r="E671" s="16" t="str">
        <x:v>SRC-030</x:v>
      </x:c>
      <x:c r="F671" s="16" t="str"/>
      <x:c r="G671" s="16" t="str">
        <x:v>审阅或辅助文档</x:v>
      </x:c>
      <x:c r="H671" s="19" t="n">
        <x:v>5</x:v>
      </x:c>
      <x:c r="I671" s="19" t="n">
        <x:v>7</x:v>
      </x:c>
      <x:c r="J671" s="19" t="n">
        <x:v>1</x:v>
      </x:c>
      <x:c r="K671" s="16" t="str">
        <x:v>7. Very severe deterioration</x:v>
      </x:c>
      <x:c r="L671" s="16" t="str">
        <x:v>Very likely</x:v>
      </x:c>
      <x:c r="M671" s="16" t="str">
        <x:v>Moderate</x:v>
      </x:c>
      <x:c r="N671" s="16" t="str">
        <x:v>Critical</x:v>
      </x:c>
    </x:row>
    <x:row r="672" ht="37" customHeight="1">
      <x:c r="A672" s="16" t="str">
        <x:v>RAW-00666</x:v>
      </x:c>
      <x:c r="B672" s="16" t="str">
        <x:v>Recommendation</x:v>
      </x:c>
      <x:c r="C672" s="16" t="str">
        <x:v>– Replace the post to match existing.</x:v>
      </x:c>
      <x:c r="D672" s="16" t="str">
        <x:v>Fencing posts</x:v>
      </x:c>
      <x:c r="E672" s="16" t="str">
        <x:v>SRC-030</x:v>
      </x:c>
      <x:c r="F672" s="16" t="str">
        <x:v>REC-0021</x:v>
      </x:c>
      <x:c r="G672" s="16" t="str">
        <x:v>审阅或辅助文档</x:v>
      </x:c>
      <x:c r="H672" s="19" t="n">
        <x:v>5</x:v>
      </x:c>
      <x:c r="I672" s="19" t="n">
        <x:v>7</x:v>
      </x:c>
      <x:c r="J672" s="19" t="n">
        <x:v>1</x:v>
      </x:c>
      <x:c r="K672" s="16" t="str">
        <x:v>7. Very severe deterioration</x:v>
      </x:c>
      <x:c r="L672" s="16" t="str">
        <x:v>Very likely</x:v>
      </x:c>
      <x:c r="M672" s="16" t="str">
        <x:v>Moderate</x:v>
      </x:c>
      <x:c r="N672" s="16" t="str">
        <x:v>Critical</x:v>
      </x:c>
    </x:row>
    <x:row r="673" ht="37" customHeight="1">
      <x:c r="A673" s="16" t="str">
        <x:v>RAW-00667</x:v>
      </x:c>
      <x:c r="B673" s="16" t="str">
        <x:v>Observation</x:v>
      </x:c>
      <x:c r="C673" s="16" t="str">
        <x:v>– Fencing along carport. Post base has hole at the base.</x:v>
      </x:c>
      <x:c r="D673" s="16" t="str">
        <x:v>Fencing posts</x:v>
      </x:c>
      <x:c r="E673" s="16" t="str">
        <x:v>SRC-030</x:v>
      </x:c>
      <x:c r="F673" s="16" t="str">
        <x:v>OBS-0259</x:v>
      </x:c>
      <x:c r="G673" s="16" t="str">
        <x:v>审阅或辅助文档</x:v>
      </x:c>
      <x:c r="H673" s="19" t="n">
        <x:v>5</x:v>
      </x:c>
      <x:c r="I673" s="19" t="n">
        <x:v>8</x:v>
      </x:c>
      <x:c r="J673" s="19" t="n">
        <x:v>1</x:v>
      </x:c>
      <x:c r="K673" s="16" t="str">
        <x:v>7. Very severe deterioration</x:v>
      </x:c>
      <x:c r="L673" s="16" t="str">
        <x:v>Very likely</x:v>
      </x:c>
      <x:c r="M673" s="16" t="str">
        <x:v>Moderate</x:v>
      </x:c>
      <x:c r="N673" s="16" t="str">
        <x:v>Critical</x:v>
      </x:c>
    </x:row>
    <x:row r="674" ht="37" customHeight="1">
      <x:c r="A674" s="16" t="str">
        <x:v>RAW-00668</x:v>
      </x:c>
      <x:c r="B674" s="16" t="str">
        <x:v>Recommendation</x:v>
      </x:c>
      <x:c r="C674" s="16" t="str">
        <x:v>– Replace the post to match existing.</x:v>
      </x:c>
      <x:c r="D674" s="16" t="str">
        <x:v>Fencing posts</x:v>
      </x:c>
      <x:c r="E674" s="16" t="str">
        <x:v>SRC-030</x:v>
      </x:c>
      <x:c r="F674" s="16" t="str">
        <x:v>REC-0021</x:v>
      </x:c>
      <x:c r="G674" s="16" t="str">
        <x:v>审阅或辅助文档</x:v>
      </x:c>
      <x:c r="H674" s="19" t="n">
        <x:v>5</x:v>
      </x:c>
      <x:c r="I674" s="19" t="n">
        <x:v>8</x:v>
      </x:c>
      <x:c r="J674" s="19" t="n">
        <x:v>1</x:v>
      </x:c>
      <x:c r="K674" s="16" t="str">
        <x:v>7. Very severe deterioration</x:v>
      </x:c>
      <x:c r="L674" s="16" t="str">
        <x:v>Very likely</x:v>
      </x:c>
      <x:c r="M674" s="16" t="str">
        <x:v>Moderate</x:v>
      </x:c>
      <x:c r="N674" s="16" t="str">
        <x:v>Critical</x:v>
      </x:c>
    </x:row>
    <x:row r="675" ht="37" customHeight="1">
      <x:c r="A675" s="16" t="str">
        <x:v>RAW-00669</x:v>
      </x:c>
      <x:c r="B675" s="16" t="str">
        <x:v>Observation</x:v>
      </x:c>
      <x:c r="C675" s="16" t="str">
        <x:v>– Fencing along carport. Significant corrosion at lower portion of post.</x:v>
      </x:c>
      <x:c r="D675" s="16" t="str">
        <x:v>Fencing posts</x:v>
      </x:c>
      <x:c r="E675" s="16" t="str">
        <x:v>SRC-030</x:v>
      </x:c>
      <x:c r="F675" s="16" t="str">
        <x:v>OBS-0262</x:v>
      </x:c>
      <x:c r="G675" s="16" t="str">
        <x:v>审阅或辅助文档</x:v>
      </x:c>
      <x:c r="H675" s="19" t="n">
        <x:v>5</x:v>
      </x:c>
      <x:c r="I675" s="19" t="n">
        <x:v>9</x:v>
      </x:c>
      <x:c r="J675" s="19" t="n">
        <x:v>1</x:v>
      </x:c>
      <x:c r="K675" s="16" t="str">
        <x:v>7. Very severe deterioration</x:v>
      </x:c>
      <x:c r="L675" s="16" t="str">
        <x:v>Very likely</x:v>
      </x:c>
      <x:c r="M675" s="16" t="str">
        <x:v>Moderate</x:v>
      </x:c>
      <x:c r="N675" s="16" t="str">
        <x:v>Critical</x:v>
      </x:c>
    </x:row>
    <x:row r="676" ht="37" customHeight="1">
      <x:c r="A676" s="16" t="str">
        <x:v>RAW-00670</x:v>
      </x:c>
      <x:c r="B676" s="16" t="str">
        <x:v>Recommendation</x:v>
      </x:c>
      <x:c r="C676" s="16" t="str">
        <x:v>– Clean, wire brush and repaint.</x:v>
      </x:c>
      <x:c r="D676" s="16" t="str">
        <x:v>Fencing posts</x:v>
      </x:c>
      <x:c r="E676" s="16" t="str">
        <x:v>SRC-030</x:v>
      </x:c>
      <x:c r="F676" s="16" t="str">
        <x:v>REC-0001</x:v>
      </x:c>
      <x:c r="G676" s="16" t="str">
        <x:v>审阅或辅助文档</x:v>
      </x:c>
      <x:c r="H676" s="19" t="n">
        <x:v>5</x:v>
      </x:c>
      <x:c r="I676" s="19" t="n">
        <x:v>9</x:v>
      </x:c>
      <x:c r="J676" s="19" t="n">
        <x:v>1</x:v>
      </x:c>
      <x:c r="K676" s="16" t="str">
        <x:v>7. Very severe deterioration</x:v>
      </x:c>
      <x:c r="L676" s="16" t="str">
        <x:v>Very likely</x:v>
      </x:c>
      <x:c r="M676" s="16" t="str">
        <x:v>Moderate</x:v>
      </x:c>
      <x:c r="N676" s="16" t="str">
        <x:v>Critical</x:v>
      </x:c>
    </x:row>
    <x:row r="677" ht="37" customHeight="1">
      <x:c r="A677" s="16" t="str">
        <x:v>RAW-00671</x:v>
      </x:c>
      <x:c r="B677" s="16" t="str">
        <x:v>Observation</x:v>
      </x:c>
      <x:c r="C677" s="16" t="str">
        <x:v>– Fencing along carport. Post has been rusted and a hole at the base.</x:v>
      </x:c>
      <x:c r="D677" s="16" t="str">
        <x:v>Fencing posts</x:v>
      </x:c>
      <x:c r="E677" s="16" t="str">
        <x:v>SRC-030</x:v>
      </x:c>
      <x:c r="F677" s="16" t="str">
        <x:v>OBS-0261</x:v>
      </x:c>
      <x:c r="G677" s="16" t="str">
        <x:v>审阅或辅助文档</x:v>
      </x:c>
      <x:c r="H677" s="19" t="n">
        <x:v>5</x:v>
      </x:c>
      <x:c r="I677" s="19" t="n">
        <x:v>10</x:v>
      </x:c>
      <x:c r="J677" s="19" t="n">
        <x:v>2</x:v>
      </x:c>
      <x:c r="K677" s="16" t="str">
        <x:v>7. Very severe deterioration</x:v>
      </x:c>
      <x:c r="L677" s="16" t="str">
        <x:v>Very likely</x:v>
      </x:c>
      <x:c r="M677" s="16" t="str">
        <x:v>Moderate</x:v>
      </x:c>
      <x:c r="N677" s="16" t="str">
        <x:v>Critical</x:v>
      </x:c>
    </x:row>
    <x:row r="678" ht="37" customHeight="1">
      <x:c r="A678" s="16" t="str">
        <x:v>RAW-00672</x:v>
      </x:c>
      <x:c r="B678" s="16" t="str">
        <x:v>Recommendation</x:v>
      </x:c>
      <x:c r="C678" s="16" t="str">
        <x:v>– Replace the post to match existing.</x:v>
      </x:c>
      <x:c r="D678" s="16" t="str">
        <x:v>Fencing posts</x:v>
      </x:c>
      <x:c r="E678" s="16" t="str">
        <x:v>SRC-030</x:v>
      </x:c>
      <x:c r="F678" s="16" t="str">
        <x:v>REC-0021</x:v>
      </x:c>
      <x:c r="G678" s="16" t="str">
        <x:v>审阅或辅助文档</x:v>
      </x:c>
      <x:c r="H678" s="19" t="n">
        <x:v>5</x:v>
      </x:c>
      <x:c r="I678" s="19" t="n">
        <x:v>10</x:v>
      </x:c>
      <x:c r="J678" s="19" t="n">
        <x:v>2</x:v>
      </x:c>
      <x:c r="K678" s="16" t="str">
        <x:v>7. Very severe deterioration</x:v>
      </x:c>
      <x:c r="L678" s="16" t="str">
        <x:v>Very likely</x:v>
      </x:c>
      <x:c r="M678" s="16" t="str">
        <x:v>Moderate</x:v>
      </x:c>
      <x:c r="N678" s="16" t="str">
        <x:v>Critical</x:v>
      </x:c>
    </x:row>
    <x:row r="679" ht="41" customHeight="1">
      <x:c r="A679" s="16" t="str">
        <x:v>RAW-00673</x:v>
      </x:c>
      <x:c r="B679" s="16" t="str">
        <x:v>Observation</x:v>
      </x:c>
      <x:c r="C679" s="16" t="str">
        <x:v>– East side corner in the front of house. Top hats and Tek screws have been rusted and no longer fully fulfill their structural function.</x:v>
      </x:c>
      <x:c r="D679" s="16" t="str">
        <x:v>Top hat purlins and Tek screws</x:v>
      </x:c>
      <x:c r="E679" s="16" t="str">
        <x:v>SRC-030</x:v>
      </x:c>
      <x:c r="F679" s="16" t="str"/>
      <x:c r="G679" s="16" t="str">
        <x:v>审阅或辅助文档</x:v>
      </x:c>
      <x:c r="H679" s="19" t="n">
        <x:v>6</x:v>
      </x:c>
      <x:c r="I679" s="19" t="n">
        <x:v>6</x:v>
      </x:c>
      <x:c r="J679" s="19" t="n">
        <x:v>2</x:v>
      </x:c>
      <x:c r="K679" s="16" t="str">
        <x:v>7. Very severe deterioration</x:v>
      </x:c>
      <x:c r="L679" s="16" t="str">
        <x:v>Very likely</x:v>
      </x:c>
      <x:c r="M679" s="16" t="str">
        <x:v>Moderate. Recommended to be replaced prior to cyclonic season.</x:v>
      </x:c>
      <x:c r="N679" s="16" t="str">
        <x:v>Critical</x:v>
      </x:c>
    </x:row>
    <x:row r="680" ht="41" customHeight="1">
      <x:c r="A680" s="16" t="str">
        <x:v>RAW-00674</x:v>
      </x:c>
      <x:c r="B680" s="16" t="str">
        <x:v>Recommendation</x:v>
      </x:c>
      <x:c r="C680" s="16" t="str">
        <x:v>– Clean the rust and paint with cold galvanise coating where it is possible. Replace top hat purlins and screws that have been rusted through.</x:v>
      </x:c>
      <x:c r="D680" s="16" t="str">
        <x:v>Top hat purlins and Tek screws</x:v>
      </x:c>
      <x:c r="E680" s="16" t="str">
        <x:v>SRC-030</x:v>
      </x:c>
      <x:c r="F680" s="16" t="str">
        <x:v>REC-0061</x:v>
      </x:c>
      <x:c r="G680" s="16" t="str">
        <x:v>审阅或辅助文档</x:v>
      </x:c>
      <x:c r="H680" s="19" t="n">
        <x:v>6</x:v>
      </x:c>
      <x:c r="I680" s="19" t="n">
        <x:v>6</x:v>
      </x:c>
      <x:c r="J680" s="19" t="n">
        <x:v>2</x:v>
      </x:c>
      <x:c r="K680" s="16" t="str">
        <x:v>7. Very severe deterioration</x:v>
      </x:c>
      <x:c r="L680" s="16" t="str">
        <x:v>Very likely</x:v>
      </x:c>
      <x:c r="M680" s="16" t="str">
        <x:v>Moderate. Recommended to be replaced prior to cyclonic season.</x:v>
      </x:c>
      <x:c r="N680" s="16" t="str">
        <x:v>Critical</x:v>
      </x:c>
    </x:row>
    <x:row r="681" ht="41" customHeight="1">
      <x:c r="A681" s="16" t="str">
        <x:v>RAW-00675</x:v>
      </x:c>
      <x:c r="B681" s="16" t="str">
        <x:v>Observation</x:v>
      </x:c>
      <x:c r="C681" s="16" t="str">
        <x:v>– Wall facing the Lukis Street. Minor corrosion of tap hats to the entire length.</x:v>
      </x:c>
      <x:c r="D681" s="16" t="str">
        <x:v>Top hat purlins and Tek screws</x:v>
      </x:c>
      <x:c r="E681" s="16" t="str">
        <x:v>SRC-030</x:v>
      </x:c>
      <x:c r="F681" s="16" t="str">
        <x:v>OBS-0603</x:v>
      </x:c>
      <x:c r="G681" s="16" t="str">
        <x:v>审阅或辅助文档</x:v>
      </x:c>
      <x:c r="H681" s="19" t="n">
        <x:v>6</x:v>
      </x:c>
      <x:c r="I681" s="19" t="n">
        <x:v>7</x:v>
      </x:c>
      <x:c r="J681" s="19" t="n">
        <x:v>1</x:v>
      </x:c>
      <x:c r="K681" s="16" t="str">
        <x:v>7. Very severe deterioration</x:v>
      </x:c>
      <x:c r="L681" s="16" t="str">
        <x:v>Very likely</x:v>
      </x:c>
      <x:c r="M681" s="16" t="str">
        <x:v>Moderate. Recommended to be replaced prior to cyclonic season.</x:v>
      </x:c>
      <x:c r="N681" s="16" t="str">
        <x:v>Critical</x:v>
      </x:c>
    </x:row>
    <x:row r="682" ht="41" customHeight="1">
      <x:c r="A682" s="16" t="str">
        <x:v>RAW-00676</x:v>
      </x:c>
      <x:c r="B682" s="16" t="str">
        <x:v>Recommendation</x:v>
      </x:c>
      <x:c r="C682" s="16" t="str">
        <x:v>– Clean, wire brush, and paint with cold galvanise coating. Replace all corroded Tek screws.</x:v>
      </x:c>
      <x:c r="D682" s="16" t="str">
        <x:v>Top hat purlins and Tek screws</x:v>
      </x:c>
      <x:c r="E682" s="16" t="str">
        <x:v>SRC-030</x:v>
      </x:c>
      <x:c r="F682" s="16" t="str">
        <x:v>REC-0028</x:v>
      </x:c>
      <x:c r="G682" s="16" t="str">
        <x:v>审阅或辅助文档</x:v>
      </x:c>
      <x:c r="H682" s="19" t="n">
        <x:v>6</x:v>
      </x:c>
      <x:c r="I682" s="19" t="n">
        <x:v>7</x:v>
      </x:c>
      <x:c r="J682" s="19" t="n">
        <x:v>1</x:v>
      </x:c>
      <x:c r="K682" s="16" t="str">
        <x:v>7. Very severe deterioration</x:v>
      </x:c>
      <x:c r="L682" s="16" t="str">
        <x:v>Very likely</x:v>
      </x:c>
      <x:c r="M682" s="16" t="str">
        <x:v>Moderate. Recommended to be replaced prior to cyclonic season.</x:v>
      </x:c>
      <x:c r="N682" s="16" t="str">
        <x:v>Critical</x:v>
      </x:c>
    </x:row>
    <x:row r="683" ht="41" customHeight="1">
      <x:c r="A683" s="16" t="str">
        <x:v>RAW-00677</x:v>
      </x:c>
      <x:c r="B683" s="16" t="str">
        <x:v>Observation</x:v>
      </x:c>
      <x:c r="C683" s="16" t="str">
        <x:v>– At west side of house, minor corrosion of tap hats to the entire length. Minor surface corrosion of rectangular hollow section rafters.</x:v>
      </x:c>
      <x:c r="D683" s="16" t="str">
        <x:v>Top hat purlins and Tek screws</x:v>
      </x:c>
      <x:c r="E683" s="16" t="str">
        <x:v>SRC-030</x:v>
      </x:c>
      <x:c r="F683" s="16" t="str">
        <x:v>OBS-0097</x:v>
      </x:c>
      <x:c r="G683" s="16" t="str">
        <x:v>审阅或辅助文档</x:v>
      </x:c>
      <x:c r="H683" s="19" t="n">
        <x:v>6</x:v>
      </x:c>
      <x:c r="I683" s="19" t="n">
        <x:v>8</x:v>
      </x:c>
      <x:c r="J683" s="19" t="n">
        <x:v>2</x:v>
      </x:c>
      <x:c r="K683" s="16" t="str">
        <x:v>7. Very severe deterioration</x:v>
      </x:c>
      <x:c r="L683" s="16" t="str">
        <x:v>Very likely</x:v>
      </x:c>
      <x:c r="M683" s="16" t="str">
        <x:v>Moderate. Recommended to be replaced prior to cyclonic season.</x:v>
      </x:c>
      <x:c r="N683" s="16" t="str">
        <x:v>Critical</x:v>
      </x:c>
    </x:row>
    <x:row r="684" ht="41" customHeight="1">
      <x:c r="A684" s="16" t="str">
        <x:v>RAW-00678</x:v>
      </x:c>
      <x:c r="B684" s="16" t="str">
        <x:v>Recommendation</x:v>
      </x:c>
      <x:c r="C684" s="16" t="str">
        <x:v>– Clean, wire brush, and paint with cold galvanise coating. Replace all corroded Tek screws.</x:v>
      </x:c>
      <x:c r="D684" s="16" t="str">
        <x:v>Top hat purlins and Tek screws</x:v>
      </x:c>
      <x:c r="E684" s="16" t="str">
        <x:v>SRC-030</x:v>
      </x:c>
      <x:c r="F684" s="16" t="str">
        <x:v>REC-0028</x:v>
      </x:c>
      <x:c r="G684" s="16" t="str">
        <x:v>审阅或辅助文档</x:v>
      </x:c>
      <x:c r="H684" s="19" t="n">
        <x:v>6</x:v>
      </x:c>
      <x:c r="I684" s="19" t="n">
        <x:v>8</x:v>
      </x:c>
      <x:c r="J684" s="19" t="n">
        <x:v>2</x:v>
      </x:c>
      <x:c r="K684" s="16" t="str">
        <x:v>7. Very severe deterioration</x:v>
      </x:c>
      <x:c r="L684" s="16" t="str">
        <x:v>Very likely</x:v>
      </x:c>
      <x:c r="M684" s="16" t="str">
        <x:v>Moderate. Recommended to be replaced prior to cyclonic season.</x:v>
      </x:c>
      <x:c r="N684" s="16" t="str">
        <x:v>Critical</x:v>
      </x:c>
    </x:row>
    <x:row r="685" ht="37" customHeight="1">
      <x:c r="A685" s="16" t="str">
        <x:v>RAW-00679</x:v>
      </x:c>
      <x:c r="B685" s="16" t="str">
        <x:v>Observation</x:v>
      </x:c>
      <x:c r="C685" s="16" t="str">
        <x:v>– Overview of gutter collecting water from verandah and house.</x:v>
      </x:c>
      <x:c r="D685" s="16" t="str">
        <x:v>Gutter</x:v>
      </x:c>
      <x:c r="E685" s="16" t="str">
        <x:v>SRC-030</x:v>
      </x:c>
      <x:c r="F685" s="16" t="str">
        <x:v>OBS-0432</x:v>
      </x:c>
      <x:c r="G685" s="16" t="str">
        <x:v>审阅或辅助文档</x:v>
      </x:c>
      <x:c r="H685" s="19" t="n">
        <x:v>7</x:v>
      </x:c>
      <x:c r="I685" s="19" t="n">
        <x:v>6</x:v>
      </x:c>
      <x:c r="J685" s="19" t="n">
        <x:v>1</x:v>
      </x:c>
      <x:c r="K685" s="16" t="str">
        <x:v>7. Very severe deterioration</x:v>
      </x:c>
      <x:c r="L685" s="16" t="str">
        <x:v>Very likely</x:v>
      </x:c>
      <x:c r="M685" s="16" t="str">
        <x:v>Minor</x:v>
      </x:c>
      <x:c r="N685" s="16" t="str">
        <x:v>High</x:v>
      </x:c>
    </x:row>
    <x:row r="686" ht="37" customHeight="1">
      <x:c r="A686" s="16" t="str">
        <x:v>RAW-00680</x:v>
      </x:c>
      <x:c r="B686" s="16" t="str">
        <x:v>Observation</x:v>
      </x:c>
      <x:c r="C686" s="16" t="str">
        <x:v>– Gutter flaking has corrosion delamination resulting in significant loss of section.</x:v>
      </x:c>
      <x:c r="D686" s="16" t="str">
        <x:v>Gutter</x:v>
      </x:c>
      <x:c r="E686" s="16" t="str">
        <x:v>SRC-030</x:v>
      </x:c>
      <x:c r="F686" s="16" t="str"/>
      <x:c r="G686" s="16" t="str">
        <x:v>审阅或辅助文档</x:v>
      </x:c>
      <x:c r="H686" s="19" t="n">
        <x:v>7</x:v>
      </x:c>
      <x:c r="I686" s="19" t="n">
        <x:v>7</x:v>
      </x:c>
      <x:c r="J686" s="19" t="n">
        <x:v>1</x:v>
      </x:c>
      <x:c r="K686" s="16" t="str">
        <x:v>7. Very severe deterioration</x:v>
      </x:c>
      <x:c r="L686" s="16" t="str">
        <x:v>Very likely</x:v>
      </x:c>
      <x:c r="M686" s="16" t="str">
        <x:v>Minor</x:v>
      </x:c>
      <x:c r="N686" s="16" t="str">
        <x:v>High</x:v>
      </x:c>
    </x:row>
    <x:row r="687" ht="37" customHeight="1">
      <x:c r="A687" s="16" t="str">
        <x:v>RAW-00681</x:v>
      </x:c>
      <x:c r="B687" s="16" t="str">
        <x:v>Recommendation</x:v>
      </x:c>
      <x:c r="C687" s="16" t="str">
        <x:v>– Replace the gutter completely to match existing.</x:v>
      </x:c>
      <x:c r="D687" s="16" t="str">
        <x:v>Gutter</x:v>
      </x:c>
      <x:c r="E687" s="16" t="str">
        <x:v>SRC-030</x:v>
      </x:c>
      <x:c r="F687" s="16" t="str">
        <x:v>REC-0020</x:v>
      </x:c>
      <x:c r="G687" s="16" t="str">
        <x:v>审阅或辅助文档</x:v>
      </x:c>
      <x:c r="H687" s="19" t="n">
        <x:v>7</x:v>
      </x:c>
      <x:c r="I687" s="19" t="n">
        <x:v>7</x:v>
      </x:c>
      <x:c r="J687" s="19" t="n">
        <x:v>1</x:v>
      </x:c>
      <x:c r="K687" s="16" t="str">
        <x:v>7. Very severe deterioration</x:v>
      </x:c>
      <x:c r="L687" s="16" t="str">
        <x:v>Very likely</x:v>
      </x:c>
      <x:c r="M687" s="16" t="str">
        <x:v>Minor</x:v>
      </x:c>
      <x:c r="N687" s="16" t="str">
        <x:v>High</x:v>
      </x:c>
    </x:row>
    <x:row r="688" ht="41" customHeight="1">
      <x:c r="A688" s="16" t="str">
        <x:v>RAW-00682</x:v>
      </x:c>
      <x:c r="B688" s="16" t="str">
        <x:v>Observation</x:v>
      </x:c>
      <x:c r="C688" s="16" t="str">
        <x:v>– Rectangular protrusion opening in the gutter possibly for a downpipe. The gutter is not redirecting water away from columns causing columns to corrode.</x:v>
      </x:c>
      <x:c r="D688" s="16" t="str">
        <x:v>Gutter</x:v>
      </x:c>
      <x:c r="E688" s="16" t="str">
        <x:v>SRC-030</x:v>
      </x:c>
      <x:c r="F688" s="16" t="str"/>
      <x:c r="G688" s="16" t="str">
        <x:v>审阅或辅助文档</x:v>
      </x:c>
      <x:c r="H688" s="19" t="n">
        <x:v>7</x:v>
      </x:c>
      <x:c r="I688" s="19" t="n">
        <x:v>8</x:v>
      </x:c>
      <x:c r="J688" s="19" t="n">
        <x:v>1</x:v>
      </x:c>
      <x:c r="K688" s="16" t="str">
        <x:v>7. Very severe deterioration</x:v>
      </x:c>
      <x:c r="L688" s="16" t="str">
        <x:v>Very likely</x:v>
      </x:c>
      <x:c r="M688" s="16" t="str">
        <x:v>Minor</x:v>
      </x:c>
      <x:c r="N688" s="16" t="str">
        <x:v>High</x:v>
      </x:c>
    </x:row>
    <x:row r="689" ht="37" customHeight="1">
      <x:c r="A689" s="16" t="str">
        <x:v>RAW-00683</x:v>
      </x:c>
      <x:c r="B689" s="16" t="str">
        <x:v>Recommendation</x:v>
      </x:c>
      <x:c r="C689" s="16" t="str">
        <x:v>– Replace the gutter completely to match existing.</x:v>
      </x:c>
      <x:c r="D689" s="16" t="str">
        <x:v>Gutter</x:v>
      </x:c>
      <x:c r="E689" s="16" t="str">
        <x:v>SRC-030</x:v>
      </x:c>
      <x:c r="F689" s="16" t="str">
        <x:v>REC-0020</x:v>
      </x:c>
      <x:c r="G689" s="16" t="str">
        <x:v>审阅或辅助文档</x:v>
      </x:c>
      <x:c r="H689" s="19" t="n">
        <x:v>7</x:v>
      </x:c>
      <x:c r="I689" s="19" t="n">
        <x:v>8</x:v>
      </x:c>
      <x:c r="J689" s="19" t="n">
        <x:v>1</x:v>
      </x:c>
      <x:c r="K689" s="16" t="str">
        <x:v>7. Very severe deterioration</x:v>
      </x:c>
      <x:c r="L689" s="16" t="str">
        <x:v>Very likely</x:v>
      </x:c>
      <x:c r="M689" s="16" t="str">
        <x:v>Minor</x:v>
      </x:c>
      <x:c r="N689" s="16" t="str">
        <x:v>High</x:v>
      </x:c>
    </x:row>
    <x:row r="690" ht="41" customHeight="1">
      <x:c r="A690" s="16" t="str">
        <x:v>RAW-00684</x:v>
      </x:c>
      <x:c r="B690" s="16" t="str">
        <x:v>Observation</x:v>
      </x:c>
      <x:c r="C690" s="16" t="str">
        <x:v>– Side wall of gutter has holes along length. The gutter is not redirecting water away from columns causing columns to corrode.</x:v>
      </x:c>
      <x:c r="D690" s="16" t="str">
        <x:v>Gutter</x:v>
      </x:c>
      <x:c r="E690" s="16" t="str">
        <x:v>SRC-030</x:v>
      </x:c>
      <x:c r="F690" s="16" t="str">
        <x:v>OBS-0571</x:v>
      </x:c>
      <x:c r="G690" s="16" t="str">
        <x:v>审阅或辅助文档</x:v>
      </x:c>
      <x:c r="H690" s="19" t="n">
        <x:v>7</x:v>
      </x:c>
      <x:c r="I690" s="19" t="n">
        <x:v>9</x:v>
      </x:c>
      <x:c r="J690" s="19" t="n">
        <x:v>1</x:v>
      </x:c>
      <x:c r="K690" s="16" t="str">
        <x:v>7. Very severe deterioration</x:v>
      </x:c>
      <x:c r="L690" s="16" t="str">
        <x:v>Very likely</x:v>
      </x:c>
      <x:c r="M690" s="16" t="str">
        <x:v>Minor</x:v>
      </x:c>
      <x:c r="N690" s="16" t="str">
        <x:v>High</x:v>
      </x:c>
    </x:row>
    <x:row r="691" ht="37" customHeight="1">
      <x:c r="A691" s="16" t="str">
        <x:v>RAW-00685</x:v>
      </x:c>
      <x:c r="B691" s="16" t="str">
        <x:v>Recommendation</x:v>
      </x:c>
      <x:c r="C691" s="16" t="str">
        <x:v>– Replace the gutter completely to match existing.</x:v>
      </x:c>
      <x:c r="D691" s="16" t="str">
        <x:v>Gutter</x:v>
      </x:c>
      <x:c r="E691" s="16" t="str">
        <x:v>SRC-030</x:v>
      </x:c>
      <x:c r="F691" s="16" t="str">
        <x:v>REC-0020</x:v>
      </x:c>
      <x:c r="G691" s="16" t="str">
        <x:v>审阅或辅助文档</x:v>
      </x:c>
      <x:c r="H691" s="19" t="n">
        <x:v>7</x:v>
      </x:c>
      <x:c r="I691" s="19" t="n">
        <x:v>9</x:v>
      </x:c>
      <x:c r="J691" s="19" t="n">
        <x:v>1</x:v>
      </x:c>
      <x:c r="K691" s="16" t="str">
        <x:v>7. Very severe deterioration</x:v>
      </x:c>
      <x:c r="L691" s="16" t="str">
        <x:v>Very likely</x:v>
      </x:c>
      <x:c r="M691" s="16" t="str">
        <x:v>Minor</x:v>
      </x:c>
      <x:c r="N691" s="16" t="str">
        <x:v>High</x:v>
      </x:c>
    </x:row>
    <x:row r="692" ht="37" customHeight="1">
      <x:c r="A692" s="16" t="str">
        <x:v>RAW-00686</x:v>
      </x:c>
      <x:c r="B692" s="16" t="str">
        <x:v>Observation</x:v>
      </x:c>
      <x:c r="C692" s="16" t="str">
        <x:v>– Overview of carport.</x:v>
      </x:c>
      <x:c r="D692" s="16" t="str">
        <x:v>Carport column baseplate</x:v>
      </x:c>
      <x:c r="E692" s="16" t="str">
        <x:v>SRC-030</x:v>
      </x:c>
      <x:c r="F692" s="16" t="str">
        <x:v>OBS-0072</x:v>
      </x:c>
      <x:c r="G692" s="16" t="str">
        <x:v>审阅或辅助文档</x:v>
      </x:c>
      <x:c r="H692" s="19" t="n">
        <x:v>8</x:v>
      </x:c>
      <x:c r="I692" s="19" t="n">
        <x:v>6</x:v>
      </x:c>
      <x:c r="J692" s="19" t="n">
        <x:v>1</x:v>
      </x:c>
      <x:c r="K692" s="16" t="str">
        <x:v>3. Minor deterioration</x:v>
      </x:c>
      <x:c r="L692" s="16" t="str">
        <x:v>Unlikely</x:v>
      </x:c>
      <x:c r="M692" s="16" t="str">
        <x:v>Significant</x:v>
      </x:c>
      <x:c r="N692" s="16" t="str">
        <x:v>Moderate</x:v>
      </x:c>
    </x:row>
    <x:row r="693" ht="37" customHeight="1">
      <x:c r="A693" s="16" t="str">
        <x:v>RAW-00687</x:v>
      </x:c>
      <x:c r="B693" s="16" t="str">
        <x:v>Observation</x:v>
      </x:c>
      <x:c r="C693" s="16" t="str">
        <x:v>– Edge column C5.6 has minor corrosion at baseplate and anchors.</x:v>
      </x:c>
      <x:c r="D693" s="16" t="str">
        <x:v>Carport column baseplate</x:v>
      </x:c>
      <x:c r="E693" s="16" t="str">
        <x:v>SRC-030</x:v>
      </x:c>
      <x:c r="F693" s="16" t="str">
        <x:v>OBS-0256</x:v>
      </x:c>
      <x:c r="G693" s="16" t="str">
        <x:v>审阅或辅助文档</x:v>
      </x:c>
      <x:c r="H693" s="19" t="n">
        <x:v>8</x:v>
      </x:c>
      <x:c r="I693" s="19" t="n">
        <x:v>7</x:v>
      </x:c>
      <x:c r="J693" s="19" t="n">
        <x:v>1</x:v>
      </x:c>
      <x:c r="K693" s="16" t="str">
        <x:v>3. Minor deterioration</x:v>
      </x:c>
      <x:c r="L693" s="16" t="str">
        <x:v>Unlikely</x:v>
      </x:c>
      <x:c r="M693" s="16" t="str">
        <x:v>Significant</x:v>
      </x:c>
      <x:c r="N693" s="16" t="str">
        <x:v>Moderate</x:v>
      </x:c>
    </x:row>
    <x:row r="694" ht="37" customHeight="1">
      <x:c r="A694" s="16" t="str">
        <x:v>RAW-00688</x:v>
      </x:c>
      <x:c r="B694" s="16" t="str">
        <x:v>Recommendation</x:v>
      </x:c>
      <x:c r="C694" s="16" t="str">
        <x:v>– Remove the rust, clean, wire brush and repaint.</x:v>
      </x:c>
      <x:c r="D694" s="16" t="str">
        <x:v>Carport column baseplate</x:v>
      </x:c>
      <x:c r="E694" s="16" t="str">
        <x:v>SRC-030</x:v>
      </x:c>
      <x:c r="F694" s="16" t="str">
        <x:v>REC-0038</x:v>
      </x:c>
      <x:c r="G694" s="16" t="str">
        <x:v>审阅或辅助文档</x:v>
      </x:c>
      <x:c r="H694" s="19" t="n">
        <x:v>8</x:v>
      </x:c>
      <x:c r="I694" s="19" t="n">
        <x:v>7</x:v>
      </x:c>
      <x:c r="J694" s="19" t="n">
        <x:v>1</x:v>
      </x:c>
      <x:c r="K694" s="16" t="str">
        <x:v>3. Minor deterioration</x:v>
      </x:c>
      <x:c r="L694" s="16" t="str">
        <x:v>Unlikely</x:v>
      </x:c>
      <x:c r="M694" s="16" t="str">
        <x:v>Significant</x:v>
      </x:c>
      <x:c r="N694" s="16" t="str">
        <x:v>Moderate</x:v>
      </x:c>
    </x:row>
    <x:row r="695" ht="37" customHeight="1">
      <x:c r="A695" s="16" t="str">
        <x:v>RAW-00689</x:v>
      </x:c>
      <x:c r="B695" s="16" t="str">
        <x:v>Observation</x:v>
      </x:c>
      <x:c r="C695" s="16" t="str">
        <x:v>– Edge column C6.5 has minor corrosion at baseplate.</x:v>
      </x:c>
      <x:c r="D695" s="16" t="str">
        <x:v>Carport column baseplate</x:v>
      </x:c>
      <x:c r="E695" s="16" t="str">
        <x:v>SRC-030</x:v>
      </x:c>
      <x:c r="F695" s="16" t="str">
        <x:v>OBS-0257</x:v>
      </x:c>
      <x:c r="G695" s="16" t="str">
        <x:v>审阅或辅助文档</x:v>
      </x:c>
      <x:c r="H695" s="19" t="n">
        <x:v>8</x:v>
      </x:c>
      <x:c r="I695" s="19" t="n">
        <x:v>8</x:v>
      </x:c>
      <x:c r="J695" s="19" t="n">
        <x:v>1</x:v>
      </x:c>
      <x:c r="K695" s="16" t="str">
        <x:v>3. Minor deterioration</x:v>
      </x:c>
      <x:c r="L695" s="16" t="str">
        <x:v>Unlikely</x:v>
      </x:c>
      <x:c r="M695" s="16" t="str">
        <x:v>Significant</x:v>
      </x:c>
      <x:c r="N695" s="16" t="str">
        <x:v>Moderate</x:v>
      </x:c>
    </x:row>
    <x:row r="696" ht="37" customHeight="1">
      <x:c r="A696" s="16" t="str">
        <x:v>RAW-00690</x:v>
      </x:c>
      <x:c r="B696" s="16" t="str">
        <x:v>Recommendation</x:v>
      </x:c>
      <x:c r="C696" s="16" t="str">
        <x:v>– Remove the rust, clean, wire brush and repaint.</x:v>
      </x:c>
      <x:c r="D696" s="16" t="str">
        <x:v>Carport column baseplate</x:v>
      </x:c>
      <x:c r="E696" s="16" t="str">
        <x:v>SRC-030</x:v>
      </x:c>
      <x:c r="F696" s="16" t="str">
        <x:v>REC-0038</x:v>
      </x:c>
      <x:c r="G696" s="16" t="str">
        <x:v>审阅或辅助文档</x:v>
      </x:c>
      <x:c r="H696" s="19" t="n">
        <x:v>8</x:v>
      </x:c>
      <x:c r="I696" s="19" t="n">
        <x:v>8</x:v>
      </x:c>
      <x:c r="J696" s="19" t="n">
        <x:v>1</x:v>
      </x:c>
      <x:c r="K696" s="16" t="str">
        <x:v>3. Minor deterioration</x:v>
      </x:c>
      <x:c r="L696" s="16" t="str">
        <x:v>Unlikely</x:v>
      </x:c>
      <x:c r="M696" s="16" t="str">
        <x:v>Significant</x:v>
      </x:c>
      <x:c r="N696" s="16" t="str">
        <x:v>Moderate</x:v>
      </x:c>
    </x:row>
    <x:row r="697" ht="37" customHeight="1">
      <x:c r="A697" s="16" t="str">
        <x:v>RAW-00691</x:v>
      </x:c>
      <x:c r="B697" s="16" t="str">
        <x:v>Observation</x:v>
      </x:c>
      <x:c r="C697" s="16" t="str">
        <x:v>– Column C5.4 has Flaking corrosion delamination.</x:v>
      </x:c>
      <x:c r="D697" s="16" t="str">
        <x:v>Carport column baseplate</x:v>
      </x:c>
      <x:c r="E697" s="16" t="str">
        <x:v>SRC-030</x:v>
      </x:c>
      <x:c r="F697" s="16" t="str"/>
      <x:c r="G697" s="16" t="str">
        <x:v>审阅或辅助文档</x:v>
      </x:c>
      <x:c r="H697" s="19" t="n">
        <x:v>8</x:v>
      </x:c>
      <x:c r="I697" s="19" t="n">
        <x:v>9</x:v>
      </x:c>
      <x:c r="J697" s="19" t="n">
        <x:v>1</x:v>
      </x:c>
      <x:c r="K697" s="16" t="str">
        <x:v>3. Minor deterioration</x:v>
      </x:c>
      <x:c r="L697" s="16" t="str">
        <x:v>Unlikely</x:v>
      </x:c>
      <x:c r="M697" s="16" t="str">
        <x:v>Significant</x:v>
      </x:c>
      <x:c r="N697" s="16" t="str">
        <x:v>Moderate</x:v>
      </x:c>
    </x:row>
    <x:row r="698" ht="37" customHeight="1">
      <x:c r="A698" s="16" t="str">
        <x:v>RAW-00692</x:v>
      </x:c>
      <x:c r="B698" s="16" t="str">
        <x:v>Recommendation</x:v>
      </x:c>
      <x:c r="C698" s="16" t="str">
        <x:v>– Clean, wire brush and repaint.</x:v>
      </x:c>
      <x:c r="D698" s="16" t="str">
        <x:v>Carport column baseplate</x:v>
      </x:c>
      <x:c r="E698" s="16" t="str">
        <x:v>SRC-030</x:v>
      </x:c>
      <x:c r="F698" s="16" t="str">
        <x:v>REC-0001</x:v>
      </x:c>
      <x:c r="G698" s="16" t="str">
        <x:v>审阅或辅助文档</x:v>
      </x:c>
      <x:c r="H698" s="19" t="n">
        <x:v>8</x:v>
      </x:c>
      <x:c r="I698" s="19" t="n">
        <x:v>9</x:v>
      </x:c>
      <x:c r="J698" s="19" t="n">
        <x:v>1</x:v>
      </x:c>
      <x:c r="K698" s="16" t="str">
        <x:v>3. Minor deterioration</x:v>
      </x:c>
      <x:c r="L698" s="16" t="str">
        <x:v>Unlikely</x:v>
      </x:c>
      <x:c r="M698" s="16" t="str">
        <x:v>Significant</x:v>
      </x:c>
      <x:c r="N698" s="16" t="str">
        <x:v>Moderate</x:v>
      </x:c>
    </x:row>
    <x:row r="699" ht="37" customHeight="1">
      <x:c r="A699" s="16" t="str">
        <x:v>RAW-00693</x:v>
      </x:c>
      <x:c r="B699" s="16" t="str">
        <x:v>Observation</x:v>
      </x:c>
      <x:c r="C699" s="16" t="str">
        <x:v>– Column C6.4 along perimeter fencing has flaking corrosion delamination of baseplate.</x:v>
      </x:c>
      <x:c r="D699" s="16" t="str">
        <x:v>Carport column baseplate</x:v>
      </x:c>
      <x:c r="E699" s="16" t="str">
        <x:v>SRC-030</x:v>
      </x:c>
      <x:c r="F699" s="16" t="str"/>
      <x:c r="G699" s="16" t="str">
        <x:v>审阅或辅助文档</x:v>
      </x:c>
      <x:c r="H699" s="19" t="n">
        <x:v>8</x:v>
      </x:c>
      <x:c r="I699" s="19" t="n">
        <x:v>10</x:v>
      </x:c>
      <x:c r="J699" s="19" t="n">
        <x:v>1</x:v>
      </x:c>
      <x:c r="K699" s="16" t="str">
        <x:v>3. Minor deterioration</x:v>
      </x:c>
      <x:c r="L699" s="16" t="str">
        <x:v>Unlikely</x:v>
      </x:c>
      <x:c r="M699" s="16" t="str">
        <x:v>Significant</x:v>
      </x:c>
      <x:c r="N699" s="16" t="str">
        <x:v>Moderate</x:v>
      </x:c>
    </x:row>
    <x:row r="700" ht="37" customHeight="1">
      <x:c r="A700" s="16" t="str">
        <x:v>RAW-00694</x:v>
      </x:c>
      <x:c r="B700" s="16" t="str">
        <x:v>Recommendation</x:v>
      </x:c>
      <x:c r="C700" s="16" t="str">
        <x:v>– Clean, wire brush and repaint.</x:v>
      </x:c>
      <x:c r="D700" s="16" t="str">
        <x:v>Carport column baseplate</x:v>
      </x:c>
      <x:c r="E700" s="16" t="str">
        <x:v>SRC-030</x:v>
      </x:c>
      <x:c r="F700" s="16" t="str">
        <x:v>REC-0001</x:v>
      </x:c>
      <x:c r="G700" s="16" t="str">
        <x:v>审阅或辅助文档</x:v>
      </x:c>
      <x:c r="H700" s="19" t="n">
        <x:v>8</x:v>
      </x:c>
      <x:c r="I700" s="19" t="n">
        <x:v>10</x:v>
      </x:c>
      <x:c r="J700" s="19" t="n">
        <x:v>1</x:v>
      </x:c>
      <x:c r="K700" s="16" t="str">
        <x:v>3. Minor deterioration</x:v>
      </x:c>
      <x:c r="L700" s="16" t="str">
        <x:v>Unlikely</x:v>
      </x:c>
      <x:c r="M700" s="16" t="str">
        <x:v>Significant</x:v>
      </x:c>
      <x:c r="N700" s="16" t="str">
        <x:v>Moderate</x:v>
      </x:c>
    </x:row>
    <x:row r="701" ht="55" customHeight="1">
      <x:c r="A701" s="16" t="str">
        <x:v>RAW-00695</x:v>
      </x:c>
      <x:c r="B701" s="16" t="str">
        <x:v>Observation</x:v>
      </x:c>
      <x:c r="C701" s="16" t="str">
        <x:v>– Overview of back of house.</x:v>
      </x:c>
      <x:c r="D701" s="16" t="str">
        <x:v>Roof sheeting</x:v>
      </x:c>
      <x:c r="E701" s="16" t="str">
        <x:v>SRC-030</x:v>
      </x:c>
      <x:c r="F701" s="16" t="str">
        <x:v>OBS-0423</x:v>
      </x:c>
      <x:c r="G701" s="16" t="str">
        <x:v>审阅或辅助文档</x:v>
      </x:c>
      <x:c r="H701" s="19" t="n">
        <x:v>9</x:v>
      </x:c>
      <x:c r="I701" s="19" t="n">
        <x:v>6</x:v>
      </x:c>
      <x:c r="J701" s="19" t="n">
        <x:v>1</x:v>
      </x:c>
      <x:c r="K701" s="16" t="str">
        <x:v>6. Severe deterioration</x:v>
      </x:c>
      <x:c r="L701" s="16" t="str">
        <x:v>Likely</x:v>
      </x:c>
      <x:c r="M701" s="16" t="str">
        <x:v>Critical. Recommended to replace where has been damaged prior to cyclonic season.</x:v>
      </x:c>
      <x:c r="N701" s="16" t="str">
        <x:v>Moderate</x:v>
      </x:c>
    </x:row>
    <x:row r="702" ht="55" customHeight="1">
      <x:c r="A702" s="16" t="str">
        <x:v>RAW-00696</x:v>
      </x:c>
      <x:c r="B702" s="16" t="str">
        <x:v>Observation</x:v>
      </x:c>
      <x:c r="C702" s="16" t="str">
        <x:v>– Roof sheeting has been locally damaged.</x:v>
      </x:c>
      <x:c r="D702" s="16" t="str">
        <x:v>Roof sheeting</x:v>
      </x:c>
      <x:c r="E702" s="16" t="str">
        <x:v>SRC-030</x:v>
      </x:c>
      <x:c r="F702" s="16" t="str">
        <x:v>OBS-0514</x:v>
      </x:c>
      <x:c r="G702" s="16" t="str">
        <x:v>审阅或辅助文档</x:v>
      </x:c>
      <x:c r="H702" s="19" t="n">
        <x:v>9</x:v>
      </x:c>
      <x:c r="I702" s="19" t="n">
        <x:v>7</x:v>
      </x:c>
      <x:c r="J702" s="19" t="n">
        <x:v>1</x:v>
      </x:c>
      <x:c r="K702" s="16" t="str">
        <x:v>6. Severe deterioration</x:v>
      </x:c>
      <x:c r="L702" s="16" t="str">
        <x:v>Likely</x:v>
      </x:c>
      <x:c r="M702" s="16" t="str">
        <x:v>Critical. Recommended to replace where has been damaged prior to cyclonic season.</x:v>
      </x:c>
      <x:c r="N702" s="16" t="str">
        <x:v>Moderate</x:v>
      </x:c>
    </x:row>
    <x:row r="703" ht="55" customHeight="1">
      <x:c r="A703" s="16" t="str">
        <x:v>RAW-00697</x:v>
      </x:c>
      <x:c r="B703" s="16" t="str">
        <x:v>Recommendation</x:v>
      </x:c>
      <x:c r="C703" s="16" t="str">
        <x:v>– Replace the locally damaged roof sheeting .</x:v>
      </x:c>
      <x:c r="D703" s="16" t="str">
        <x:v>Roof sheeting</x:v>
      </x:c>
      <x:c r="E703" s="16" t="str">
        <x:v>SRC-030</x:v>
      </x:c>
      <x:c r="F703" s="16" t="str">
        <x:v>REC-0155</x:v>
      </x:c>
      <x:c r="G703" s="16" t="str">
        <x:v>审阅或辅助文档</x:v>
      </x:c>
      <x:c r="H703" s="19" t="n">
        <x:v>9</x:v>
      </x:c>
      <x:c r="I703" s="19" t="n">
        <x:v>7</x:v>
      </x:c>
      <x:c r="J703" s="19" t="n">
        <x:v>1</x:v>
      </x:c>
      <x:c r="K703" s="16" t="str">
        <x:v>6. Severe deterioration</x:v>
      </x:c>
      <x:c r="L703" s="16" t="str">
        <x:v>Likely</x:v>
      </x:c>
      <x:c r="M703" s="16" t="str">
        <x:v>Critical. Recommended to replace where has been damaged prior to cyclonic season.</x:v>
      </x:c>
      <x:c r="N703" s="16" t="str">
        <x:v>Moderate</x:v>
      </x:c>
    </x:row>
    <x:row r="704" ht="37" customHeight="1">
      <x:c r="A704" s="16" t="str">
        <x:v>RAW-00698</x:v>
      </x:c>
      <x:c r="B704" s="16" t="str">
        <x:v>Observation</x:v>
      </x:c>
      <x:c r="C704" s="16" t="str">
        <x:v>– Minor corrosion of PFC flanges.</x:v>
      </x:c>
      <x:c r="D704" s="16" t="str">
        <x:v>Carport PFC purlins</x:v>
      </x:c>
      <x:c r="E704" s="16" t="str">
        <x:v>SRC-030</x:v>
      </x:c>
      <x:c r="F704" s="16" t="str">
        <x:v>OBS-0059</x:v>
      </x:c>
      <x:c r="G704" s="16" t="str">
        <x:v>审阅或辅助文档</x:v>
      </x:c>
      <x:c r="H704" s="19" t="n">
        <x:v>10</x:v>
      </x:c>
      <x:c r="I704" s="19" t="n">
        <x:v>6</x:v>
      </x:c>
      <x:c r="J704" s="19" t="n">
        <x:v>1</x:v>
      </x:c>
      <x:c r="K704" s="16" t="str">
        <x:v>3. Minor deterioration</x:v>
      </x:c>
      <x:c r="L704" s="16" t="str">
        <x:v>Unlikely</x:v>
      </x:c>
      <x:c r="M704" s="16" t="str">
        <x:v>Moderate</x:v>
      </x:c>
      <x:c r="N704" s="16" t="str">
        <x:v>Moderate</x:v>
      </x:c>
    </x:row>
    <x:row r="705" ht="37" customHeight="1">
      <x:c r="A705" s="16" t="str">
        <x:v>RAW-00699</x:v>
      </x:c>
      <x:c r="B705" s="16" t="str">
        <x:v>Recommendation</x:v>
      </x:c>
      <x:c r="C705" s="16" t="str">
        <x:v>– Clean, wire brush, and paint with cold galvanise coating.</x:v>
      </x:c>
      <x:c r="D705" s="16" t="str">
        <x:v>Carport PFC purlins</x:v>
      </x:c>
      <x:c r="E705" s="16" t="str">
        <x:v>SRC-030</x:v>
      </x:c>
      <x:c r="F705" s="16" t="str">
        <x:v>REC-0027</x:v>
      </x:c>
      <x:c r="G705" s="16" t="str">
        <x:v>审阅或辅助文档</x:v>
      </x:c>
      <x:c r="H705" s="19" t="n">
        <x:v>10</x:v>
      </x:c>
      <x:c r="I705" s="19" t="n">
        <x:v>6</x:v>
      </x:c>
      <x:c r="J705" s="19" t="n">
        <x:v>1</x:v>
      </x:c>
      <x:c r="K705" s="16" t="str">
        <x:v>3. Minor deterioration</x:v>
      </x:c>
      <x:c r="L705" s="16" t="str">
        <x:v>Unlikely</x:v>
      </x:c>
      <x:c r="M705" s="16" t="str">
        <x:v>Moderate</x:v>
      </x:c>
      <x:c r="N705" s="16" t="str">
        <x:v>Moderate</x:v>
      </x:c>
    </x:row>
    <x:row r="706" ht="37" customHeight="1">
      <x:c r="A706" s="16" t="str">
        <x:v>RAW-00700</x:v>
      </x:c>
      <x:c r="B706" s="16" t="str">
        <x:v>Observation</x:v>
      </x:c>
      <x:c r="C706" s="16" t="str">
        <x:v>– Minor corrosion of PFC flanges.</x:v>
      </x:c>
      <x:c r="D706" s="16" t="str">
        <x:v>Carport PFC purlins</x:v>
      </x:c>
      <x:c r="E706" s="16" t="str">
        <x:v>SRC-030</x:v>
      </x:c>
      <x:c r="F706" s="16" t="str">
        <x:v>OBS-0059</x:v>
      </x:c>
      <x:c r="G706" s="16" t="str">
        <x:v>审阅或辅助文档</x:v>
      </x:c>
      <x:c r="H706" s="19" t="n">
        <x:v>10</x:v>
      </x:c>
      <x:c r="I706" s="19" t="n">
        <x:v>7</x:v>
      </x:c>
      <x:c r="J706" s="19" t="n">
        <x:v>1</x:v>
      </x:c>
      <x:c r="K706" s="16" t="str">
        <x:v>3. Minor deterioration</x:v>
      </x:c>
      <x:c r="L706" s="16" t="str">
        <x:v>Unlikely</x:v>
      </x:c>
      <x:c r="M706" s="16" t="str">
        <x:v>Moderate</x:v>
      </x:c>
      <x:c r="N706" s="16" t="str">
        <x:v>Moderate</x:v>
      </x:c>
    </x:row>
    <x:row r="707" ht="37" customHeight="1">
      <x:c r="A707" s="16" t="str">
        <x:v>RAW-00701</x:v>
      </x:c>
      <x:c r="B707" s="16" t="str">
        <x:v>Recommendation</x:v>
      </x:c>
      <x:c r="C707" s="16" t="str">
        <x:v>– Clean, wire brush, and paint with cold galvanise coating.</x:v>
      </x:c>
      <x:c r="D707" s="16" t="str">
        <x:v>Carport PFC purlins</x:v>
      </x:c>
      <x:c r="E707" s="16" t="str">
        <x:v>SRC-030</x:v>
      </x:c>
      <x:c r="F707" s="16" t="str">
        <x:v>REC-0027</x:v>
      </x:c>
      <x:c r="G707" s="16" t="str">
        <x:v>审阅或辅助文档</x:v>
      </x:c>
      <x:c r="H707" s="19" t="n">
        <x:v>10</x:v>
      </x:c>
      <x:c r="I707" s="19" t="n">
        <x:v>7</x:v>
      </x:c>
      <x:c r="J707" s="19" t="n">
        <x:v>1</x:v>
      </x:c>
      <x:c r="K707" s="16" t="str">
        <x:v>3. Minor deterioration</x:v>
      </x:c>
      <x:c r="L707" s="16" t="str">
        <x:v>Unlikely</x:v>
      </x:c>
      <x:c r="M707" s="16" t="str">
        <x:v>Moderate</x:v>
      </x:c>
      <x:c r="N707" s="16" t="str">
        <x:v>Moderate</x:v>
      </x:c>
    </x:row>
    <x:row r="708" ht="37" customHeight="1">
      <x:c r="A708" s="16" t="str">
        <x:v>RAW-00702</x:v>
      </x:c>
      <x:c r="B708" s="16" t="str">
        <x:v>Observation</x:v>
      </x:c>
      <x:c r="C708" s="16" t="str">
        <x:v>– Minor corrosion of rafters.</x:v>
      </x:c>
      <x:c r="D708" s="16" t="str">
        <x:v>Rafters</x:v>
      </x:c>
      <x:c r="E708" s="16" t="str">
        <x:v>SRC-030</x:v>
      </x:c>
      <x:c r="F708" s="16" t="str">
        <x:v>OBS-0063</x:v>
      </x:c>
      <x:c r="G708" s="16" t="str">
        <x:v>审阅或辅助文档</x:v>
      </x:c>
      <x:c r="H708" s="19" t="n">
        <x:v>11</x:v>
      </x:c>
      <x:c r="I708" s="19" t="n">
        <x:v>6</x:v>
      </x:c>
      <x:c r="J708" s="19" t="n">
        <x:v>1</x:v>
      </x:c>
      <x:c r="K708" s="16" t="str">
        <x:v>3. Minor deterioration</x:v>
      </x:c>
      <x:c r="L708" s="16" t="str">
        <x:v>Unlikely</x:v>
      </x:c>
      <x:c r="M708" s="16" t="str">
        <x:v>Moderate</x:v>
      </x:c>
      <x:c r="N708" s="16" t="str">
        <x:v>Moderate</x:v>
      </x:c>
    </x:row>
    <x:row r="709" ht="37" customHeight="1">
      <x:c r="A709" s="16" t="str">
        <x:v>RAW-00703</x:v>
      </x:c>
      <x:c r="B709" s="16" t="str">
        <x:v>Recommendation</x:v>
      </x:c>
      <x:c r="C709" s="16" t="str">
        <x:v>– Clean, wire brush, and repaint</x:v>
      </x:c>
      <x:c r="D709" s="16" t="str">
        <x:v>Rafters</x:v>
      </x:c>
      <x:c r="E709" s="16" t="str">
        <x:v>SRC-030</x:v>
      </x:c>
      <x:c r="F709" s="16" t="str">
        <x:v>REC-0001</x:v>
      </x:c>
      <x:c r="G709" s="16" t="str">
        <x:v>审阅或辅助文档</x:v>
      </x:c>
      <x:c r="H709" s="19" t="n">
        <x:v>11</x:v>
      </x:c>
      <x:c r="I709" s="19" t="n">
        <x:v>6</x:v>
      </x:c>
      <x:c r="J709" s="19" t="n">
        <x:v>1</x:v>
      </x:c>
      <x:c r="K709" s="16" t="str">
        <x:v>3. Minor deterioration</x:v>
      </x:c>
      <x:c r="L709" s="16" t="str">
        <x:v>Unlikely</x:v>
      </x:c>
      <x:c r="M709" s="16" t="str">
        <x:v>Moderate</x:v>
      </x:c>
      <x:c r="N709" s="16" t="str">
        <x:v>Moderate</x:v>
      </x:c>
    </x:row>
    <x:row r="710" ht="37" customHeight="1">
      <x:c r="A710" s="16" t="str">
        <x:v>RAW-00704</x:v>
      </x:c>
      <x:c r="B710" s="16" t="str">
        <x:v>Observation</x:v>
      </x:c>
      <x:c r="C710" s="16" t="str">
        <x:v>– Minor corrosion of rafters.</x:v>
      </x:c>
      <x:c r="D710" s="16" t="str">
        <x:v>Rafters</x:v>
      </x:c>
      <x:c r="E710" s="16" t="str">
        <x:v>SRC-030</x:v>
      </x:c>
      <x:c r="F710" s="16" t="str">
        <x:v>OBS-0063</x:v>
      </x:c>
      <x:c r="G710" s="16" t="str">
        <x:v>审阅或辅助文档</x:v>
      </x:c>
      <x:c r="H710" s="19" t="n">
        <x:v>11</x:v>
      </x:c>
      <x:c r="I710" s="19" t="n">
        <x:v>7</x:v>
      </x:c>
      <x:c r="J710" s="19" t="n">
        <x:v>1</x:v>
      </x:c>
      <x:c r="K710" s="16" t="str">
        <x:v>3. Minor deterioration</x:v>
      </x:c>
      <x:c r="L710" s="16" t="str">
        <x:v>Unlikely</x:v>
      </x:c>
      <x:c r="M710" s="16" t="str">
        <x:v>Moderate</x:v>
      </x:c>
      <x:c r="N710" s="16" t="str">
        <x:v>Moderate</x:v>
      </x:c>
    </x:row>
    <x:row r="711" ht="37" customHeight="1">
      <x:c r="A711" s="16" t="str">
        <x:v>RAW-00705</x:v>
      </x:c>
      <x:c r="B711" s="16" t="str">
        <x:v>Recommendation</x:v>
      </x:c>
      <x:c r="C711" s="16" t="str">
        <x:v>– Clean, wire brush, and repaint</x:v>
      </x:c>
      <x:c r="D711" s="16" t="str">
        <x:v>Rafters</x:v>
      </x:c>
      <x:c r="E711" s="16" t="str">
        <x:v>SRC-030</x:v>
      </x:c>
      <x:c r="F711" s="16" t="str">
        <x:v>REC-0001</x:v>
      </x:c>
      <x:c r="G711" s="16" t="str">
        <x:v>审阅或辅助文档</x:v>
      </x:c>
      <x:c r="H711" s="19" t="n">
        <x:v>11</x:v>
      </x:c>
      <x:c r="I711" s="19" t="n">
        <x:v>7</x:v>
      </x:c>
      <x:c r="J711" s="19" t="n">
        <x:v>1</x:v>
      </x:c>
      <x:c r="K711" s="16" t="str">
        <x:v>3. Minor deterioration</x:v>
      </x:c>
      <x:c r="L711" s="16" t="str">
        <x:v>Unlikely</x:v>
      </x:c>
      <x:c r="M711" s="16" t="str">
        <x:v>Moderate</x:v>
      </x:c>
      <x:c r="N711" s="16" t="str">
        <x:v>Moderate</x:v>
      </x:c>
    </x:row>
    <x:row r="712" ht="41" customHeight="1">
      <x:c r="A712" s="16" t="str">
        <x:v>RAW-00706</x:v>
      </x:c>
      <x:c r="B712" s="16" t="str">
        <x:v>Observation</x:v>
      </x:c>
      <x:c r="C712" s="16" t="str">
        <x:v>– Overview of Verandah columns. With Row 1 Column 1 nearest to the camera. Columns numbered from left to right.</x:v>
      </x:c>
      <x:c r="D712" s="16" t="str">
        <x:v>Verandah columns</x:v>
      </x:c>
      <x:c r="E712" s="16" t="str">
        <x:v>SRC-031</x:v>
      </x:c>
      <x:c r="F712" s="16" t="str"/>
      <x:c r="G712" s="16" t="str">
        <x:v>审阅或辅助文档</x:v>
      </x:c>
      <x:c r="H712" s="19" t="n">
        <x:v>3</x:v>
      </x:c>
      <x:c r="I712" s="19" t="n">
        <x:v>6</x:v>
      </x:c>
      <x:c r="J712" s="19" t="n">
        <x:v>1</x:v>
      </x:c>
      <x:c r="K712" s="16" t="str">
        <x:v>7. Very severe deterioration</x:v>
      </x:c>
      <x:c r="L712" s="16" t="str">
        <x:v>Very likely</x:v>
      </x:c>
      <x:c r="M712" s="16" t="str">
        <x:v>Severe</x:v>
      </x:c>
      <x:c r="N712" s="16" t="str">
        <x:v>Urgent</x:v>
      </x:c>
    </x:row>
    <x:row r="713" ht="37" customHeight="1">
      <x:c r="A713" s="16" t="str">
        <x:v>RAW-00707</x:v>
      </x:c>
      <x:c r="B713" s="16" t="str">
        <x:v>Observation</x:v>
      </x:c>
      <x:c r="C713" s="16" t="str">
        <x:v>– Row 1 column 1 has failed, steel work had completely corroded through.</x:v>
      </x:c>
      <x:c r="D713" s="16" t="str">
        <x:v>Verandah columns</x:v>
      </x:c>
      <x:c r="E713" s="16" t="str">
        <x:v>SRC-031</x:v>
      </x:c>
      <x:c r="F713" s="16" t="str"/>
      <x:c r="G713" s="16" t="str">
        <x:v>审阅或辅助文档</x:v>
      </x:c>
      <x:c r="H713" s="19" t="n">
        <x:v>3</x:v>
      </x:c>
      <x:c r="I713" s="19" t="n">
        <x:v>7</x:v>
      </x:c>
      <x:c r="J713" s="19" t="n">
        <x:v>1</x:v>
      </x:c>
      <x:c r="K713" s="16" t="str">
        <x:v>7. Very severe deterioration</x:v>
      </x:c>
      <x:c r="L713" s="16" t="str">
        <x:v>Very likely</x:v>
      </x:c>
      <x:c r="M713" s="16" t="str">
        <x:v>Severe</x:v>
      </x:c>
      <x:c r="N713" s="16" t="str">
        <x:v>Urgent</x:v>
      </x:c>
    </x:row>
    <x:row r="714" ht="37" customHeight="1">
      <x:c r="A714" s="16" t="str">
        <x:v>RAW-00708</x:v>
      </x:c>
      <x:c r="B714" s="16" t="str">
        <x:v>Recommendation</x:v>
      </x:c>
      <x:c r="C714" s="16" t="str">
        <x:v>– Replace all failed columns to match existing.</x:v>
      </x:c>
      <x:c r="D714" s="16" t="str">
        <x:v>Verandah columns</x:v>
      </x:c>
      <x:c r="E714" s="16" t="str">
        <x:v>SRC-031</x:v>
      </x:c>
      <x:c r="F714" s="16" t="str"/>
      <x:c r="G714" s="16" t="str">
        <x:v>审阅或辅助文档</x:v>
      </x:c>
      <x:c r="H714" s="19" t="n">
        <x:v>3</x:v>
      </x:c>
      <x:c r="I714" s="19" t="n">
        <x:v>7</x:v>
      </x:c>
      <x:c r="J714" s="19" t="n">
        <x:v>1</x:v>
      </x:c>
      <x:c r="K714" s="16" t="str">
        <x:v>7. Very severe deterioration</x:v>
      </x:c>
      <x:c r="L714" s="16" t="str">
        <x:v>Very likely</x:v>
      </x:c>
      <x:c r="M714" s="16" t="str">
        <x:v>Severe</x:v>
      </x:c>
      <x:c r="N714" s="16" t="str">
        <x:v>Urgent</x:v>
      </x:c>
    </x:row>
    <x:row r="715" ht="37" customHeight="1">
      <x:c r="A715" s="16" t="str">
        <x:v>RAW-00709</x:v>
      </x:c>
      <x:c r="B715" s="16" t="str">
        <x:v>Observation</x:v>
      </x:c>
      <x:c r="C715" s="16" t="str">
        <x:v>– Row 2, all 3 columns fail.</x:v>
      </x:c>
      <x:c r="D715" s="16" t="str">
        <x:v>Verandah columns</x:v>
      </x:c>
      <x:c r="E715" s="16" t="str">
        <x:v>SRC-031</x:v>
      </x:c>
      <x:c r="F715" s="16" t="str"/>
      <x:c r="G715" s="16" t="str">
        <x:v>审阅或辅助文档</x:v>
      </x:c>
      <x:c r="H715" s="19" t="n">
        <x:v>3</x:v>
      </x:c>
      <x:c r="I715" s="19" t="n">
        <x:v>8</x:v>
      </x:c>
      <x:c r="J715" s="19" t="n">
        <x:v>1</x:v>
      </x:c>
      <x:c r="K715" s="16" t="str">
        <x:v>7. Very severe deterioration</x:v>
      </x:c>
      <x:c r="L715" s="16" t="str">
        <x:v>Very likely</x:v>
      </x:c>
      <x:c r="M715" s="16" t="str">
        <x:v>Severe</x:v>
      </x:c>
      <x:c r="N715" s="16" t="str">
        <x:v>Urgent</x:v>
      </x:c>
    </x:row>
    <x:row r="716" ht="37" customHeight="1">
      <x:c r="A716" s="16" t="str">
        <x:v>RAW-00710</x:v>
      </x:c>
      <x:c r="B716" s="16" t="str">
        <x:v>Recommendation</x:v>
      </x:c>
      <x:c r="C716" s="16" t="str">
        <x:v>– Replace all failed columns to match existing.</x:v>
      </x:c>
      <x:c r="D716" s="16" t="str">
        <x:v>Verandah columns</x:v>
      </x:c>
      <x:c r="E716" s="16" t="str">
        <x:v>SRC-031</x:v>
      </x:c>
      <x:c r="F716" s="16" t="str"/>
      <x:c r="G716" s="16" t="str">
        <x:v>审阅或辅助文档</x:v>
      </x:c>
      <x:c r="H716" s="19" t="n">
        <x:v>3</x:v>
      </x:c>
      <x:c r="I716" s="19" t="n">
        <x:v>8</x:v>
      </x:c>
      <x:c r="J716" s="19" t="n">
        <x:v>1</x:v>
      </x:c>
      <x:c r="K716" s="16" t="str">
        <x:v>7. Very severe deterioration</x:v>
      </x:c>
      <x:c r="L716" s="16" t="str">
        <x:v>Very likely</x:v>
      </x:c>
      <x:c r="M716" s="16" t="str">
        <x:v>Severe</x:v>
      </x:c>
      <x:c r="N716" s="16" t="str">
        <x:v>Urgent</x:v>
      </x:c>
    </x:row>
    <x:row r="717" ht="37" customHeight="1">
      <x:c r="A717" s="16" t="str">
        <x:v>RAW-00711</x:v>
      </x:c>
      <x:c r="B717" s="16" t="str">
        <x:v>Observation</x:v>
      </x:c>
      <x:c r="C717" s="16" t="str">
        <x:v>– Row 4 column 1 has failed with holes at the lower portion of the column.</x:v>
      </x:c>
      <x:c r="D717" s="16" t="str">
        <x:v>Verandah columns</x:v>
      </x:c>
      <x:c r="E717" s="16" t="str">
        <x:v>SRC-031</x:v>
      </x:c>
      <x:c r="F717" s="16" t="str"/>
      <x:c r="G717" s="16" t="str">
        <x:v>审阅或辅助文档</x:v>
      </x:c>
      <x:c r="H717" s="19" t="n">
        <x:v>3</x:v>
      </x:c>
      <x:c r="I717" s="19" t="n">
        <x:v>9</x:v>
      </x:c>
      <x:c r="J717" s="19" t="n">
        <x:v>1</x:v>
      </x:c>
      <x:c r="K717" s="16" t="str">
        <x:v>7. Very severe deterioration</x:v>
      </x:c>
      <x:c r="L717" s="16" t="str">
        <x:v>Very likely</x:v>
      </x:c>
      <x:c r="M717" s="16" t="str">
        <x:v>Severe</x:v>
      </x:c>
      <x:c r="N717" s="16" t="str">
        <x:v>Urgent</x:v>
      </x:c>
    </x:row>
    <x:row r="718" ht="37" customHeight="1">
      <x:c r="A718" s="16" t="str">
        <x:v>RAW-00712</x:v>
      </x:c>
      <x:c r="B718" s="16" t="str">
        <x:v>Recommendation</x:v>
      </x:c>
      <x:c r="C718" s="16" t="str">
        <x:v>– Replace all failed columns to match existing.</x:v>
      </x:c>
      <x:c r="D718" s="16" t="str">
        <x:v>Verandah columns</x:v>
      </x:c>
      <x:c r="E718" s="16" t="str">
        <x:v>SRC-031</x:v>
      </x:c>
      <x:c r="F718" s="16" t="str"/>
      <x:c r="G718" s="16" t="str">
        <x:v>审阅或辅助文档</x:v>
      </x:c>
      <x:c r="H718" s="19" t="n">
        <x:v>3</x:v>
      </x:c>
      <x:c r="I718" s="19" t="n">
        <x:v>9</x:v>
      </x:c>
      <x:c r="J718" s="19" t="n">
        <x:v>1</x:v>
      </x:c>
      <x:c r="K718" s="16" t="str">
        <x:v>7. Very severe deterioration</x:v>
      </x:c>
      <x:c r="L718" s="16" t="str">
        <x:v>Very likely</x:v>
      </x:c>
      <x:c r="M718" s="16" t="str">
        <x:v>Severe</x:v>
      </x:c>
      <x:c r="N718" s="16" t="str">
        <x:v>Urgent</x:v>
      </x:c>
    </x:row>
    <x:row r="719" ht="37" customHeight="1">
      <x:c r="A719" s="16" t="str">
        <x:v>RAW-00713</x:v>
      </x:c>
      <x:c r="B719" s="16" t="str">
        <x:v>Observation</x:v>
      </x:c>
      <x:c r="C719" s="16" t="str">
        <x:v>– Row 5 column 1. Column has failed with holes through steel work.</x:v>
      </x:c>
      <x:c r="D719" s="16" t="str">
        <x:v>Verandah columns</x:v>
      </x:c>
      <x:c r="E719" s="16" t="str">
        <x:v>SRC-031</x:v>
      </x:c>
      <x:c r="F719" s="16" t="str"/>
      <x:c r="G719" s="16" t="str">
        <x:v>审阅或辅助文档</x:v>
      </x:c>
      <x:c r="H719" s="19" t="n">
        <x:v>3</x:v>
      </x:c>
      <x:c r="I719" s="19" t="n">
        <x:v>10</x:v>
      </x:c>
      <x:c r="J719" s="19" t="n">
        <x:v>1</x:v>
      </x:c>
      <x:c r="K719" s="16" t="str">
        <x:v>7. Very severe deterioration</x:v>
      </x:c>
      <x:c r="L719" s="16" t="str">
        <x:v>Very likely</x:v>
      </x:c>
      <x:c r="M719" s="16" t="str">
        <x:v>Severe</x:v>
      </x:c>
      <x:c r="N719" s="16" t="str">
        <x:v>Urgent</x:v>
      </x:c>
    </x:row>
    <x:row r="720" ht="37" customHeight="1">
      <x:c r="A720" s="16" t="str">
        <x:v>RAW-00714</x:v>
      </x:c>
      <x:c r="B720" s="16" t="str">
        <x:v>Recommendation</x:v>
      </x:c>
      <x:c r="C720" s="16" t="str">
        <x:v>– Replace all failed columns to match existing.</x:v>
      </x:c>
      <x:c r="D720" s="16" t="str">
        <x:v>Verandah columns</x:v>
      </x:c>
      <x:c r="E720" s="16" t="str">
        <x:v>SRC-031</x:v>
      </x:c>
      <x:c r="F720" s="16" t="str"/>
      <x:c r="G720" s="16" t="str">
        <x:v>审阅或辅助文档</x:v>
      </x:c>
      <x:c r="H720" s="19" t="n">
        <x:v>3</x:v>
      </x:c>
      <x:c r="I720" s="19" t="n">
        <x:v>10</x:v>
      </x:c>
      <x:c r="J720" s="19" t="n">
        <x:v>1</x:v>
      </x:c>
      <x:c r="K720" s="16" t="str">
        <x:v>7. Very severe deterioration</x:v>
      </x:c>
      <x:c r="L720" s="16" t="str">
        <x:v>Very likely</x:v>
      </x:c>
      <x:c r="M720" s="16" t="str">
        <x:v>Severe</x:v>
      </x:c>
      <x:c r="N720" s="16" t="str">
        <x:v>Urgent</x:v>
      </x:c>
    </x:row>
    <x:row r="721" ht="37" customHeight="1">
      <x:c r="A721" s="16" t="str">
        <x:v>RAW-00715</x:v>
      </x:c>
      <x:c r="B721" s="16" t="str">
        <x:v>Observation</x:v>
      </x:c>
      <x:c r="C721" s="16" t="str">
        <x:v>– Row 5 column 1. Column has failed with holes through steel work.</x:v>
      </x:c>
      <x:c r="D721" s="16" t="str">
        <x:v>Verandah columns</x:v>
      </x:c>
      <x:c r="E721" s="16" t="str">
        <x:v>SRC-031</x:v>
      </x:c>
      <x:c r="F721" s="16" t="str"/>
      <x:c r="G721" s="16" t="str">
        <x:v>审阅或辅助文档</x:v>
      </x:c>
      <x:c r="H721" s="19" t="n">
        <x:v>3</x:v>
      </x:c>
      <x:c r="I721" s="19" t="n">
        <x:v>11</x:v>
      </x:c>
      <x:c r="J721" s="19" t="n">
        <x:v>1</x:v>
      </x:c>
      <x:c r="K721" s="16" t="str">
        <x:v>7. Very severe deterioration</x:v>
      </x:c>
      <x:c r="L721" s="16" t="str">
        <x:v>Very likely</x:v>
      </x:c>
      <x:c r="M721" s="16" t="str">
        <x:v>Severe</x:v>
      </x:c>
      <x:c r="N721" s="16" t="str">
        <x:v>Urgent</x:v>
      </x:c>
    </x:row>
    <x:row r="722" ht="37" customHeight="1">
      <x:c r="A722" s="16" t="str">
        <x:v>RAW-00716</x:v>
      </x:c>
      <x:c r="B722" s="16" t="str">
        <x:v>Recommendation</x:v>
      </x:c>
      <x:c r="C722" s="16" t="str">
        <x:v>– Replace all failed columns to match existing.</x:v>
      </x:c>
      <x:c r="D722" s="16" t="str">
        <x:v>Verandah columns</x:v>
      </x:c>
      <x:c r="E722" s="16" t="str">
        <x:v>SRC-031</x:v>
      </x:c>
      <x:c r="F722" s="16" t="str"/>
      <x:c r="G722" s="16" t="str">
        <x:v>审阅或辅助文档</x:v>
      </x:c>
      <x:c r="H722" s="19" t="n">
        <x:v>3</x:v>
      </x:c>
      <x:c r="I722" s="19" t="n">
        <x:v>11</x:v>
      </x:c>
      <x:c r="J722" s="19" t="n">
        <x:v>1</x:v>
      </x:c>
      <x:c r="K722" s="16" t="str">
        <x:v>7. Very severe deterioration</x:v>
      </x:c>
      <x:c r="L722" s="16" t="str">
        <x:v>Very likely</x:v>
      </x:c>
      <x:c r="M722" s="16" t="str">
        <x:v>Severe</x:v>
      </x:c>
      <x:c r="N722" s="16" t="str">
        <x:v>Urgent</x:v>
      </x:c>
    </x:row>
    <x:row r="723" ht="37" customHeight="1">
      <x:c r="A723" s="16" t="str">
        <x:v>RAW-00717</x:v>
      </x:c>
      <x:c r="B723" s="16" t="str">
        <x:v>Observation</x:v>
      </x:c>
      <x:c r="C723" s="16" t="str">
        <x:v>– Row 6 column 1. Column has failed with holes through steel work.</x:v>
      </x:c>
      <x:c r="D723" s="16" t="str">
        <x:v>Verandah columns</x:v>
      </x:c>
      <x:c r="E723" s="16" t="str">
        <x:v>SRC-031</x:v>
      </x:c>
      <x:c r="F723" s="16" t="str"/>
      <x:c r="G723" s="16" t="str">
        <x:v>审阅或辅助文档</x:v>
      </x:c>
      <x:c r="H723" s="19" t="n">
        <x:v>3</x:v>
      </x:c>
      <x:c r="I723" s="19" t="n">
        <x:v>12</x:v>
      </x:c>
      <x:c r="J723" s="19" t="n">
        <x:v>1</x:v>
      </x:c>
      <x:c r="K723" s="16" t="str">
        <x:v>7. Very severe deterioration</x:v>
      </x:c>
      <x:c r="L723" s="16" t="str">
        <x:v>Very likely</x:v>
      </x:c>
      <x:c r="M723" s="16" t="str">
        <x:v>Severe</x:v>
      </x:c>
      <x:c r="N723" s="16" t="str">
        <x:v>Urgent</x:v>
      </x:c>
    </x:row>
    <x:row r="724" ht="37" customHeight="1">
      <x:c r="A724" s="16" t="str">
        <x:v>RAW-00718</x:v>
      </x:c>
      <x:c r="B724" s="16" t="str">
        <x:v>Recommendation</x:v>
      </x:c>
      <x:c r="C724" s="16" t="str">
        <x:v>– Replace all failed columns to match existing.</x:v>
      </x:c>
      <x:c r="D724" s="16" t="str">
        <x:v>Verandah columns</x:v>
      </x:c>
      <x:c r="E724" s="16" t="str">
        <x:v>SRC-031</x:v>
      </x:c>
      <x:c r="F724" s="16" t="str"/>
      <x:c r="G724" s="16" t="str">
        <x:v>审阅或辅助文档</x:v>
      </x:c>
      <x:c r="H724" s="19" t="n">
        <x:v>3</x:v>
      </x:c>
      <x:c r="I724" s="19" t="n">
        <x:v>12</x:v>
      </x:c>
      <x:c r="J724" s="19" t="n">
        <x:v>1</x:v>
      </x:c>
      <x:c r="K724" s="16" t="str">
        <x:v>7. Very severe deterioration</x:v>
      </x:c>
      <x:c r="L724" s="16" t="str">
        <x:v>Very likely</x:v>
      </x:c>
      <x:c r="M724" s="16" t="str">
        <x:v>Severe</x:v>
      </x:c>
      <x:c r="N724" s="16" t="str">
        <x:v>Urgent</x:v>
      </x:c>
    </x:row>
    <x:row r="725" ht="37" customHeight="1">
      <x:c r="A725" s="16" t="str">
        <x:v>RAW-00719</x:v>
      </x:c>
      <x:c r="B725" s="16" t="str">
        <x:v>Observation</x:v>
      </x:c>
      <x:c r="C725" s="16" t="str">
        <x:v>– Row 7 column 1 not failed but has severe corrosion.</x:v>
      </x:c>
      <x:c r="D725" s="16" t="str">
        <x:v>Verandah columns</x:v>
      </x:c>
      <x:c r="E725" s="16" t="str">
        <x:v>SRC-031</x:v>
      </x:c>
      <x:c r="F725" s="16" t="str"/>
      <x:c r="G725" s="16" t="str">
        <x:v>审阅或辅助文档</x:v>
      </x:c>
      <x:c r="H725" s="19" t="n">
        <x:v>3</x:v>
      </x:c>
      <x:c r="I725" s="19" t="n">
        <x:v>13</x:v>
      </x:c>
      <x:c r="J725" s="19" t="n">
        <x:v>1</x:v>
      </x:c>
      <x:c r="K725" s="16" t="str">
        <x:v>7. Very severe deterioration</x:v>
      </x:c>
      <x:c r="L725" s="16" t="str">
        <x:v>Very likely</x:v>
      </x:c>
      <x:c r="M725" s="16" t="str">
        <x:v>Severe</x:v>
      </x:c>
      <x:c r="N725" s="16" t="str">
        <x:v>Urgent</x:v>
      </x:c>
    </x:row>
    <x:row r="726" ht="37" customHeight="1">
      <x:c r="A726" s="16" t="str">
        <x:v>RAW-00720</x:v>
      </x:c>
      <x:c r="B726" s="16" t="str">
        <x:v>Recommendation</x:v>
      </x:c>
      <x:c r="C726" s="16" t="str">
        <x:v>– Replace all failed columns to match existing.</x:v>
      </x:c>
      <x:c r="D726" s="16" t="str">
        <x:v>Verandah columns</x:v>
      </x:c>
      <x:c r="E726" s="16" t="str">
        <x:v>SRC-031</x:v>
      </x:c>
      <x:c r="F726" s="16" t="str"/>
      <x:c r="G726" s="16" t="str">
        <x:v>审阅或辅助文档</x:v>
      </x:c>
      <x:c r="H726" s="19" t="n">
        <x:v>3</x:v>
      </x:c>
      <x:c r="I726" s="19" t="n">
        <x:v>13</x:v>
      </x:c>
      <x:c r="J726" s="19" t="n">
        <x:v>1</x:v>
      </x:c>
      <x:c r="K726" s="16" t="str">
        <x:v>7. Very severe deterioration</x:v>
      </x:c>
      <x:c r="L726" s="16" t="str">
        <x:v>Very likely</x:v>
      </x:c>
      <x:c r="M726" s="16" t="str">
        <x:v>Severe</x:v>
      </x:c>
      <x:c r="N726" s="16" t="str">
        <x:v>Urgent</x:v>
      </x:c>
    </x:row>
    <x:row r="727" ht="37" customHeight="1">
      <x:c r="A727" s="16" t="str">
        <x:v>RAW-00721</x:v>
      </x:c>
      <x:c r="B727" s="16" t="str">
        <x:v>Observation</x:v>
      </x:c>
      <x:c r="C727" s="16" t="str">
        <x:v>– Row 8 column 1 is within 57B Lukis Street front yard.</x:v>
      </x:c>
      <x:c r="D727" s="16" t="str">
        <x:v>Verandah columns</x:v>
      </x:c>
      <x:c r="E727" s="16" t="str">
        <x:v>SRC-031</x:v>
      </x:c>
      <x:c r="F727" s="16" t="str"/>
      <x:c r="G727" s="16" t="str">
        <x:v>审阅或辅助文档</x:v>
      </x:c>
      <x:c r="H727" s="19" t="n">
        <x:v>3</x:v>
      </x:c>
      <x:c r="I727" s="19" t="n">
        <x:v>14</x:v>
      </x:c>
      <x:c r="J727" s="19" t="n">
        <x:v>1</x:v>
      </x:c>
      <x:c r="K727" s="16" t="str">
        <x:v>7. Very severe deterioration</x:v>
      </x:c>
      <x:c r="L727" s="16" t="str">
        <x:v>Very likely</x:v>
      </x:c>
      <x:c r="M727" s="16" t="str">
        <x:v>Severe</x:v>
      </x:c>
      <x:c r="N727" s="16" t="str">
        <x:v>Urgent</x:v>
      </x:c>
    </x:row>
    <x:row r="728" ht="37" customHeight="1">
      <x:c r="A728" s="16" t="str">
        <x:v>RAW-00722</x:v>
      </x:c>
      <x:c r="B728" s="16" t="str">
        <x:v>Recommendation</x:v>
      </x:c>
      <x:c r="C728" s="16" t="str">
        <x:v>– Replace all failed columns to match existing.</x:v>
      </x:c>
      <x:c r="D728" s="16" t="str">
        <x:v>Verandah columns</x:v>
      </x:c>
      <x:c r="E728" s="16" t="str">
        <x:v>SRC-031</x:v>
      </x:c>
      <x:c r="F728" s="16" t="str"/>
      <x:c r="G728" s="16" t="str">
        <x:v>审阅或辅助文档</x:v>
      </x:c>
      <x:c r="H728" s="19" t="n">
        <x:v>3</x:v>
      </x:c>
      <x:c r="I728" s="19" t="n">
        <x:v>14</x:v>
      </x:c>
      <x:c r="J728" s="19" t="n">
        <x:v>1</x:v>
      </x:c>
      <x:c r="K728" s="16" t="str">
        <x:v>7. Very severe deterioration</x:v>
      </x:c>
      <x:c r="L728" s="16" t="str">
        <x:v>Very likely</x:v>
      </x:c>
      <x:c r="M728" s="16" t="str">
        <x:v>Severe</x:v>
      </x:c>
      <x:c r="N728" s="16" t="str">
        <x:v>Urgent</x:v>
      </x:c>
    </x:row>
    <x:row r="729" ht="41" customHeight="1">
      <x:c r="A729" s="16" t="str">
        <x:v>RAW-00723</x:v>
      </x:c>
      <x:c r="B729" s="16" t="str">
        <x:v>Observation</x:v>
      </x:c>
      <x:c r="C729" s="16" t="str">
        <x:v>– Row 8 column 1 is within 57B Lukis Street front yard. Column has failed with holes at lower portion of column.</x:v>
      </x:c>
      <x:c r="D729" s="16" t="str">
        <x:v>Verandah columns</x:v>
      </x:c>
      <x:c r="E729" s="16" t="str">
        <x:v>SRC-031</x:v>
      </x:c>
      <x:c r="F729" s="16" t="str"/>
      <x:c r="G729" s="16" t="str">
        <x:v>审阅或辅助文档</x:v>
      </x:c>
      <x:c r="H729" s="19" t="n">
        <x:v>3</x:v>
      </x:c>
      <x:c r="I729" s="19" t="n">
        <x:v>15</x:v>
      </x:c>
      <x:c r="J729" s="19" t="n">
        <x:v>1</x:v>
      </x:c>
      <x:c r="K729" s="16" t="str">
        <x:v>7. Very severe deterioration</x:v>
      </x:c>
      <x:c r="L729" s="16" t="str">
        <x:v>Very likely</x:v>
      </x:c>
      <x:c r="M729" s="16" t="str">
        <x:v>Severe</x:v>
      </x:c>
      <x:c r="N729" s="16" t="str">
        <x:v>Urgent</x:v>
      </x:c>
    </x:row>
    <x:row r="730" ht="37" customHeight="1">
      <x:c r="A730" s="16" t="str">
        <x:v>RAW-00724</x:v>
      </x:c>
      <x:c r="B730" s="16" t="str">
        <x:v>Recommendation</x:v>
      </x:c>
      <x:c r="C730" s="16" t="str">
        <x:v>– Replace all failed columns to match existing.</x:v>
      </x:c>
      <x:c r="D730" s="16" t="str">
        <x:v>Verandah columns</x:v>
      </x:c>
      <x:c r="E730" s="16" t="str">
        <x:v>SRC-031</x:v>
      </x:c>
      <x:c r="F730" s="16" t="str"/>
      <x:c r="G730" s="16" t="str">
        <x:v>审阅或辅助文档</x:v>
      </x:c>
      <x:c r="H730" s="19" t="n">
        <x:v>3</x:v>
      </x:c>
      <x:c r="I730" s="19" t="n">
        <x:v>15</x:v>
      </x:c>
      <x:c r="J730" s="19" t="n">
        <x:v>1</x:v>
      </x:c>
      <x:c r="K730" s="16" t="str">
        <x:v>7. Very severe deterioration</x:v>
      </x:c>
      <x:c r="L730" s="16" t="str">
        <x:v>Very likely</x:v>
      </x:c>
      <x:c r="M730" s="16" t="str">
        <x:v>Severe</x:v>
      </x:c>
      <x:c r="N730" s="16" t="str">
        <x:v>Urgent</x:v>
      </x:c>
    </x:row>
    <x:row r="731" ht="37" customHeight="1">
      <x:c r="A731" s="16" t="str">
        <x:v>RAW-00725</x:v>
      </x:c>
      <x:c r="B731" s="16" t="str">
        <x:v>Observation</x:v>
      </x:c>
      <x:c r="C731" s="16" t="str">
        <x:v>– Bracing has failed.</x:v>
      </x:c>
      <x:c r="D731" s="16" t="str">
        <x:v>Carport bracing</x:v>
      </x:c>
      <x:c r="E731" s="16" t="str">
        <x:v>SRC-031</x:v>
      </x:c>
      <x:c r="F731" s="16" t="str"/>
      <x:c r="G731" s="16" t="str">
        <x:v>审阅或辅助文档</x:v>
      </x:c>
      <x:c r="H731" s="19" t="n">
        <x:v>4</x:v>
      </x:c>
      <x:c r="I731" s="19" t="n">
        <x:v>6</x:v>
      </x:c>
      <x:c r="J731" s="19" t="n">
        <x:v>1</x:v>
      </x:c>
      <x:c r="K731" s="16" t="str">
        <x:v>7. Very severe deterioration</x:v>
      </x:c>
      <x:c r="L731" s="16" t="str">
        <x:v>Very likely</x:v>
      </x:c>
      <x:c r="M731" s="16" t="str">
        <x:v>Severe</x:v>
      </x:c>
      <x:c r="N731" s="16" t="str">
        <x:v>Urgent</x:v>
      </x:c>
    </x:row>
    <x:row r="732" ht="37" customHeight="1">
      <x:c r="A732" s="16" t="str">
        <x:v>RAW-00726</x:v>
      </x:c>
      <x:c r="B732" s="16" t="str">
        <x:v>Recommendation</x:v>
      </x:c>
      <x:c r="C732" s="16" t="str">
        <x:v>– Replace all failed bracing.</x:v>
      </x:c>
      <x:c r="D732" s="16" t="str">
        <x:v>Carport bracing</x:v>
      </x:c>
      <x:c r="E732" s="16" t="str">
        <x:v>SRC-031</x:v>
      </x:c>
      <x:c r="F732" s="16" t="str"/>
      <x:c r="G732" s="16" t="str">
        <x:v>审阅或辅助文档</x:v>
      </x:c>
      <x:c r="H732" s="19" t="n">
        <x:v>4</x:v>
      </x:c>
      <x:c r="I732" s="19" t="n">
        <x:v>6</x:v>
      </x:c>
      <x:c r="J732" s="19" t="n">
        <x:v>1</x:v>
      </x:c>
      <x:c r="K732" s="16" t="str">
        <x:v>7. Very severe deterioration</x:v>
      </x:c>
      <x:c r="L732" s="16" t="str">
        <x:v>Very likely</x:v>
      </x:c>
      <x:c r="M732" s="16" t="str">
        <x:v>Severe</x:v>
      </x:c>
      <x:c r="N732" s="16" t="str">
        <x:v>Urgent</x:v>
      </x:c>
    </x:row>
    <x:row r="733" ht="37" customHeight="1">
      <x:c r="A733" s="16" t="str">
        <x:v>RAW-00727</x:v>
      </x:c>
      <x:c r="B733" s="16" t="str">
        <x:v>Observation</x:v>
      </x:c>
      <x:c r="C733" s="16" t="str">
        <x:v>– Bracing has failed.</x:v>
      </x:c>
      <x:c r="D733" s="16" t="str">
        <x:v>Carport bracing</x:v>
      </x:c>
      <x:c r="E733" s="16" t="str">
        <x:v>SRC-031</x:v>
      </x:c>
      <x:c r="F733" s="16" t="str"/>
      <x:c r="G733" s="16" t="str">
        <x:v>审阅或辅助文档</x:v>
      </x:c>
      <x:c r="H733" s="19" t="n">
        <x:v>4</x:v>
      </x:c>
      <x:c r="I733" s="19" t="n">
        <x:v>7</x:v>
      </x:c>
      <x:c r="J733" s="19" t="n">
        <x:v>1</x:v>
      </x:c>
      <x:c r="K733" s="16" t="str">
        <x:v>7. Very severe deterioration</x:v>
      </x:c>
      <x:c r="L733" s="16" t="str">
        <x:v>Very likely</x:v>
      </x:c>
      <x:c r="M733" s="16" t="str">
        <x:v>Severe</x:v>
      </x:c>
      <x:c r="N733" s="16" t="str">
        <x:v>Urgent</x:v>
      </x:c>
    </x:row>
    <x:row r="734" ht="37" customHeight="1">
      <x:c r="A734" s="16" t="str">
        <x:v>RAW-00728</x:v>
      </x:c>
      <x:c r="B734" s="16" t="str">
        <x:v>Recommendation</x:v>
      </x:c>
      <x:c r="C734" s="16" t="str">
        <x:v>– Replace all failed bracing.</x:v>
      </x:c>
      <x:c r="D734" s="16" t="str">
        <x:v>Carport bracing</x:v>
      </x:c>
      <x:c r="E734" s="16" t="str">
        <x:v>SRC-031</x:v>
      </x:c>
      <x:c r="F734" s="16" t="str"/>
      <x:c r="G734" s="16" t="str">
        <x:v>审阅或辅助文档</x:v>
      </x:c>
      <x:c r="H734" s="19" t="n">
        <x:v>4</x:v>
      </x:c>
      <x:c r="I734" s="19" t="n">
        <x:v>7</x:v>
      </x:c>
      <x:c r="J734" s="19" t="n">
        <x:v>1</x:v>
      </x:c>
      <x:c r="K734" s="16" t="str">
        <x:v>7. Very severe deterioration</x:v>
      </x:c>
      <x:c r="L734" s="16" t="str">
        <x:v>Very likely</x:v>
      </x:c>
      <x:c r="M734" s="16" t="str">
        <x:v>Severe</x:v>
      </x:c>
      <x:c r="N734" s="16" t="str">
        <x:v>Urgent</x:v>
      </x:c>
    </x:row>
    <x:row r="735" ht="37" customHeight="1">
      <x:c r="A735" s="16" t="str">
        <x:v>RAW-00729</x:v>
      </x:c>
      <x:c r="B735" s="16" t="str">
        <x:v>Observation</x:v>
      </x:c>
      <x:c r="C735" s="16" t="str">
        <x:v>– Overview of fencing along carport.</x:v>
      </x:c>
      <x:c r="D735" s="16" t="str">
        <x:v>Fencing posts</x:v>
      </x:c>
      <x:c r="E735" s="16" t="str">
        <x:v>SRC-031</x:v>
      </x:c>
      <x:c r="F735" s="16" t="str">
        <x:v>OBS-0427</x:v>
      </x:c>
      <x:c r="G735" s="16" t="str">
        <x:v>审阅或辅助文档</x:v>
      </x:c>
      <x:c r="H735" s="19" t="n">
        <x:v>5</x:v>
      </x:c>
      <x:c r="I735" s="19" t="n">
        <x:v>6</x:v>
      </x:c>
      <x:c r="J735" s="19" t="n">
        <x:v>1</x:v>
      </x:c>
      <x:c r="K735" s="16" t="str">
        <x:v>7. Very severe deterioration</x:v>
      </x:c>
      <x:c r="L735" s="16" t="str">
        <x:v>Very likely</x:v>
      </x:c>
      <x:c r="M735" s="16" t="str">
        <x:v>Moderate</x:v>
      </x:c>
      <x:c r="N735" s="16" t="str">
        <x:v>Critical</x:v>
      </x:c>
    </x:row>
    <x:row r="736" ht="41" customHeight="1">
      <x:c r="A736" s="16" t="str">
        <x:v>RAW-00730</x:v>
      </x:c>
      <x:c r="B736" s="16" t="str">
        <x:v>Observation</x:v>
      </x:c>
      <x:c r="C736" s="16" t="str">
        <x:v>– Fencing along carport. Post has failed with hole at lower portion of post. Baseplate has severe flaking.</x:v>
      </x:c>
      <x:c r="D736" s="16" t="str">
        <x:v>Fencing posts</x:v>
      </x:c>
      <x:c r="E736" s="16" t="str">
        <x:v>SRC-031</x:v>
      </x:c>
      <x:c r="F736" s="16" t="str"/>
      <x:c r="G736" s="16" t="str">
        <x:v>审阅或辅助文档</x:v>
      </x:c>
      <x:c r="H736" s="19" t="n">
        <x:v>5</x:v>
      </x:c>
      <x:c r="I736" s="19" t="n">
        <x:v>7</x:v>
      </x:c>
      <x:c r="J736" s="19" t="n">
        <x:v>1</x:v>
      </x:c>
      <x:c r="K736" s="16" t="str">
        <x:v>7. Very severe deterioration</x:v>
      </x:c>
      <x:c r="L736" s="16" t="str">
        <x:v>Very likely</x:v>
      </x:c>
      <x:c r="M736" s="16" t="str">
        <x:v>Moderate</x:v>
      </x:c>
      <x:c r="N736" s="16" t="str">
        <x:v>Critical</x:v>
      </x:c>
    </x:row>
    <x:row r="737" ht="37" customHeight="1">
      <x:c r="A737" s="16" t="str">
        <x:v>RAW-00731</x:v>
      </x:c>
      <x:c r="B737" s="16" t="str">
        <x:v>Recommendation</x:v>
      </x:c>
      <x:c r="C737" s="16" t="str">
        <x:v>– Replace all failed posts to match existing.</x:v>
      </x:c>
      <x:c r="D737" s="16" t="str">
        <x:v>Fencing posts</x:v>
      </x:c>
      <x:c r="E737" s="16" t="str">
        <x:v>SRC-031</x:v>
      </x:c>
      <x:c r="F737" s="16" t="str"/>
      <x:c r="G737" s="16" t="str">
        <x:v>审阅或辅助文档</x:v>
      </x:c>
      <x:c r="H737" s="19" t="n">
        <x:v>5</x:v>
      </x:c>
      <x:c r="I737" s="19" t="n">
        <x:v>7</x:v>
      </x:c>
      <x:c r="J737" s="19" t="n">
        <x:v>1</x:v>
      </x:c>
      <x:c r="K737" s="16" t="str">
        <x:v>7. Very severe deterioration</x:v>
      </x:c>
      <x:c r="L737" s="16" t="str">
        <x:v>Very likely</x:v>
      </x:c>
      <x:c r="M737" s="16" t="str">
        <x:v>Moderate</x:v>
      </x:c>
      <x:c r="N737" s="16" t="str">
        <x:v>Critical</x:v>
      </x:c>
    </x:row>
    <x:row r="738" ht="37" customHeight="1">
      <x:c r="A738" s="16" t="str">
        <x:v>RAW-00732</x:v>
      </x:c>
      <x:c r="B738" s="16" t="str">
        <x:v>Observation</x:v>
      </x:c>
      <x:c r="C738" s="16" t="str">
        <x:v>– Fencing along carport. Post base has failed with hole.</x:v>
      </x:c>
      <x:c r="D738" s="16" t="str">
        <x:v>Fencing posts</x:v>
      </x:c>
      <x:c r="E738" s="16" t="str">
        <x:v>SRC-031</x:v>
      </x:c>
      <x:c r="F738" s="16" t="str"/>
      <x:c r="G738" s="16" t="str">
        <x:v>审阅或辅助文档</x:v>
      </x:c>
      <x:c r="H738" s="19" t="n">
        <x:v>5</x:v>
      </x:c>
      <x:c r="I738" s="19" t="n">
        <x:v>8</x:v>
      </x:c>
      <x:c r="J738" s="19" t="n">
        <x:v>1</x:v>
      </x:c>
      <x:c r="K738" s="16" t="str">
        <x:v>7. Very severe deterioration</x:v>
      </x:c>
      <x:c r="L738" s="16" t="str">
        <x:v>Very likely</x:v>
      </x:c>
      <x:c r="M738" s="16" t="str">
        <x:v>Moderate</x:v>
      </x:c>
      <x:c r="N738" s="16" t="str">
        <x:v>Critical</x:v>
      </x:c>
    </x:row>
    <x:row r="739" ht="37" customHeight="1">
      <x:c r="A739" s="16" t="str">
        <x:v>RAW-00733</x:v>
      </x:c>
      <x:c r="B739" s="16" t="str">
        <x:v>Recommendation</x:v>
      </x:c>
      <x:c r="C739" s="16" t="str">
        <x:v>– Replace all failed posts to match existing.</x:v>
      </x:c>
      <x:c r="D739" s="16" t="str">
        <x:v>Fencing posts</x:v>
      </x:c>
      <x:c r="E739" s="16" t="str">
        <x:v>SRC-031</x:v>
      </x:c>
      <x:c r="F739" s="16" t="str"/>
      <x:c r="G739" s="16" t="str">
        <x:v>审阅或辅助文档</x:v>
      </x:c>
      <x:c r="H739" s="19" t="n">
        <x:v>5</x:v>
      </x:c>
      <x:c r="I739" s="19" t="n">
        <x:v>8</x:v>
      </x:c>
      <x:c r="J739" s="19" t="n">
        <x:v>1</x:v>
      </x:c>
      <x:c r="K739" s="16" t="str">
        <x:v>7. Very severe deterioration</x:v>
      </x:c>
      <x:c r="L739" s="16" t="str">
        <x:v>Very likely</x:v>
      </x:c>
      <x:c r="M739" s="16" t="str">
        <x:v>Moderate</x:v>
      </x:c>
      <x:c r="N739" s="16" t="str">
        <x:v>Critical</x:v>
      </x:c>
    </x:row>
    <x:row r="740" ht="37" customHeight="1">
      <x:c r="A740" s="16" t="str">
        <x:v>RAW-00734</x:v>
      </x:c>
      <x:c r="B740" s="16" t="str">
        <x:v>Observation</x:v>
      </x:c>
      <x:c r="C740" s="16" t="str">
        <x:v>– Fencing along carport. Significant corrosion at lower portion of post.</x:v>
      </x:c>
      <x:c r="D740" s="16" t="str">
        <x:v>Fencing posts</x:v>
      </x:c>
      <x:c r="E740" s="16" t="str">
        <x:v>SRC-031</x:v>
      </x:c>
      <x:c r="F740" s="16" t="str">
        <x:v>OBS-0262</x:v>
      </x:c>
      <x:c r="G740" s="16" t="str">
        <x:v>审阅或辅助文档</x:v>
      </x:c>
      <x:c r="H740" s="19" t="n">
        <x:v>5</x:v>
      </x:c>
      <x:c r="I740" s="19" t="n">
        <x:v>9</x:v>
      </x:c>
      <x:c r="J740" s="19" t="n">
        <x:v>1</x:v>
      </x:c>
      <x:c r="K740" s="16" t="str">
        <x:v>7. Very severe deterioration</x:v>
      </x:c>
      <x:c r="L740" s="16" t="str">
        <x:v>Very likely</x:v>
      </x:c>
      <x:c r="M740" s="16" t="str">
        <x:v>Moderate</x:v>
      </x:c>
      <x:c r="N740" s="16" t="str">
        <x:v>Critical</x:v>
      </x:c>
    </x:row>
    <x:row r="741" ht="37" customHeight="1">
      <x:c r="A741" s="16" t="str">
        <x:v>RAW-00735</x:v>
      </x:c>
      <x:c r="B741" s="16" t="str">
        <x:v>Recommendation</x:v>
      </x:c>
      <x:c r="C741" s="16" t="str">
        <x:v>– Clean, wire brush and repaint.</x:v>
      </x:c>
      <x:c r="D741" s="16" t="str">
        <x:v>Fencing posts</x:v>
      </x:c>
      <x:c r="E741" s="16" t="str">
        <x:v>SRC-031</x:v>
      </x:c>
      <x:c r="F741" s="16" t="str">
        <x:v>REC-0001</x:v>
      </x:c>
      <x:c r="G741" s="16" t="str">
        <x:v>审阅或辅助文档</x:v>
      </x:c>
      <x:c r="H741" s="19" t="n">
        <x:v>5</x:v>
      </x:c>
      <x:c r="I741" s="19" t="n">
        <x:v>9</x:v>
      </x:c>
      <x:c r="J741" s="19" t="n">
        <x:v>1</x:v>
      </x:c>
      <x:c r="K741" s="16" t="str">
        <x:v>7. Very severe deterioration</x:v>
      </x:c>
      <x:c r="L741" s="16" t="str">
        <x:v>Very likely</x:v>
      </x:c>
      <x:c r="M741" s="16" t="str">
        <x:v>Moderate</x:v>
      </x:c>
      <x:c r="N741" s="16" t="str">
        <x:v>Critical</x:v>
      </x:c>
    </x:row>
    <x:row r="742" ht="37" customHeight="1">
      <x:c r="A742" s="16" t="str">
        <x:v>RAW-00736</x:v>
      </x:c>
      <x:c r="B742" s="16" t="str">
        <x:v>Observation</x:v>
      </x:c>
      <x:c r="C742" s="16" t="str">
        <x:v>– Fencing along carport. Post has failed.</x:v>
      </x:c>
      <x:c r="D742" s="16" t="str">
        <x:v>Fencing posts</x:v>
      </x:c>
      <x:c r="E742" s="16" t="str">
        <x:v>SRC-031</x:v>
      </x:c>
      <x:c r="F742" s="16" t="str"/>
      <x:c r="G742" s="16" t="str">
        <x:v>审阅或辅助文档</x:v>
      </x:c>
      <x:c r="H742" s="19" t="n">
        <x:v>5</x:v>
      </x:c>
      <x:c r="I742" s="19" t="n">
        <x:v>10</x:v>
      </x:c>
      <x:c r="J742" s="19" t="n">
        <x:v>1</x:v>
      </x:c>
      <x:c r="K742" s="16" t="str">
        <x:v>7. Very severe deterioration</x:v>
      </x:c>
      <x:c r="L742" s="16" t="str">
        <x:v>Very likely</x:v>
      </x:c>
      <x:c r="M742" s="16" t="str">
        <x:v>Moderate</x:v>
      </x:c>
      <x:c r="N742" s="16" t="str">
        <x:v>Critical</x:v>
      </x:c>
    </x:row>
    <x:row r="743" ht="37" customHeight="1">
      <x:c r="A743" s="16" t="str">
        <x:v>RAW-00737</x:v>
      </x:c>
      <x:c r="B743" s="16" t="str">
        <x:v>Recommendation</x:v>
      </x:c>
      <x:c r="C743" s="16" t="str">
        <x:v>– Replace all failed posts to match existing.</x:v>
      </x:c>
      <x:c r="D743" s="16" t="str">
        <x:v>Fencing posts</x:v>
      </x:c>
      <x:c r="E743" s="16" t="str">
        <x:v>SRC-031</x:v>
      </x:c>
      <x:c r="F743" s="16" t="str"/>
      <x:c r="G743" s="16" t="str">
        <x:v>审阅或辅助文档</x:v>
      </x:c>
      <x:c r="H743" s="19" t="n">
        <x:v>5</x:v>
      </x:c>
      <x:c r="I743" s="19" t="n">
        <x:v>10</x:v>
      </x:c>
      <x:c r="J743" s="19" t="n">
        <x:v>1</x:v>
      </x:c>
      <x:c r="K743" s="16" t="str">
        <x:v>7. Very severe deterioration</x:v>
      </x:c>
      <x:c r="L743" s="16" t="str">
        <x:v>Very likely</x:v>
      </x:c>
      <x:c r="M743" s="16" t="str">
        <x:v>Moderate</x:v>
      </x:c>
      <x:c r="N743" s="16" t="str">
        <x:v>Critical</x:v>
      </x:c>
    </x:row>
    <x:row r="744" ht="37" customHeight="1">
      <x:c r="A744" s="16" t="str">
        <x:v>RAW-00738</x:v>
      </x:c>
      <x:c r="B744" s="16" t="str">
        <x:v>Observation</x:v>
      </x:c>
      <x:c r="C744" s="16" t="str">
        <x:v>– Fencing along carport. Post has failed.</x:v>
      </x:c>
      <x:c r="D744" s="16" t="str">
        <x:v>Fencing posts</x:v>
      </x:c>
      <x:c r="E744" s="16" t="str">
        <x:v>SRC-031</x:v>
      </x:c>
      <x:c r="F744" s="16" t="str"/>
      <x:c r="G744" s="16" t="str">
        <x:v>审阅或辅助文档</x:v>
      </x:c>
      <x:c r="H744" s="19" t="n">
        <x:v>5</x:v>
      </x:c>
      <x:c r="I744" s="19" t="n">
        <x:v>11</x:v>
      </x:c>
      <x:c r="J744" s="19" t="n">
        <x:v>1</x:v>
      </x:c>
      <x:c r="K744" s="16" t="str">
        <x:v>7. Very severe deterioration</x:v>
      </x:c>
      <x:c r="L744" s="16" t="str">
        <x:v>Very likely</x:v>
      </x:c>
      <x:c r="M744" s="16" t="str">
        <x:v>Moderate</x:v>
      </x:c>
      <x:c r="N744" s="16" t="str">
        <x:v>Critical</x:v>
      </x:c>
    </x:row>
    <x:row r="745" ht="37" customHeight="1">
      <x:c r="A745" s="16" t="str">
        <x:v>RAW-00739</x:v>
      </x:c>
      <x:c r="B745" s="16" t="str">
        <x:v>Recommendation</x:v>
      </x:c>
      <x:c r="C745" s="16" t="str">
        <x:v>– Replace all failed posts to match existing.</x:v>
      </x:c>
      <x:c r="D745" s="16" t="str">
        <x:v>Fencing posts</x:v>
      </x:c>
      <x:c r="E745" s="16" t="str">
        <x:v>SRC-031</x:v>
      </x:c>
      <x:c r="F745" s="16" t="str"/>
      <x:c r="G745" s="16" t="str">
        <x:v>审阅或辅助文档</x:v>
      </x:c>
      <x:c r="H745" s="19" t="n">
        <x:v>5</x:v>
      </x:c>
      <x:c r="I745" s="19" t="n">
        <x:v>11</x:v>
      </x:c>
      <x:c r="J745" s="19" t="n">
        <x:v>1</x:v>
      </x:c>
      <x:c r="K745" s="16" t="str">
        <x:v>7. Very severe deterioration</x:v>
      </x:c>
      <x:c r="L745" s="16" t="str">
        <x:v>Very likely</x:v>
      </x:c>
      <x:c r="M745" s="16" t="str">
        <x:v>Moderate</x:v>
      </x:c>
      <x:c r="N745" s="16" t="str">
        <x:v>Critical</x:v>
      </x:c>
    </x:row>
    <x:row r="746" ht="37" customHeight="1">
      <x:c r="A746" s="16" t="str">
        <x:v>RAW-00740</x:v>
      </x:c>
      <x:c r="B746" s="16" t="str">
        <x:v>Observation</x:v>
      </x:c>
      <x:c r="C746" s="16" t="str">
        <x:v>– Left-hand side corner facing front of house.</x:v>
      </x:c>
      <x:c r="D746" s="16" t="str">
        <x:v>Top hat purlins and Tek screws</x:v>
      </x:c>
      <x:c r="E746" s="16" t="str">
        <x:v>SRC-031</x:v>
      </x:c>
      <x:c r="F746" s="16" t="str"/>
      <x:c r="G746" s="16" t="str">
        <x:v>审阅或辅助文档</x:v>
      </x:c>
      <x:c r="H746" s="19" t="n">
        <x:v>6</x:v>
      </x:c>
      <x:c r="I746" s="19" t="n">
        <x:v>6</x:v>
      </x:c>
      <x:c r="J746" s="19" t="n">
        <x:v>1</x:v>
      </x:c>
      <x:c r="K746" s="16" t="str">
        <x:v>7. Very severe deterioration</x:v>
      </x:c>
      <x:c r="L746" s="16" t="str">
        <x:v>Very likely</x:v>
      </x:c>
      <x:c r="M746" s="16" t="str">
        <x:v>Moderate</x:v>
      </x:c>
      <x:c r="N746" s="16" t="str">
        <x:v>Critical</x:v>
      </x:c>
    </x:row>
    <x:row r="747" ht="37" customHeight="1">
      <x:c r="A747" s="16" t="str">
        <x:v>RAW-00741</x:v>
      </x:c>
      <x:c r="B747" s="16" t="str">
        <x:v>Observation</x:v>
      </x:c>
      <x:c r="C747" s="16" t="str">
        <x:v>– Top hats and Tek screws have failed at corner connection.</x:v>
      </x:c>
      <x:c r="D747" s="16" t="str">
        <x:v>Top hat purlins and Tek screws</x:v>
      </x:c>
      <x:c r="E747" s="16" t="str">
        <x:v>SRC-031</x:v>
      </x:c>
      <x:c r="F747" s="16" t="str"/>
      <x:c r="G747" s="16" t="str">
        <x:v>审阅或辅助文档</x:v>
      </x:c>
      <x:c r="H747" s="19" t="n">
        <x:v>6</x:v>
      </x:c>
      <x:c r="I747" s="19" t="n">
        <x:v>7</x:v>
      </x:c>
      <x:c r="J747" s="19" t="n">
        <x:v>1</x:v>
      </x:c>
      <x:c r="K747" s="16" t="str">
        <x:v>7. Very severe deterioration</x:v>
      </x:c>
      <x:c r="L747" s="16" t="str">
        <x:v>Very likely</x:v>
      </x:c>
      <x:c r="M747" s="16" t="str">
        <x:v>Moderate</x:v>
      </x:c>
      <x:c r="N747" s="16" t="str">
        <x:v>Critical</x:v>
      </x:c>
    </x:row>
    <x:row r="748" ht="41" customHeight="1">
      <x:c r="A748" s="16" t="str">
        <x:v>RAW-00742</x:v>
      </x:c>
      <x:c r="B748" s="16" t="str">
        <x:v>Recommendation</x:v>
      </x:c>
      <x:c r="C748" s="16" t="str">
        <x:v>– Clean, wire brush, and paint with cold galvanise coating. Replace top hat purlins that have failed at connection.</x:v>
      </x:c>
      <x:c r="D748" s="16" t="str">
        <x:v>Top hat purlins and Tek screws</x:v>
      </x:c>
      <x:c r="E748" s="16" t="str">
        <x:v>SRC-031</x:v>
      </x:c>
      <x:c r="F748" s="16" t="str"/>
      <x:c r="G748" s="16" t="str">
        <x:v>审阅或辅助文档</x:v>
      </x:c>
      <x:c r="H748" s="19" t="n">
        <x:v>6</x:v>
      </x:c>
      <x:c r="I748" s="19" t="n">
        <x:v>7</x:v>
      </x:c>
      <x:c r="J748" s="19" t="n">
        <x:v>1</x:v>
      </x:c>
      <x:c r="K748" s="16" t="str">
        <x:v>7. Very severe deterioration</x:v>
      </x:c>
      <x:c r="L748" s="16" t="str">
        <x:v>Very likely</x:v>
      </x:c>
      <x:c r="M748" s="16" t="str">
        <x:v>Moderate</x:v>
      </x:c>
      <x:c r="N748" s="16" t="str">
        <x:v>Critical</x:v>
      </x:c>
    </x:row>
    <x:row r="749" ht="37" customHeight="1">
      <x:c r="A749" s="16" t="str">
        <x:v>RAW-00743</x:v>
      </x:c>
      <x:c r="B749" s="16" t="str">
        <x:v>Observation</x:v>
      </x:c>
      <x:c r="C749" s="16" t="str">
        <x:v>– Wall facing the road. Minor corrosion of tap hats to the entire length.</x:v>
      </x:c>
      <x:c r="D749" s="16" t="str">
        <x:v>Top hat purlins and Tek screws</x:v>
      </x:c>
      <x:c r="E749" s="16" t="str">
        <x:v>SRC-031</x:v>
      </x:c>
      <x:c r="F749" s="16" t="str"/>
      <x:c r="G749" s="16" t="str">
        <x:v>审阅或辅助文档</x:v>
      </x:c>
      <x:c r="H749" s="19" t="n">
        <x:v>6</x:v>
      </x:c>
      <x:c r="I749" s="19" t="n">
        <x:v>8</x:v>
      </x:c>
      <x:c r="J749" s="19" t="n">
        <x:v>1</x:v>
      </x:c>
      <x:c r="K749" s="16" t="str">
        <x:v>7. Very severe deterioration</x:v>
      </x:c>
      <x:c r="L749" s="16" t="str">
        <x:v>Very likely</x:v>
      </x:c>
      <x:c r="M749" s="16" t="str">
        <x:v>Moderate</x:v>
      </x:c>
      <x:c r="N749" s="16" t="str">
        <x:v>Critical</x:v>
      </x:c>
    </x:row>
    <x:row r="750" ht="37" customHeight="1">
      <x:c r="A750" s="16" t="str">
        <x:v>RAW-00744</x:v>
      </x:c>
      <x:c r="B750" s="16" t="str">
        <x:v>Recommendation</x:v>
      </x:c>
      <x:c r="C750" s="16" t="str">
        <x:v>– Clean, wire brush, and paint with cold galvanise coating. Replace all corroded Tek screws.</x:v>
      </x:c>
      <x:c r="D750" s="16" t="str">
        <x:v>Top hat purlins and Tek screws</x:v>
      </x:c>
      <x:c r="E750" s="16" t="str">
        <x:v>SRC-031</x:v>
      </x:c>
      <x:c r="F750" s="16" t="str">
        <x:v>REC-0028</x:v>
      </x:c>
      <x:c r="G750" s="16" t="str">
        <x:v>审阅或辅助文档</x:v>
      </x:c>
      <x:c r="H750" s="19" t="n">
        <x:v>6</x:v>
      </x:c>
      <x:c r="I750" s="19" t="n">
        <x:v>8</x:v>
      </x:c>
      <x:c r="J750" s="19" t="n">
        <x:v>1</x:v>
      </x:c>
      <x:c r="K750" s="16" t="str">
        <x:v>7. Very severe deterioration</x:v>
      </x:c>
      <x:c r="L750" s="16" t="str">
        <x:v>Very likely</x:v>
      </x:c>
      <x:c r="M750" s="16" t="str">
        <x:v>Moderate</x:v>
      </x:c>
      <x:c r="N750" s="16" t="str">
        <x:v>Critical</x:v>
      </x:c>
    </x:row>
    <x:row r="751" ht="41" customHeight="1">
      <x:c r="A751" s="16" t="str">
        <x:v>RAW-00745</x:v>
      </x:c>
      <x:c r="B751" s="16" t="str">
        <x:v>Observation</x:v>
      </x:c>
      <x:c r="C751" s="16" t="str">
        <x:v>– Right-hand side of house. Minor corrosion of tap hats to the entire length. Minor surface corrosion of rectangular hollow section rafters.</x:v>
      </x:c>
      <x:c r="D751" s="16" t="str">
        <x:v>Top hat purlins and Tek screws</x:v>
      </x:c>
      <x:c r="E751" s="16" t="str">
        <x:v>SRC-031</x:v>
      </x:c>
      <x:c r="F751" s="16" t="str"/>
      <x:c r="G751" s="16" t="str">
        <x:v>审阅或辅助文档</x:v>
      </x:c>
      <x:c r="H751" s="19" t="n">
        <x:v>6</x:v>
      </x:c>
      <x:c r="I751" s="19" t="n">
        <x:v>9</x:v>
      </x:c>
      <x:c r="J751" s="19" t="n">
        <x:v>1</x:v>
      </x:c>
      <x:c r="K751" s="16" t="str">
        <x:v>7. Very severe deterioration</x:v>
      </x:c>
      <x:c r="L751" s="16" t="str">
        <x:v>Very likely</x:v>
      </x:c>
      <x:c r="M751" s="16" t="str">
        <x:v>Moderate</x:v>
      </x:c>
      <x:c r="N751" s="16" t="str">
        <x:v>Critical</x:v>
      </x:c>
    </x:row>
    <x:row r="752" ht="37" customHeight="1">
      <x:c r="A752" s="16" t="str">
        <x:v>RAW-00746</x:v>
      </x:c>
      <x:c r="B752" s="16" t="str">
        <x:v>Recommendation</x:v>
      </x:c>
      <x:c r="C752" s="16" t="str">
        <x:v>– Clean, wire brush, and paint with cold galvanise coating. Replace all corroded Tek screws.</x:v>
      </x:c>
      <x:c r="D752" s="16" t="str">
        <x:v>Top hat purlins and Tek screws</x:v>
      </x:c>
      <x:c r="E752" s="16" t="str">
        <x:v>SRC-031</x:v>
      </x:c>
      <x:c r="F752" s="16" t="str">
        <x:v>REC-0028</x:v>
      </x:c>
      <x:c r="G752" s="16" t="str">
        <x:v>审阅或辅助文档</x:v>
      </x:c>
      <x:c r="H752" s="19" t="n">
        <x:v>6</x:v>
      </x:c>
      <x:c r="I752" s="19" t="n">
        <x:v>9</x:v>
      </x:c>
      <x:c r="J752" s="19" t="n">
        <x:v>1</x:v>
      </x:c>
      <x:c r="K752" s="16" t="str">
        <x:v>7. Very severe deterioration</x:v>
      </x:c>
      <x:c r="L752" s="16" t="str">
        <x:v>Very likely</x:v>
      </x:c>
      <x:c r="M752" s="16" t="str">
        <x:v>Moderate</x:v>
      </x:c>
      <x:c r="N752" s="16" t="str">
        <x:v>Critical</x:v>
      </x:c>
    </x:row>
    <x:row r="753" ht="41" customHeight="1">
      <x:c r="A753" s="16" t="str">
        <x:v>RAW-00747</x:v>
      </x:c>
      <x:c r="B753" s="16" t="str">
        <x:v>Observation</x:v>
      </x:c>
      <x:c r="C753" s="16" t="str">
        <x:v>– Right-hand side of house. Top hats show minor corrosion at flanges to entire length. Minor surface corrosion of rectangular hollow section rafters.</x:v>
      </x:c>
      <x:c r="D753" s="16" t="str">
        <x:v>Top hat purlins and Tek screws</x:v>
      </x:c>
      <x:c r="E753" s="16" t="str">
        <x:v>SRC-031</x:v>
      </x:c>
      <x:c r="F753" s="16" t="str"/>
      <x:c r="G753" s="16" t="str">
        <x:v>审阅或辅助文档</x:v>
      </x:c>
      <x:c r="H753" s="19" t="n">
        <x:v>6</x:v>
      </x:c>
      <x:c r="I753" s="19" t="n">
        <x:v>10</x:v>
      </x:c>
      <x:c r="J753" s="19" t="n">
        <x:v>1</x:v>
      </x:c>
      <x:c r="K753" s="16" t="str">
        <x:v>7. Very severe deterioration</x:v>
      </x:c>
      <x:c r="L753" s="16" t="str">
        <x:v>Very likely</x:v>
      </x:c>
      <x:c r="M753" s="16" t="str">
        <x:v>Moderate</x:v>
      </x:c>
      <x:c r="N753" s="16" t="str">
        <x:v>Critical</x:v>
      </x:c>
    </x:row>
    <x:row r="754" ht="37" customHeight="1">
      <x:c r="A754" s="16" t="str">
        <x:v>RAW-00748</x:v>
      </x:c>
      <x:c r="B754" s="16" t="str">
        <x:v>Recommendation</x:v>
      </x:c>
      <x:c r="C754" s="16" t="str">
        <x:v>– Clean, wire brush, and paint with cold galvanise coating. Replace all corroded Tek screws.</x:v>
      </x:c>
      <x:c r="D754" s="16" t="str">
        <x:v>Top hat purlins and Tek screws</x:v>
      </x:c>
      <x:c r="E754" s="16" t="str">
        <x:v>SRC-031</x:v>
      </x:c>
      <x:c r="F754" s="16" t="str">
        <x:v>REC-0028</x:v>
      </x:c>
      <x:c r="G754" s="16" t="str">
        <x:v>审阅或辅助文档</x:v>
      </x:c>
      <x:c r="H754" s="19" t="n">
        <x:v>6</x:v>
      </x:c>
      <x:c r="I754" s="19" t="n">
        <x:v>10</x:v>
      </x:c>
      <x:c r="J754" s="19" t="n">
        <x:v>1</x:v>
      </x:c>
      <x:c r="K754" s="16" t="str">
        <x:v>7. Very severe deterioration</x:v>
      </x:c>
      <x:c r="L754" s="16" t="str">
        <x:v>Very likely</x:v>
      </x:c>
      <x:c r="M754" s="16" t="str">
        <x:v>Moderate</x:v>
      </x:c>
      <x:c r="N754" s="16" t="str">
        <x:v>Critical</x:v>
      </x:c>
    </x:row>
    <x:row r="755" ht="37" customHeight="1">
      <x:c r="A755" s="16" t="str">
        <x:v>RAW-00749</x:v>
      </x:c>
      <x:c r="B755" s="16" t="str">
        <x:v>Observation</x:v>
      </x:c>
      <x:c r="C755" s="16" t="str">
        <x:v>– Overview of gutter collecting water from verandah and house.</x:v>
      </x:c>
      <x:c r="D755" s="16" t="str">
        <x:v>Gutter</x:v>
      </x:c>
      <x:c r="E755" s="16" t="str">
        <x:v>SRC-031</x:v>
      </x:c>
      <x:c r="F755" s="16" t="str">
        <x:v>OBS-0432</x:v>
      </x:c>
      <x:c r="G755" s="16" t="str">
        <x:v>审阅或辅助文档</x:v>
      </x:c>
      <x:c r="H755" s="19" t="n">
        <x:v>7</x:v>
      </x:c>
      <x:c r="I755" s="19" t="n">
        <x:v>6</x:v>
      </x:c>
      <x:c r="J755" s="19" t="n">
        <x:v>1</x:v>
      </x:c>
      <x:c r="K755" s="16" t="str">
        <x:v>7. Very severe deterioration</x:v>
      </x:c>
      <x:c r="L755" s="16" t="str">
        <x:v>Very likely</x:v>
      </x:c>
      <x:c r="M755" s="16" t="str">
        <x:v>Minor</x:v>
      </x:c>
      <x:c r="N755" s="16" t="str">
        <x:v>High</x:v>
      </x:c>
    </x:row>
    <x:row r="756" ht="37" customHeight="1">
      <x:c r="A756" s="16" t="str">
        <x:v>RAW-00750</x:v>
      </x:c>
      <x:c r="B756" s="16" t="str">
        <x:v>Observation</x:v>
      </x:c>
      <x:c r="C756" s="16" t="str">
        <x:v>– Gutter flaking resulting in significant loss of section.</x:v>
      </x:c>
      <x:c r="D756" s="16" t="str">
        <x:v>Gutter</x:v>
      </x:c>
      <x:c r="E756" s="16" t="str">
        <x:v>SRC-031</x:v>
      </x:c>
      <x:c r="F756" s="16" t="str"/>
      <x:c r="G756" s="16" t="str">
        <x:v>审阅或辅助文档</x:v>
      </x:c>
      <x:c r="H756" s="19" t="n">
        <x:v>7</x:v>
      </x:c>
      <x:c r="I756" s="19" t="n">
        <x:v>7</x:v>
      </x:c>
      <x:c r="J756" s="19" t="n">
        <x:v>1</x:v>
      </x:c>
      <x:c r="K756" s="16" t="str">
        <x:v>7. Very severe deterioration</x:v>
      </x:c>
      <x:c r="L756" s="16" t="str">
        <x:v>Very likely</x:v>
      </x:c>
      <x:c r="M756" s="16" t="str">
        <x:v>Minor</x:v>
      </x:c>
      <x:c r="N756" s="16" t="str">
        <x:v>High</x:v>
      </x:c>
    </x:row>
    <x:row r="757" ht="37" customHeight="1">
      <x:c r="A757" s="16" t="str">
        <x:v>RAW-00751</x:v>
      </x:c>
      <x:c r="B757" s="16" t="str">
        <x:v>Recommendation</x:v>
      </x:c>
      <x:c r="C757" s="16" t="str">
        <x:v>– Replace the gutter completely to match existing.</x:v>
      </x:c>
      <x:c r="D757" s="16" t="str">
        <x:v>Gutter</x:v>
      </x:c>
      <x:c r="E757" s="16" t="str">
        <x:v>SRC-031</x:v>
      </x:c>
      <x:c r="F757" s="16" t="str">
        <x:v>REC-0020</x:v>
      </x:c>
      <x:c r="G757" s="16" t="str">
        <x:v>审阅或辅助文档</x:v>
      </x:c>
      <x:c r="H757" s="19" t="n">
        <x:v>7</x:v>
      </x:c>
      <x:c r="I757" s="19" t="n">
        <x:v>7</x:v>
      </x:c>
      <x:c r="J757" s="19" t="n">
        <x:v>1</x:v>
      </x:c>
      <x:c r="K757" s="16" t="str">
        <x:v>7. Very severe deterioration</x:v>
      </x:c>
      <x:c r="L757" s="16" t="str">
        <x:v>Very likely</x:v>
      </x:c>
      <x:c r="M757" s="16" t="str">
        <x:v>Minor</x:v>
      </x:c>
      <x:c r="N757" s="16" t="str">
        <x:v>High</x:v>
      </x:c>
    </x:row>
    <x:row r="758" ht="41" customHeight="1">
      <x:c r="A758" s="16" t="str">
        <x:v>RAW-00752</x:v>
      </x:c>
      <x:c r="B758" s="16" t="str">
        <x:v>Observation</x:v>
      </x:c>
      <x:c r="C758" s="16" t="str">
        <x:v>– Rectangular protrusion in gutter. The gutter is not redirecting water away from columns causing columns to corrode.</x:v>
      </x:c>
      <x:c r="D758" s="16" t="str">
        <x:v>Gutter</x:v>
      </x:c>
      <x:c r="E758" s="16" t="str">
        <x:v>SRC-031</x:v>
      </x:c>
      <x:c r="F758" s="16" t="str"/>
      <x:c r="G758" s="16" t="str">
        <x:v>审阅或辅助文档</x:v>
      </x:c>
      <x:c r="H758" s="19" t="n">
        <x:v>7</x:v>
      </x:c>
      <x:c r="I758" s="19" t="n">
        <x:v>8</x:v>
      </x:c>
      <x:c r="J758" s="19" t="n">
        <x:v>1</x:v>
      </x:c>
      <x:c r="K758" s="16" t="str">
        <x:v>7. Very severe deterioration</x:v>
      </x:c>
      <x:c r="L758" s="16" t="str">
        <x:v>Very likely</x:v>
      </x:c>
      <x:c r="M758" s="16" t="str">
        <x:v>Minor</x:v>
      </x:c>
      <x:c r="N758" s="16" t="str">
        <x:v>High</x:v>
      </x:c>
    </x:row>
    <x:row r="759" ht="37" customHeight="1">
      <x:c r="A759" s="16" t="str">
        <x:v>RAW-00753</x:v>
      </x:c>
      <x:c r="B759" s="16" t="str">
        <x:v>Recommendation</x:v>
      </x:c>
      <x:c r="C759" s="16" t="str">
        <x:v>– Replace the gutter completely to match existing.</x:v>
      </x:c>
      <x:c r="D759" s="16" t="str">
        <x:v>Gutter</x:v>
      </x:c>
      <x:c r="E759" s="16" t="str">
        <x:v>SRC-031</x:v>
      </x:c>
      <x:c r="F759" s="16" t="str">
        <x:v>REC-0020</x:v>
      </x:c>
      <x:c r="G759" s="16" t="str">
        <x:v>审阅或辅助文档</x:v>
      </x:c>
      <x:c r="H759" s="19" t="n">
        <x:v>7</x:v>
      </x:c>
      <x:c r="I759" s="19" t="n">
        <x:v>8</x:v>
      </x:c>
      <x:c r="J759" s="19" t="n">
        <x:v>1</x:v>
      </x:c>
      <x:c r="K759" s="16" t="str">
        <x:v>7. Very severe deterioration</x:v>
      </x:c>
      <x:c r="L759" s="16" t="str">
        <x:v>Very likely</x:v>
      </x:c>
      <x:c r="M759" s="16" t="str">
        <x:v>Minor</x:v>
      </x:c>
      <x:c r="N759" s="16" t="str">
        <x:v>High</x:v>
      </x:c>
    </x:row>
    <x:row r="760" ht="41" customHeight="1">
      <x:c r="A760" s="16" t="str">
        <x:v>RAW-00754</x:v>
      </x:c>
      <x:c r="B760" s="16" t="str">
        <x:v>Observation</x:v>
      </x:c>
      <x:c r="C760" s="16" t="str">
        <x:v>– Side wall of gutter has failed with holes along length. The gutter is not redirecting water away from columns causing columns to corrode.</x:v>
      </x:c>
      <x:c r="D760" s="16" t="str">
        <x:v>Gutter</x:v>
      </x:c>
      <x:c r="E760" s="16" t="str">
        <x:v>SRC-031</x:v>
      </x:c>
      <x:c r="F760" s="16" t="str"/>
      <x:c r="G760" s="16" t="str">
        <x:v>审阅或辅助文档</x:v>
      </x:c>
      <x:c r="H760" s="19" t="n">
        <x:v>7</x:v>
      </x:c>
      <x:c r="I760" s="19" t="n">
        <x:v>9</x:v>
      </x:c>
      <x:c r="J760" s="19" t="n">
        <x:v>1</x:v>
      </x:c>
      <x:c r="K760" s="16" t="str">
        <x:v>7. Very severe deterioration</x:v>
      </x:c>
      <x:c r="L760" s="16" t="str">
        <x:v>Very likely</x:v>
      </x:c>
      <x:c r="M760" s="16" t="str">
        <x:v>Minor</x:v>
      </x:c>
      <x:c r="N760" s="16" t="str">
        <x:v>High</x:v>
      </x:c>
    </x:row>
    <x:row r="761" ht="37" customHeight="1">
      <x:c r="A761" s="16" t="str">
        <x:v>RAW-00755</x:v>
      </x:c>
      <x:c r="B761" s="16" t="str">
        <x:v>Recommendation</x:v>
      </x:c>
      <x:c r="C761" s="16" t="str">
        <x:v>– Replace the gutter completely to match existing.</x:v>
      </x:c>
      <x:c r="D761" s="16" t="str">
        <x:v>Gutter</x:v>
      </x:c>
      <x:c r="E761" s="16" t="str">
        <x:v>SRC-031</x:v>
      </x:c>
      <x:c r="F761" s="16" t="str">
        <x:v>REC-0020</x:v>
      </x:c>
      <x:c r="G761" s="16" t="str">
        <x:v>审阅或辅助文档</x:v>
      </x:c>
      <x:c r="H761" s="19" t="n">
        <x:v>7</x:v>
      </x:c>
      <x:c r="I761" s="19" t="n">
        <x:v>9</x:v>
      </x:c>
      <x:c r="J761" s="19" t="n">
        <x:v>1</x:v>
      </x:c>
      <x:c r="K761" s="16" t="str">
        <x:v>7. Very severe deterioration</x:v>
      </x:c>
      <x:c r="L761" s="16" t="str">
        <x:v>Very likely</x:v>
      </x:c>
      <x:c r="M761" s="16" t="str">
        <x:v>Minor</x:v>
      </x:c>
      <x:c r="N761" s="16" t="str">
        <x:v>High</x:v>
      </x:c>
    </x:row>
    <x:row r="762" ht="37" customHeight="1">
      <x:c r="A762" s="16" t="str">
        <x:v>RAW-00756</x:v>
      </x:c>
      <x:c r="B762" s="16" t="str">
        <x:v>Observation</x:v>
      </x:c>
      <x:c r="C762" s="16" t="str">
        <x:v>– Overview of carport. Columns numbered left to right. Rows numbered with increasing value into the page.</x:v>
      </x:c>
      <x:c r="D762" s="16" t="str">
        <x:v>carport column baseplate</x:v>
      </x:c>
      <x:c r="E762" s="16" t="str">
        <x:v>SRC-031</x:v>
      </x:c>
      <x:c r="F762" s="16" t="str"/>
      <x:c r="G762" s="16" t="str">
        <x:v>审阅或辅助文档</x:v>
      </x:c>
      <x:c r="H762" s="19" t="n">
        <x:v>8</x:v>
      </x:c>
      <x:c r="I762" s="19" t="n">
        <x:v>6</x:v>
      </x:c>
      <x:c r="J762" s="19" t="n">
        <x:v>1</x:v>
      </x:c>
      <x:c r="K762" s="16" t="str">
        <x:v>3. Minor deterioration</x:v>
      </x:c>
      <x:c r="L762" s="16" t="str">
        <x:v>Unlikely</x:v>
      </x:c>
      <x:c r="M762" s="16" t="str">
        <x:v>Significant</x:v>
      </x:c>
      <x:c r="N762" s="16" t="str">
        <x:v>Moderate</x:v>
      </x:c>
    </x:row>
    <x:row r="763" ht="37" customHeight="1">
      <x:c r="A763" s="16" t="str">
        <x:v>RAW-00757</x:v>
      </x:c>
      <x:c r="B763" s="16" t="str">
        <x:v>Observation</x:v>
      </x:c>
      <x:c r="C763" s="16" t="str">
        <x:v>– Row 1 column 3, minor corrosion at baseplate.</x:v>
      </x:c>
      <x:c r="D763" s="16" t="str">
        <x:v>carport column baseplate</x:v>
      </x:c>
      <x:c r="E763" s="16" t="str">
        <x:v>SRC-031</x:v>
      </x:c>
      <x:c r="F763" s="16" t="str"/>
      <x:c r="G763" s="16" t="str">
        <x:v>审阅或辅助文档</x:v>
      </x:c>
      <x:c r="H763" s="19" t="n">
        <x:v>8</x:v>
      </x:c>
      <x:c r="I763" s="19" t="n">
        <x:v>7</x:v>
      </x:c>
      <x:c r="J763" s="19" t="n">
        <x:v>1</x:v>
      </x:c>
      <x:c r="K763" s="16" t="str">
        <x:v>3. Minor deterioration</x:v>
      </x:c>
      <x:c r="L763" s="16" t="str">
        <x:v>Unlikely</x:v>
      </x:c>
      <x:c r="M763" s="16" t="str">
        <x:v>Significant</x:v>
      </x:c>
      <x:c r="N763" s="16" t="str">
        <x:v>Moderate</x:v>
      </x:c>
    </x:row>
    <x:row r="764" ht="37" customHeight="1">
      <x:c r="A764" s="16" t="str">
        <x:v>RAW-00758</x:v>
      </x:c>
      <x:c r="B764" s="16" t="str">
        <x:v>Recommendation</x:v>
      </x:c>
      <x:c r="C764" s="16" t="str">
        <x:v>– Clean, wire brush and repaint.</x:v>
      </x:c>
      <x:c r="D764" s="16" t="str">
        <x:v>carport column baseplate</x:v>
      </x:c>
      <x:c r="E764" s="16" t="str">
        <x:v>SRC-031</x:v>
      </x:c>
      <x:c r="F764" s="16" t="str">
        <x:v>REC-0001</x:v>
      </x:c>
      <x:c r="G764" s="16" t="str">
        <x:v>审阅或辅助文档</x:v>
      </x:c>
      <x:c r="H764" s="19" t="n">
        <x:v>8</x:v>
      </x:c>
      <x:c r="I764" s="19" t="n">
        <x:v>7</x:v>
      </x:c>
      <x:c r="J764" s="19" t="n">
        <x:v>1</x:v>
      </x:c>
      <x:c r="K764" s="16" t="str">
        <x:v>3. Minor deterioration</x:v>
      </x:c>
      <x:c r="L764" s="16" t="str">
        <x:v>Unlikely</x:v>
      </x:c>
      <x:c r="M764" s="16" t="str">
        <x:v>Significant</x:v>
      </x:c>
      <x:c r="N764" s="16" t="str">
        <x:v>Moderate</x:v>
      </x:c>
    </x:row>
    <x:row r="765" ht="37" customHeight="1">
      <x:c r="A765" s="16" t="str">
        <x:v>RAW-00759</x:v>
      </x:c>
      <x:c r="B765" s="16" t="str">
        <x:v>Observation</x:v>
      </x:c>
      <x:c r="C765" s="16" t="str">
        <x:v>– Row 2 column 3, minor corrosion at baseplate.</x:v>
      </x:c>
      <x:c r="D765" s="16" t="str">
        <x:v>carport column baseplate</x:v>
      </x:c>
      <x:c r="E765" s="16" t="str">
        <x:v>SRC-031</x:v>
      </x:c>
      <x:c r="F765" s="16" t="str"/>
      <x:c r="G765" s="16" t="str">
        <x:v>审阅或辅助文档</x:v>
      </x:c>
      <x:c r="H765" s="19" t="n">
        <x:v>8</x:v>
      </x:c>
      <x:c r="I765" s="19" t="n">
        <x:v>8</x:v>
      </x:c>
      <x:c r="J765" s="19" t="n">
        <x:v>1</x:v>
      </x:c>
      <x:c r="K765" s="16" t="str">
        <x:v>3. Minor deterioration</x:v>
      </x:c>
      <x:c r="L765" s="16" t="str">
        <x:v>Unlikely</x:v>
      </x:c>
      <x:c r="M765" s="16" t="str">
        <x:v>Significant</x:v>
      </x:c>
      <x:c r="N765" s="16" t="str">
        <x:v>Moderate</x:v>
      </x:c>
    </x:row>
    <x:row r="766" ht="37" customHeight="1">
      <x:c r="A766" s="16" t="str">
        <x:v>RAW-00760</x:v>
      </x:c>
      <x:c r="B766" s="16" t="str">
        <x:v>Recommendation</x:v>
      </x:c>
      <x:c r="C766" s="16" t="str">
        <x:v>– Clean, wire brush and repaint.</x:v>
      </x:c>
      <x:c r="D766" s="16" t="str">
        <x:v>carport column baseplate</x:v>
      </x:c>
      <x:c r="E766" s="16" t="str">
        <x:v>SRC-031</x:v>
      </x:c>
      <x:c r="F766" s="16" t="str">
        <x:v>REC-0001</x:v>
      </x:c>
      <x:c r="G766" s="16" t="str">
        <x:v>审阅或辅助文档</x:v>
      </x:c>
      <x:c r="H766" s="19" t="n">
        <x:v>8</x:v>
      </x:c>
      <x:c r="I766" s="19" t="n">
        <x:v>8</x:v>
      </x:c>
      <x:c r="J766" s="19" t="n">
        <x:v>1</x:v>
      </x:c>
      <x:c r="K766" s="16" t="str">
        <x:v>3. Minor deterioration</x:v>
      </x:c>
      <x:c r="L766" s="16" t="str">
        <x:v>Unlikely</x:v>
      </x:c>
      <x:c r="M766" s="16" t="str">
        <x:v>Significant</x:v>
      </x:c>
      <x:c r="N766" s="16" t="str">
        <x:v>Moderate</x:v>
      </x:c>
    </x:row>
    <x:row r="767" ht="37" customHeight="1">
      <x:c r="A767" s="16" t="str">
        <x:v>RAW-00761</x:v>
      </x:c>
      <x:c r="B767" s="16" t="str">
        <x:v>Observation</x:v>
      </x:c>
      <x:c r="C767" s="16" t="str">
        <x:v>– Row 1 Column 1. Flaking corrosion.</x:v>
      </x:c>
      <x:c r="D767" s="16" t="str">
        <x:v>carport column baseplate</x:v>
      </x:c>
      <x:c r="E767" s="16" t="str">
        <x:v>SRC-031</x:v>
      </x:c>
      <x:c r="F767" s="16" t="str"/>
      <x:c r="G767" s="16" t="str">
        <x:v>审阅或辅助文档</x:v>
      </x:c>
      <x:c r="H767" s="19" t="n">
        <x:v>8</x:v>
      </x:c>
      <x:c r="I767" s="19" t="n">
        <x:v>9</x:v>
      </x:c>
      <x:c r="J767" s="19" t="n">
        <x:v>1</x:v>
      </x:c>
      <x:c r="K767" s="16" t="str">
        <x:v>3. Minor deterioration</x:v>
      </x:c>
      <x:c r="L767" s="16" t="str">
        <x:v>Unlikely</x:v>
      </x:c>
      <x:c r="M767" s="16" t="str">
        <x:v>Significant</x:v>
      </x:c>
      <x:c r="N767" s="16" t="str">
        <x:v>Moderate</x:v>
      </x:c>
    </x:row>
    <x:row r="768" ht="37" customHeight="1">
      <x:c r="A768" s="16" t="str">
        <x:v>RAW-00762</x:v>
      </x:c>
      <x:c r="B768" s="16" t="str">
        <x:v>Recommendation</x:v>
      </x:c>
      <x:c r="C768" s="16" t="str">
        <x:v>– Clean, wire brush and repaint.</x:v>
      </x:c>
      <x:c r="D768" s="16" t="str">
        <x:v>carport column baseplate</x:v>
      </x:c>
      <x:c r="E768" s="16" t="str">
        <x:v>SRC-031</x:v>
      </x:c>
      <x:c r="F768" s="16" t="str">
        <x:v>REC-0001</x:v>
      </x:c>
      <x:c r="G768" s="16" t="str">
        <x:v>审阅或辅助文档</x:v>
      </x:c>
      <x:c r="H768" s="19" t="n">
        <x:v>8</x:v>
      </x:c>
      <x:c r="I768" s="19" t="n">
        <x:v>9</x:v>
      </x:c>
      <x:c r="J768" s="19" t="n">
        <x:v>1</x:v>
      </x:c>
      <x:c r="K768" s="16" t="str">
        <x:v>3. Minor deterioration</x:v>
      </x:c>
      <x:c r="L768" s="16" t="str">
        <x:v>Unlikely</x:v>
      </x:c>
      <x:c r="M768" s="16" t="str">
        <x:v>Significant</x:v>
      </x:c>
      <x:c r="N768" s="16" t="str">
        <x:v>Moderate</x:v>
      </x:c>
    </x:row>
    <x:row r="769" ht="37" customHeight="1">
      <x:c r="A769" s="16" t="str">
        <x:v>RAW-00763</x:v>
      </x:c>
      <x:c r="B769" s="16" t="str">
        <x:v>Observation</x:v>
      </x:c>
      <x:c r="C769" s="16" t="str">
        <x:v>– Row 2 Column 1, along perimeter fencing. Flaking corrosion of baseplate.</x:v>
      </x:c>
      <x:c r="D769" s="16" t="str">
        <x:v>carport column baseplate</x:v>
      </x:c>
      <x:c r="E769" s="16" t="str">
        <x:v>SRC-031</x:v>
      </x:c>
      <x:c r="F769" s="16" t="str"/>
      <x:c r="G769" s="16" t="str">
        <x:v>审阅或辅助文档</x:v>
      </x:c>
      <x:c r="H769" s="19" t="n">
        <x:v>8</x:v>
      </x:c>
      <x:c r="I769" s="19" t="n">
        <x:v>10</x:v>
      </x:c>
      <x:c r="J769" s="19" t="n">
        <x:v>1</x:v>
      </x:c>
      <x:c r="K769" s="16" t="str">
        <x:v>3. Minor deterioration</x:v>
      </x:c>
      <x:c r="L769" s="16" t="str">
        <x:v>Unlikely</x:v>
      </x:c>
      <x:c r="M769" s="16" t="str">
        <x:v>Significant</x:v>
      </x:c>
      <x:c r="N769" s="16" t="str">
        <x:v>Moderate</x:v>
      </x:c>
    </x:row>
    <x:row r="770" ht="37" customHeight="1">
      <x:c r="A770" s="16" t="str">
        <x:v>RAW-00764</x:v>
      </x:c>
      <x:c r="B770" s="16" t="str">
        <x:v>Recommendation</x:v>
      </x:c>
      <x:c r="C770" s="16" t="str">
        <x:v>– Clean, wire brush and repaint.</x:v>
      </x:c>
      <x:c r="D770" s="16" t="str">
        <x:v>carport column baseplate</x:v>
      </x:c>
      <x:c r="E770" s="16" t="str">
        <x:v>SRC-031</x:v>
      </x:c>
      <x:c r="F770" s="16" t="str">
        <x:v>REC-0001</x:v>
      </x:c>
      <x:c r="G770" s="16" t="str">
        <x:v>审阅或辅助文档</x:v>
      </x:c>
      <x:c r="H770" s="19" t="n">
        <x:v>8</x:v>
      </x:c>
      <x:c r="I770" s="19" t="n">
        <x:v>10</x:v>
      </x:c>
      <x:c r="J770" s="19" t="n">
        <x:v>1</x:v>
      </x:c>
      <x:c r="K770" s="16" t="str">
        <x:v>3. Minor deterioration</x:v>
      </x:c>
      <x:c r="L770" s="16" t="str">
        <x:v>Unlikely</x:v>
      </x:c>
      <x:c r="M770" s="16" t="str">
        <x:v>Significant</x:v>
      </x:c>
      <x:c r="N770" s="16" t="str">
        <x:v>Moderate</x:v>
      </x:c>
    </x:row>
    <x:row r="771" ht="37" customHeight="1">
      <x:c r="A771" s="16" t="str">
        <x:v>RAW-00765</x:v>
      </x:c>
      <x:c r="B771" s="16" t="str">
        <x:v>Observation</x:v>
      </x:c>
      <x:c r="C771" s="16" t="str">
        <x:v>– Overview of back of house.</x:v>
      </x:c>
      <x:c r="D771" s="16" t="str">
        <x:v>Roof sheeting</x:v>
      </x:c>
      <x:c r="E771" s="16" t="str">
        <x:v>SRC-031</x:v>
      </x:c>
      <x:c r="F771" s="16" t="str">
        <x:v>OBS-0423</x:v>
      </x:c>
      <x:c r="G771" s="16" t="str">
        <x:v>审阅或辅助文档</x:v>
      </x:c>
      <x:c r="H771" s="19" t="n">
        <x:v>9</x:v>
      </x:c>
      <x:c r="I771" s="19" t="n">
        <x:v>6</x:v>
      </x:c>
      <x:c r="J771" s="19" t="n">
        <x:v>1</x:v>
      </x:c>
      <x:c r="K771" s="16" t="str">
        <x:v>6. Severe deterioration</x:v>
      </x:c>
      <x:c r="L771" s="16" t="str">
        <x:v>Likely</x:v>
      </x:c>
      <x:c r="M771" s="16" t="str">
        <x:v>Negligible</x:v>
      </x:c>
      <x:c r="N771" s="16" t="str">
        <x:v>Moderate</x:v>
      </x:c>
    </x:row>
    <x:row r="772" ht="37" customHeight="1">
      <x:c r="A772" s="16" t="str">
        <x:v>RAW-00766</x:v>
      </x:c>
      <x:c r="B772" s="16" t="str">
        <x:v>Observation</x:v>
      </x:c>
      <x:c r="C772" s="16" t="str">
        <x:v>– Failed roof sheeting due to impact damage.</x:v>
      </x:c>
      <x:c r="D772" s="16" t="str">
        <x:v>Roof sheeting</x:v>
      </x:c>
      <x:c r="E772" s="16" t="str">
        <x:v>SRC-031</x:v>
      </x:c>
      <x:c r="F772" s="16" t="str"/>
      <x:c r="G772" s="16" t="str">
        <x:v>审阅或辅助文档</x:v>
      </x:c>
      <x:c r="H772" s="19" t="n">
        <x:v>9</x:v>
      </x:c>
      <x:c r="I772" s="19" t="n">
        <x:v>7</x:v>
      </x:c>
      <x:c r="J772" s="19" t="n">
        <x:v>1</x:v>
      </x:c>
      <x:c r="K772" s="16" t="str">
        <x:v>6. Severe deterioration</x:v>
      </x:c>
      <x:c r="L772" s="16" t="str">
        <x:v>Likely</x:v>
      </x:c>
      <x:c r="M772" s="16" t="str">
        <x:v>Negligible</x:v>
      </x:c>
      <x:c r="N772" s="16" t="str">
        <x:v>Moderate</x:v>
      </x:c>
    </x:row>
    <x:row r="773" ht="37" customHeight="1">
      <x:c r="A773" s="16" t="str">
        <x:v>RAW-00767</x:v>
      </x:c>
      <x:c r="B773" s="16" t="str">
        <x:v>Recommendation</x:v>
      </x:c>
      <x:c r="C773" s="16" t="str">
        <x:v>– Replace roof sheeting.</x:v>
      </x:c>
      <x:c r="D773" s="16" t="str">
        <x:v>Roof sheeting</x:v>
      </x:c>
      <x:c r="E773" s="16" t="str">
        <x:v>SRC-031</x:v>
      </x:c>
      <x:c r="F773" s="16" t="str"/>
      <x:c r="G773" s="16" t="str">
        <x:v>审阅或辅助文档</x:v>
      </x:c>
      <x:c r="H773" s="19" t="n">
        <x:v>9</x:v>
      </x:c>
      <x:c r="I773" s="19" t="n">
        <x:v>7</x:v>
      </x:c>
      <x:c r="J773" s="19" t="n">
        <x:v>1</x:v>
      </x:c>
      <x:c r="K773" s="16" t="str">
        <x:v>6. Severe deterioration</x:v>
      </x:c>
      <x:c r="L773" s="16" t="str">
        <x:v>Likely</x:v>
      </x:c>
      <x:c r="M773" s="16" t="str">
        <x:v>Negligible</x:v>
      </x:c>
      <x:c r="N773" s="16" t="str">
        <x:v>Moderate</x:v>
      </x:c>
    </x:row>
    <x:row r="774" ht="37" customHeight="1">
      <x:c r="A774" s="16" t="str">
        <x:v>RAW-00768</x:v>
      </x:c>
      <x:c r="B774" s="16" t="str">
        <x:v>Observation</x:v>
      </x:c>
      <x:c r="C774" s="16" t="str">
        <x:v>– Minor corrosion of PFC flanges.</x:v>
      </x:c>
      <x:c r="D774" s="16" t="str">
        <x:v>Carport PFC purlins</x:v>
      </x:c>
      <x:c r="E774" s="16" t="str">
        <x:v>SRC-031</x:v>
      </x:c>
      <x:c r="F774" s="16" t="str">
        <x:v>OBS-0059</x:v>
      </x:c>
      <x:c r="G774" s="16" t="str">
        <x:v>审阅或辅助文档</x:v>
      </x:c>
      <x:c r="H774" s="19" t="n">
        <x:v>10</x:v>
      </x:c>
      <x:c r="I774" s="19" t="n">
        <x:v>6</x:v>
      </x:c>
      <x:c r="J774" s="19" t="n">
        <x:v>1</x:v>
      </x:c>
      <x:c r="K774" s="16" t="str">
        <x:v>3. Minor deterioration</x:v>
      </x:c>
      <x:c r="L774" s="16" t="str">
        <x:v>Unlikely</x:v>
      </x:c>
      <x:c r="M774" s="16" t="str">
        <x:v>Moderate</x:v>
      </x:c>
      <x:c r="N774" s="16" t="str">
        <x:v>Moderate</x:v>
      </x:c>
    </x:row>
    <x:row r="775" ht="37" customHeight="1">
      <x:c r="A775" s="16" t="str">
        <x:v>RAW-00769</x:v>
      </x:c>
      <x:c r="B775" s="16" t="str">
        <x:v>Recommendation</x:v>
      </x:c>
      <x:c r="C775" s="16" t="str">
        <x:v>– Clean, wire brush, and paint with cold galvanise coating.</x:v>
      </x:c>
      <x:c r="D775" s="16" t="str">
        <x:v>Carport PFC purlins</x:v>
      </x:c>
      <x:c r="E775" s="16" t="str">
        <x:v>SRC-031</x:v>
      </x:c>
      <x:c r="F775" s="16" t="str">
        <x:v>REC-0027</x:v>
      </x:c>
      <x:c r="G775" s="16" t="str">
        <x:v>审阅或辅助文档</x:v>
      </x:c>
      <x:c r="H775" s="19" t="n">
        <x:v>10</x:v>
      </x:c>
      <x:c r="I775" s="19" t="n">
        <x:v>6</x:v>
      </x:c>
      <x:c r="J775" s="19" t="n">
        <x:v>1</x:v>
      </x:c>
      <x:c r="K775" s="16" t="str">
        <x:v>3. Minor deterioration</x:v>
      </x:c>
      <x:c r="L775" s="16" t="str">
        <x:v>Unlikely</x:v>
      </x:c>
      <x:c r="M775" s="16" t="str">
        <x:v>Moderate</x:v>
      </x:c>
      <x:c r="N775" s="16" t="str">
        <x:v>Moderate</x:v>
      </x:c>
    </x:row>
    <x:row r="776" ht="37" customHeight="1">
      <x:c r="A776" s="16" t="str">
        <x:v>RAW-00770</x:v>
      </x:c>
      <x:c r="B776" s="16" t="str">
        <x:v>Observation</x:v>
      </x:c>
      <x:c r="C776" s="16" t="str">
        <x:v>– Minor corrosion of PFC flanges.</x:v>
      </x:c>
      <x:c r="D776" s="16" t="str">
        <x:v>Carport PFC purlins</x:v>
      </x:c>
      <x:c r="E776" s="16" t="str">
        <x:v>SRC-031</x:v>
      </x:c>
      <x:c r="F776" s="16" t="str">
        <x:v>OBS-0059</x:v>
      </x:c>
      <x:c r="G776" s="16" t="str">
        <x:v>审阅或辅助文档</x:v>
      </x:c>
      <x:c r="H776" s="19" t="n">
        <x:v>10</x:v>
      </x:c>
      <x:c r="I776" s="19" t="n">
        <x:v>7</x:v>
      </x:c>
      <x:c r="J776" s="19" t="n">
        <x:v>1</x:v>
      </x:c>
      <x:c r="K776" s="16" t="str">
        <x:v>3. Minor deterioration</x:v>
      </x:c>
      <x:c r="L776" s="16" t="str">
        <x:v>Unlikely</x:v>
      </x:c>
      <x:c r="M776" s="16" t="str">
        <x:v>Moderate</x:v>
      </x:c>
      <x:c r="N776" s="16" t="str">
        <x:v>Moderate</x:v>
      </x:c>
    </x:row>
    <x:row r="777" ht="37" customHeight="1">
      <x:c r="A777" s="16" t="str">
        <x:v>RAW-00771</x:v>
      </x:c>
      <x:c r="B777" s="16" t="str">
        <x:v>Recommendation</x:v>
      </x:c>
      <x:c r="C777" s="16" t="str">
        <x:v>– Clean, wire brush, and paint with cold galvanise coating.</x:v>
      </x:c>
      <x:c r="D777" s="16" t="str">
        <x:v>Carport PFC purlins</x:v>
      </x:c>
      <x:c r="E777" s="16" t="str">
        <x:v>SRC-031</x:v>
      </x:c>
      <x:c r="F777" s="16" t="str">
        <x:v>REC-0027</x:v>
      </x:c>
      <x:c r="G777" s="16" t="str">
        <x:v>审阅或辅助文档</x:v>
      </x:c>
      <x:c r="H777" s="19" t="n">
        <x:v>10</x:v>
      </x:c>
      <x:c r="I777" s="19" t="n">
        <x:v>7</x:v>
      </x:c>
      <x:c r="J777" s="19" t="n">
        <x:v>1</x:v>
      </x:c>
      <x:c r="K777" s="16" t="str">
        <x:v>3. Minor deterioration</x:v>
      </x:c>
      <x:c r="L777" s="16" t="str">
        <x:v>Unlikely</x:v>
      </x:c>
      <x:c r="M777" s="16" t="str">
        <x:v>Moderate</x:v>
      </x:c>
      <x:c r="N777" s="16" t="str">
        <x:v>Moderate</x:v>
      </x:c>
    </x:row>
    <x:row r="778" ht="37" customHeight="1">
      <x:c r="A778" s="16" t="str">
        <x:v>RAW-00772</x:v>
      </x:c>
      <x:c r="B778" s="16" t="str">
        <x:v>Observation</x:v>
      </x:c>
      <x:c r="C778" s="16" t="str">
        <x:v>– Minor corrosion of rafters.</x:v>
      </x:c>
      <x:c r="D778" s="16" t="str">
        <x:v>Rafters</x:v>
      </x:c>
      <x:c r="E778" s="16" t="str">
        <x:v>SRC-031</x:v>
      </x:c>
      <x:c r="F778" s="16" t="str">
        <x:v>OBS-0063</x:v>
      </x:c>
      <x:c r="G778" s="16" t="str">
        <x:v>审阅或辅助文档</x:v>
      </x:c>
      <x:c r="H778" s="19" t="n">
        <x:v>11</x:v>
      </x:c>
      <x:c r="I778" s="19" t="n">
        <x:v>6</x:v>
      </x:c>
      <x:c r="J778" s="19" t="n">
        <x:v>1</x:v>
      </x:c>
      <x:c r="K778" s="16" t="str">
        <x:v>3. Minor deterioration</x:v>
      </x:c>
      <x:c r="L778" s="16" t="str">
        <x:v>Unlikely</x:v>
      </x:c>
      <x:c r="M778" s="16" t="str">
        <x:v>Moderate</x:v>
      </x:c>
      <x:c r="N778" s="16" t="str">
        <x:v>Moderate</x:v>
      </x:c>
    </x:row>
    <x:row r="779" ht="37" customHeight="1">
      <x:c r="A779" s="16" t="str">
        <x:v>RAW-00773</x:v>
      </x:c>
      <x:c r="B779" s="16" t="str">
        <x:v>Recommendation</x:v>
      </x:c>
      <x:c r="C779" s="16" t="str">
        <x:v>– Clean, wire brush, and repaint</x:v>
      </x:c>
      <x:c r="D779" s="16" t="str">
        <x:v>Rafters</x:v>
      </x:c>
      <x:c r="E779" s="16" t="str">
        <x:v>SRC-031</x:v>
      </x:c>
      <x:c r="F779" s="16" t="str">
        <x:v>REC-0001</x:v>
      </x:c>
      <x:c r="G779" s="16" t="str">
        <x:v>审阅或辅助文档</x:v>
      </x:c>
      <x:c r="H779" s="19" t="n">
        <x:v>11</x:v>
      </x:c>
      <x:c r="I779" s="19" t="n">
        <x:v>6</x:v>
      </x:c>
      <x:c r="J779" s="19" t="n">
        <x:v>1</x:v>
      </x:c>
      <x:c r="K779" s="16" t="str">
        <x:v>3. Minor deterioration</x:v>
      </x:c>
      <x:c r="L779" s="16" t="str">
        <x:v>Unlikely</x:v>
      </x:c>
      <x:c r="M779" s="16" t="str">
        <x:v>Moderate</x:v>
      </x:c>
      <x:c r="N779" s="16" t="str">
        <x:v>Moderate</x:v>
      </x:c>
    </x:row>
    <x:row r="780" ht="37" customHeight="1">
      <x:c r="A780" s="16" t="str">
        <x:v>RAW-00774</x:v>
      </x:c>
      <x:c r="B780" s="16" t="str">
        <x:v>Observation</x:v>
      </x:c>
      <x:c r="C780" s="16" t="str">
        <x:v>– Minor corrosion of rafters.</x:v>
      </x:c>
      <x:c r="D780" s="16" t="str">
        <x:v>Rafters</x:v>
      </x:c>
      <x:c r="E780" s="16" t="str">
        <x:v>SRC-031</x:v>
      </x:c>
      <x:c r="F780" s="16" t="str">
        <x:v>OBS-0063</x:v>
      </x:c>
      <x:c r="G780" s="16" t="str">
        <x:v>审阅或辅助文档</x:v>
      </x:c>
      <x:c r="H780" s="19" t="n">
        <x:v>11</x:v>
      </x:c>
      <x:c r="I780" s="19" t="n">
        <x:v>7</x:v>
      </x:c>
      <x:c r="J780" s="19" t="n">
        <x:v>1</x:v>
      </x:c>
      <x:c r="K780" s="16" t="str">
        <x:v>3. Minor deterioration</x:v>
      </x:c>
      <x:c r="L780" s="16" t="str">
        <x:v>Unlikely</x:v>
      </x:c>
      <x:c r="M780" s="16" t="str">
        <x:v>Moderate</x:v>
      </x:c>
      <x:c r="N780" s="16" t="str">
        <x:v>Moderate</x:v>
      </x:c>
    </x:row>
    <x:row r="781" ht="37" customHeight="1">
      <x:c r="A781" s="16" t="str">
        <x:v>RAW-00775</x:v>
      </x:c>
      <x:c r="B781" s="16" t="str">
        <x:v>Recommendation</x:v>
      </x:c>
      <x:c r="C781" s="16" t="str">
        <x:v>– Clean, wire brush, and repaint</x:v>
      </x:c>
      <x:c r="D781" s="16" t="str">
        <x:v>Rafters</x:v>
      </x:c>
      <x:c r="E781" s="16" t="str">
        <x:v>SRC-031</x:v>
      </x:c>
      <x:c r="F781" s="16" t="str">
        <x:v>REC-0001</x:v>
      </x:c>
      <x:c r="G781" s="16" t="str">
        <x:v>审阅或辅助文档</x:v>
      </x:c>
      <x:c r="H781" s="19" t="n">
        <x:v>11</x:v>
      </x:c>
      <x:c r="I781" s="19" t="n">
        <x:v>7</x:v>
      </x:c>
      <x:c r="J781" s="19" t="n">
        <x:v>1</x:v>
      </x:c>
      <x:c r="K781" s="16" t="str">
        <x:v>3. Minor deterioration</x:v>
      </x:c>
      <x:c r="L781" s="16" t="str">
        <x:v>Unlikely</x:v>
      </x:c>
      <x:c r="M781" s="16" t="str">
        <x:v>Moderate</x:v>
      </x:c>
      <x:c r="N781" s="16" t="str">
        <x:v>Moderate</x:v>
      </x:c>
    </x:row>
    <x:row r="782" ht="37" customHeight="1">
      <x:c r="A782" s="16" t="str">
        <x:v>RAW-00776</x:v>
      </x:c>
      <x:c r="B782" s="16" t="str">
        <x:v>Observation</x:v>
      </x:c>
      <x:c r="C782" s="16" t="str">
        <x:v>–Front verandah.</x:v>
      </x:c>
      <x:c r="D782" s="16" t="str">
        <x:v>Purlins and rafters</x:v>
      </x:c>
      <x:c r="E782" s="16" t="str">
        <x:v>SRC-048</x:v>
      </x:c>
      <x:c r="F782" s="16" t="str">
        <x:v>OBS-0014</x:v>
      </x:c>
      <x:c r="G782" s="16" t="str">
        <x:v>正式报告</x:v>
      </x:c>
      <x:c r="H782" s="19" t="n">
        <x:v>3</x:v>
      </x:c>
      <x:c r="I782" s="19" t="n">
        <x:v>6</x:v>
      </x:c>
      <x:c r="J782" s="19" t="n">
        <x:v>1</x:v>
      </x:c>
      <x:c r="K782" s="16" t="str">
        <x:v>4. Moderate</x:v>
      </x:c>
      <x:c r="L782" s="16" t="str">
        <x:v>Possible</x:v>
      </x:c>
      <x:c r="M782" s="16" t="str">
        <x:v>Significant</x:v>
      </x:c>
      <x:c r="N782" s="16" t="str">
        <x:v>High</x:v>
      </x:c>
    </x:row>
    <x:row r="783" ht="37" customHeight="1">
      <x:c r="A783" s="16" t="str">
        <x:v>RAW-00777</x:v>
      </x:c>
      <x:c r="B783" s="16" t="str">
        <x:v>Observation</x:v>
      </x:c>
      <x:c r="C783" s="16" t="str">
        <x:v>–Front verandah. Corrosion of Tek screws, purlins and rafters.</x:v>
      </x:c>
      <x:c r="D783" s="16" t="str">
        <x:v>Purlins and rafters</x:v>
      </x:c>
      <x:c r="E783" s="16" t="str">
        <x:v>SRC-048</x:v>
      </x:c>
      <x:c r="F783" s="16" t="str">
        <x:v>OBS-0302</x:v>
      </x:c>
      <x:c r="G783" s="16" t="str">
        <x:v>正式报告</x:v>
      </x:c>
      <x:c r="H783" s="19" t="n">
        <x:v>3</x:v>
      </x:c>
      <x:c r="I783" s="19" t="n">
        <x:v>7</x:v>
      </x:c>
      <x:c r="J783" s="19" t="n">
        <x:v>1</x:v>
      </x:c>
      <x:c r="K783" s="16" t="str">
        <x:v>4. Moderate</x:v>
      </x:c>
      <x:c r="L783" s="16" t="str">
        <x:v>Possible</x:v>
      </x:c>
      <x:c r="M783" s="16" t="str">
        <x:v>Significant</x:v>
      </x:c>
      <x:c r="N783" s="16" t="str">
        <x:v>High</x:v>
      </x:c>
    </x:row>
    <x:row r="784" ht="37" customHeight="1">
      <x:c r="A784" s="16" t="str">
        <x:v>RAW-00778</x:v>
      </x:c>
      <x:c r="B784" s="16" t="str">
        <x:v>Observation</x:v>
      </x:c>
      <x:c r="C784" s="16" t="str">
        <x:v>–Front verandah. Corrosion along flanges of top hat purlin flanges.</x:v>
      </x:c>
      <x:c r="D784" s="16" t="str">
        <x:v>Purlins and rafters</x:v>
      </x:c>
      <x:c r="E784" s="16" t="str">
        <x:v>SRC-048</x:v>
      </x:c>
      <x:c r="F784" s="16" t="str">
        <x:v>OBS-0300</x:v>
      </x:c>
      <x:c r="G784" s="16" t="str">
        <x:v>正式报告</x:v>
      </x:c>
      <x:c r="H784" s="19" t="n">
        <x:v>3</x:v>
      </x:c>
      <x:c r="I784" s="19" t="n">
        <x:v>8</x:v>
      </x:c>
      <x:c r="J784" s="19" t="n">
        <x:v>2</x:v>
      </x:c>
      <x:c r="K784" s="16" t="str">
        <x:v>4. Moderate</x:v>
      </x:c>
      <x:c r="L784" s="16" t="str">
        <x:v>Possible</x:v>
      </x:c>
      <x:c r="M784" s="16" t="str">
        <x:v>Significant</x:v>
      </x:c>
      <x:c r="N784" s="16" t="str">
        <x:v>High</x:v>
      </x:c>
    </x:row>
    <x:row r="785" ht="37" customHeight="1">
      <x:c r="A785" s="16" t="str">
        <x:v>RAW-00779</x:v>
      </x:c>
      <x:c r="B785" s="16" t="str">
        <x:v>Recommendation</x:v>
      </x:c>
      <x:c r="C785" s="16" t="str">
        <x:v>– Top hat purlin to be replaced.</x:v>
      </x:c>
      <x:c r="D785" s="16" t="str">
        <x:v>Purlins and rafters</x:v>
      </x:c>
      <x:c r="E785" s="16" t="str">
        <x:v>SRC-048</x:v>
      </x:c>
      <x:c r="F785" s="16" t="str">
        <x:v>REC-0169</x:v>
      </x:c>
      <x:c r="G785" s="16" t="str">
        <x:v>正式报告</x:v>
      </x:c>
      <x:c r="H785" s="19" t="n">
        <x:v>3</x:v>
      </x:c>
      <x:c r="I785" s="19" t="n">
        <x:v>8</x:v>
      </x:c>
      <x:c r="J785" s="19" t="n">
        <x:v>2</x:v>
      </x:c>
      <x:c r="K785" s="16" t="str">
        <x:v>4. Moderate</x:v>
      </x:c>
      <x:c r="L785" s="16" t="str">
        <x:v>Possible</x:v>
      </x:c>
      <x:c r="M785" s="16" t="str">
        <x:v>Significant</x:v>
      </x:c>
      <x:c r="N785" s="16" t="str">
        <x:v>High</x:v>
      </x:c>
    </x:row>
    <x:row r="786" ht="41" customHeight="1">
      <x:c r="A786" s="16" t="str">
        <x:v>RAW-00780</x:v>
      </x:c>
      <x:c r="B786" s="16" t="str">
        <x:v>Observation</x:v>
      </x:c>
      <x:c r="C786" s="16" t="str">
        <x:v>– Back right hand side corner facing front of the house. Hole in rafter due to severe corrosion. Hole in roof above rafter has increased rate of corrosion.</x:v>
      </x:c>
      <x:c r="D786" s="16" t="str">
        <x:v>Purlins and rafters</x:v>
      </x:c>
      <x:c r="E786" s="16" t="str">
        <x:v>SRC-048</x:v>
      </x:c>
      <x:c r="F786" s="16" t="str">
        <x:v>OBS-0107</x:v>
      </x:c>
      <x:c r="G786" s="16" t="str">
        <x:v>正式报告</x:v>
      </x:c>
      <x:c r="H786" s="19" t="n">
        <x:v>3</x:v>
      </x:c>
      <x:c r="I786" s="19" t="n">
        <x:v>10</x:v>
      </x:c>
      <x:c r="J786" s="19" t="n">
        <x:v>3</x:v>
      </x:c>
      <x:c r="K786" s="16" t="str">
        <x:v>4. Moderate</x:v>
      </x:c>
      <x:c r="L786" s="16" t="str">
        <x:v>Possible</x:v>
      </x:c>
      <x:c r="M786" s="16" t="str">
        <x:v>Significant</x:v>
      </x:c>
      <x:c r="N786" s="16" t="str">
        <x:v>High</x:v>
      </x:c>
    </x:row>
    <x:row r="787" ht="37" customHeight="1">
      <x:c r="A787" s="16" t="str">
        <x:v>RAW-00781</x:v>
      </x:c>
      <x:c r="B787" s="16" t="str">
        <x:v>Recommendation</x:v>
      </x:c>
      <x:c r="C787" s="16" t="str">
        <x:v>– Rafter to be replaced.</x:v>
      </x:c>
      <x:c r="D787" s="16" t="str">
        <x:v>Purlins and rafters</x:v>
      </x:c>
      <x:c r="E787" s="16" t="str">
        <x:v>SRC-048</x:v>
      </x:c>
      <x:c r="F787" s="16" t="str">
        <x:v>REC-0116</x:v>
      </x:c>
      <x:c r="G787" s="16" t="str">
        <x:v>正式报告</x:v>
      </x:c>
      <x:c r="H787" s="19" t="n">
        <x:v>3</x:v>
      </x:c>
      <x:c r="I787" s="19" t="n">
        <x:v>10</x:v>
      </x:c>
      <x:c r="J787" s="19" t="n">
        <x:v>3</x:v>
      </x:c>
      <x:c r="K787" s="16" t="str">
        <x:v>4. Moderate</x:v>
      </x:c>
      <x:c r="L787" s="16" t="str">
        <x:v>Possible</x:v>
      </x:c>
      <x:c r="M787" s="16" t="str">
        <x:v>Significant</x:v>
      </x:c>
      <x:c r="N787" s="16" t="str">
        <x:v>High</x:v>
      </x:c>
    </x:row>
    <x:row r="788" ht="37" customHeight="1">
      <x:c r="A788" s="16" t="str">
        <x:v>RAW-00782</x:v>
      </x:c>
      <x:c r="B788" s="16" t="str">
        <x:v>Observation</x:v>
      </x:c>
      <x:c r="C788" s="16" t="str">
        <x:v>– Hole in roof where gutter was.</x:v>
      </x:c>
      <x:c r="D788" s="16" t="str">
        <x:v>Purlins and rafters</x:v>
      </x:c>
      <x:c r="E788" s="16" t="str">
        <x:v>SRC-048</x:v>
      </x:c>
      <x:c r="F788" s="16" t="str">
        <x:v>OBS-0054</x:v>
      </x:c>
      <x:c r="G788" s="16" t="str">
        <x:v>正式报告</x:v>
      </x:c>
      <x:c r="H788" s="19" t="n">
        <x:v>3</x:v>
      </x:c>
      <x:c r="I788" s="19" t="n">
        <x:v>13</x:v>
      </x:c>
      <x:c r="J788" s="19" t="n">
        <x:v>1</x:v>
      </x:c>
      <x:c r="K788" s="16" t="str">
        <x:v>4. Moderate</x:v>
      </x:c>
      <x:c r="L788" s="16" t="str">
        <x:v>Possible</x:v>
      </x:c>
      <x:c r="M788" s="16" t="str">
        <x:v>Significant</x:v>
      </x:c>
      <x:c r="N788" s="16" t="str">
        <x:v>High</x:v>
      </x:c>
    </x:row>
    <x:row r="789" ht="37" customHeight="1">
      <x:c r="A789" s="16" t="str">
        <x:v>RAW-00783</x:v>
      </x:c>
      <x:c r="B789" s="16" t="str">
        <x:v>Recommendation</x:v>
      </x:c>
      <x:c r="C789" s="16" t="str">
        <x:v>– Cover hole to prevent water flowing towards wall cladding.</x:v>
      </x:c>
      <x:c r="D789" s="16" t="str">
        <x:v>Purlins and rafters</x:v>
      </x:c>
      <x:c r="E789" s="16" t="str">
        <x:v>SRC-048</x:v>
      </x:c>
      <x:c r="F789" s="16" t="str">
        <x:v>REC-0084</x:v>
      </x:c>
      <x:c r="G789" s="16" t="str">
        <x:v>正式报告</x:v>
      </x:c>
      <x:c r="H789" s="19" t="n">
        <x:v>3</x:v>
      </x:c>
      <x:c r="I789" s="19" t="n">
        <x:v>13</x:v>
      </x:c>
      <x:c r="J789" s="19" t="n">
        <x:v>1</x:v>
      </x:c>
      <x:c r="K789" s="16" t="str">
        <x:v>4. Moderate</x:v>
      </x:c>
      <x:c r="L789" s="16" t="str">
        <x:v>Possible</x:v>
      </x:c>
      <x:c r="M789" s="16" t="str">
        <x:v>Significant</x:v>
      </x:c>
      <x:c r="N789" s="16" t="str">
        <x:v>High</x:v>
      </x:c>
    </x:row>
    <x:row r="790" ht="37" customHeight="1">
      <x:c r="A790" s="16" t="str">
        <x:v>RAW-00784</x:v>
      </x:c>
      <x:c r="B790" s="16" t="str">
        <x:v>Observation</x:v>
      </x:c>
      <x:c r="C790" s="16" t="str">
        <x:v>– Corrosion of top hat purlins and Tek screws.</x:v>
      </x:c>
      <x:c r="D790" s="16" t="str">
        <x:v>Purlins and rafters</x:v>
      </x:c>
      <x:c r="E790" s="16" t="str">
        <x:v>SRC-048</x:v>
      </x:c>
      <x:c r="F790" s="16" t="str">
        <x:v>OBS-0228</x:v>
      </x:c>
      <x:c r="G790" s="16" t="str">
        <x:v>正式报告</x:v>
      </x:c>
      <x:c r="H790" s="19" t="n">
        <x:v>3</x:v>
      </x:c>
      <x:c r="I790" s="19" t="n">
        <x:v>14</x:v>
      </x:c>
      <x:c r="J790" s="19" t="n">
        <x:v>1</x:v>
      </x:c>
      <x:c r="K790" s="16" t="str">
        <x:v>4. Moderate</x:v>
      </x:c>
      <x:c r="L790" s="16" t="str">
        <x:v>Possible</x:v>
      </x:c>
      <x:c r="M790" s="16" t="str">
        <x:v>Significant</x:v>
      </x:c>
      <x:c r="N790" s="16" t="str">
        <x:v>High</x:v>
      </x:c>
    </x:row>
    <x:row r="791" ht="37" customHeight="1">
      <x:c r="A791" s="16" t="str">
        <x:v>RAW-00785</x:v>
      </x:c>
      <x:c r="B791" s="16" t="str">
        <x:v>Recommendation</x:v>
      </x:c>
      <x:c r="C791" s="16" t="str">
        <x:v>– Clean, wire brush and repaint purlins. Replace Tek screws.</x:v>
      </x:c>
      <x:c r="D791" s="16" t="str">
        <x:v>Purlins and rafters</x:v>
      </x:c>
      <x:c r="E791" s="16" t="str">
        <x:v>SRC-048</x:v>
      </x:c>
      <x:c r="F791" s="16" t="str">
        <x:v>REC-0077</x:v>
      </x:c>
      <x:c r="G791" s="16" t="str">
        <x:v>正式报告</x:v>
      </x:c>
      <x:c r="H791" s="19" t="n">
        <x:v>3</x:v>
      </x:c>
      <x:c r="I791" s="19" t="n">
        <x:v>14</x:v>
      </x:c>
      <x:c r="J791" s="19" t="n">
        <x:v>1</x:v>
      </x:c>
      <x:c r="K791" s="16" t="str">
        <x:v>4. Moderate</x:v>
      </x:c>
      <x:c r="L791" s="16" t="str">
        <x:v>Possible</x:v>
      </x:c>
      <x:c r="M791" s="16" t="str">
        <x:v>Significant</x:v>
      </x:c>
      <x:c r="N791" s="16" t="str">
        <x:v>High</x:v>
      </x:c>
    </x:row>
    <x:row r="792" ht="37" customHeight="1">
      <x:c r="A792" s="16" t="str">
        <x:v>RAW-00786</x:v>
      </x:c>
      <x:c r="B792" s="16" t="str">
        <x:v>Observation</x:v>
      </x:c>
      <x:c r="C792" s="16" t="str">
        <x:v>– Columns and baseplate in good condition.</x:v>
      </x:c>
      <x:c r="D792" s="16" t="str">
        <x:v>Verandah columns</x:v>
      </x:c>
      <x:c r="E792" s="16" t="str">
        <x:v>SRC-048</x:v>
      </x:c>
      <x:c r="F792" s="16" t="str">
        <x:v>OBS-0216</x:v>
      </x:c>
      <x:c r="G792" s="16" t="str">
        <x:v>正式报告</x:v>
      </x:c>
      <x:c r="H792" s="19" t="n">
        <x:v>4</x:v>
      </x:c>
      <x:c r="I792" s="19" t="n">
        <x:v>6</x:v>
      </x:c>
      <x:c r="J792" s="19" t="n">
        <x:v>4</x:v>
      </x:c>
      <x:c r="K792" s="16" t="str">
        <x:v>3. Minor corrosion</x:v>
      </x:c>
      <x:c r="L792" s="16" t="str">
        <x:v>Unlikely</x:v>
      </x:c>
      <x:c r="M792" s="16" t="str">
        <x:v>Significant</x:v>
      </x:c>
      <x:c r="N792" s="16" t="str">
        <x:v>Moderate</x:v>
      </x:c>
    </x:row>
    <x:row r="793" ht="37" customHeight="1">
      <x:c r="A793" s="16" t="str">
        <x:v>RAW-00787</x:v>
      </x:c>
      <x:c r="B793" s="16" t="str">
        <x:v>Observation</x:v>
      </x:c>
      <x:c r="C793" s="16" t="str">
        <x:v>– Bolted connection between column and beam has minor corrosion.</x:v>
      </x:c>
      <x:c r="D793" s="16" t="str">
        <x:v>Verandah columns</x:v>
      </x:c>
      <x:c r="E793" s="16" t="str">
        <x:v>SRC-048</x:v>
      </x:c>
      <x:c r="F793" s="16" t="str">
        <x:v>OBS-0147</x:v>
      </x:c>
      <x:c r="G793" s="16" t="str">
        <x:v>正式报告</x:v>
      </x:c>
      <x:c r="H793" s="19" t="n">
        <x:v>4</x:v>
      </x:c>
      <x:c r="I793" s="19" t="n">
        <x:v>10</x:v>
      </x:c>
      <x:c r="J793" s="19" t="n">
        <x:v>4</x:v>
      </x:c>
      <x:c r="K793" s="16" t="str">
        <x:v>3. Minor corrosion</x:v>
      </x:c>
      <x:c r="L793" s="16" t="str">
        <x:v>Unlikely</x:v>
      </x:c>
      <x:c r="M793" s="16" t="str">
        <x:v>Significant</x:v>
      </x:c>
      <x:c r="N793" s="16" t="str">
        <x:v>Moderate</x:v>
      </x:c>
    </x:row>
    <x:row r="794" ht="37" customHeight="1">
      <x:c r="A794" s="16" t="str">
        <x:v>RAW-00788</x:v>
      </x:c>
      <x:c r="B794" s="16" t="str">
        <x:v>Recommendation</x:v>
      </x:c>
      <x:c r="C794" s="16" t="str">
        <x:v>– Clean, wire brush and repaint.</x:v>
      </x:c>
      <x:c r="D794" s="16" t="str">
        <x:v>Verandah columns</x:v>
      </x:c>
      <x:c r="E794" s="16" t="str">
        <x:v>SRC-048</x:v>
      </x:c>
      <x:c r="F794" s="16" t="str">
        <x:v>REC-0001</x:v>
      </x:c>
      <x:c r="G794" s="16" t="str">
        <x:v>正式报告</x:v>
      </x:c>
      <x:c r="H794" s="19" t="n">
        <x:v>4</x:v>
      </x:c>
      <x:c r="I794" s="19" t="n">
        <x:v>10</x:v>
      </x:c>
      <x:c r="J794" s="19" t="n">
        <x:v>4</x:v>
      </x:c>
      <x:c r="K794" s="16" t="str">
        <x:v>3. Minor corrosion</x:v>
      </x:c>
      <x:c r="L794" s="16" t="str">
        <x:v>Unlikely</x:v>
      </x:c>
      <x:c r="M794" s="16" t="str">
        <x:v>Significant</x:v>
      </x:c>
      <x:c r="N794" s="16" t="str">
        <x:v>Moderate</x:v>
      </x:c>
    </x:row>
    <x:row r="795" ht="37" customHeight="1">
      <x:c r="A795" s="16" t="str">
        <x:v>RAW-00789</x:v>
      </x:c>
      <x:c r="B795" s="16" t="str">
        <x:v>Observation</x:v>
      </x:c>
      <x:c r="C795" s="16" t="str">
        <x:v>– Right hand side fence posts have minor corrosion.</x:v>
      </x:c>
      <x:c r="D795" s="16" t="str">
        <x:v>Fencing posts</x:v>
      </x:c>
      <x:c r="E795" s="16" t="str">
        <x:v>SRC-048</x:v>
      </x:c>
      <x:c r="F795" s="16" t="str">
        <x:v>OBS-0484</x:v>
      </x:c>
      <x:c r="G795" s="16" t="str">
        <x:v>正式报告</x:v>
      </x:c>
      <x:c r="H795" s="19" t="n">
        <x:v>5</x:v>
      </x:c>
      <x:c r="I795" s="19" t="n">
        <x:v>6</x:v>
      </x:c>
      <x:c r="J795" s="19" t="n">
        <x:v>3</x:v>
      </x:c>
      <x:c r="K795" s="16" t="str">
        <x:v>3. Minor deterioration</x:v>
      </x:c>
      <x:c r="L795" s="16" t="str">
        <x:v>Unlikely</x:v>
      </x:c>
      <x:c r="M795" s="16" t="str">
        <x:v>Significant</x:v>
      </x:c>
      <x:c r="N795" s="16" t="str">
        <x:v>Moderate</x:v>
      </x:c>
    </x:row>
    <x:row r="796" ht="37" customHeight="1">
      <x:c r="A796" s="16" t="str">
        <x:v>RAW-00790</x:v>
      </x:c>
      <x:c r="B796" s="16" t="str">
        <x:v>Observation</x:v>
      </x:c>
      <x:c r="C796" s="16" t="str">
        <x:v>– Left hand side fence post has minor corrosion.</x:v>
      </x:c>
      <x:c r="D796" s="16" t="str">
        <x:v>Fencing posts</x:v>
      </x:c>
      <x:c r="E796" s="16" t="str">
        <x:v>SRC-048</x:v>
      </x:c>
      <x:c r="F796" s="16" t="str">
        <x:v>OBS-0342</x:v>
      </x:c>
      <x:c r="G796" s="16" t="str">
        <x:v>正式报告</x:v>
      </x:c>
      <x:c r="H796" s="19" t="n">
        <x:v>5</x:v>
      </x:c>
      <x:c r="I796" s="19" t="n">
        <x:v>9</x:v>
      </x:c>
      <x:c r="J796" s="19" t="n">
        <x:v>1</x:v>
      </x:c>
      <x:c r="K796" s="16" t="str">
        <x:v>3. Minor deterioration</x:v>
      </x:c>
      <x:c r="L796" s="16" t="str">
        <x:v>Unlikely</x:v>
      </x:c>
      <x:c r="M796" s="16" t="str">
        <x:v>Significant</x:v>
      </x:c>
      <x:c r="N796" s="16" t="str">
        <x:v>Moderate</x:v>
      </x:c>
    </x:row>
    <x:row r="797" ht="37" customHeight="1">
      <x:c r="A797" s="16" t="str">
        <x:v>RAW-00791</x:v>
      </x:c>
      <x:c r="B797" s="16" t="str">
        <x:v>Recommendation</x:v>
      </x:c>
      <x:c r="C797" s="16" t="str">
        <x:v>– Clean, wire brush and repaint.</x:v>
      </x:c>
      <x:c r="D797" s="16" t="str">
        <x:v>Fencing posts</x:v>
      </x:c>
      <x:c r="E797" s="16" t="str">
        <x:v>SRC-048</x:v>
      </x:c>
      <x:c r="F797" s="16" t="str">
        <x:v>REC-0001</x:v>
      </x:c>
      <x:c r="G797" s="16" t="str">
        <x:v>正式报告</x:v>
      </x:c>
      <x:c r="H797" s="19" t="n">
        <x:v>5</x:v>
      </x:c>
      <x:c r="I797" s="19" t="n">
        <x:v>9</x:v>
      </x:c>
      <x:c r="J797" s="19" t="n">
        <x:v>1</x:v>
      </x:c>
      <x:c r="K797" s="16" t="str">
        <x:v>3. Minor deterioration</x:v>
      </x:c>
      <x:c r="L797" s="16" t="str">
        <x:v>Unlikely</x:v>
      </x:c>
      <x:c r="M797" s="16" t="str">
        <x:v>Significant</x:v>
      </x:c>
      <x:c r="N797" s="16" t="str">
        <x:v>Moderate</x:v>
      </x:c>
    </x:row>
    <x:row r="798" ht="37" customHeight="1">
      <x:c r="A798" s="16" t="str">
        <x:v>RAW-00792</x:v>
      </x:c>
      <x:c r="B798" s="16" t="str">
        <x:v>Observation</x:v>
      </x:c>
      <x:c r="C798" s="16" t="str">
        <x:v>– Shade structure columns have minor corrosion and paint deterioration.</x:v>
      </x:c>
      <x:c r="D798" s="16" t="str">
        <x:v>Shade structure columns</x:v>
      </x:c>
      <x:c r="E798" s="16" t="str">
        <x:v>SRC-048</x:v>
      </x:c>
      <x:c r="F798" s="16" t="str">
        <x:v>OBS-0565</x:v>
      </x:c>
      <x:c r="G798" s="16" t="str">
        <x:v>正式报告</x:v>
      </x:c>
      <x:c r="H798" s="19" t="n">
        <x:v>6</x:v>
      </x:c>
      <x:c r="I798" s="19" t="n">
        <x:v>6</x:v>
      </x:c>
      <x:c r="J798" s="19" t="n">
        <x:v>2</x:v>
      </x:c>
      <x:c r="K798" s="16" t="str">
        <x:v>3. Minor deterioration</x:v>
      </x:c>
      <x:c r="L798" s="16" t="str">
        <x:v>Unlikely</x:v>
      </x:c>
      <x:c r="M798" s="16" t="str">
        <x:v>Moderate</x:v>
      </x:c>
      <x:c r="N798" s="16" t="str">
        <x:v>Moderate</x:v>
      </x:c>
    </x:row>
    <x:row r="799" ht="37" customHeight="1">
      <x:c r="A799" s="16" t="str">
        <x:v>RAW-00793</x:v>
      </x:c>
      <x:c r="B799" s="16" t="str">
        <x:v>Recommendation</x:v>
      </x:c>
      <x:c r="C799" s="16" t="str">
        <x:v>– Excavate to base and investigate corrosion. Clean, wire brush and repaint.</x:v>
      </x:c>
      <x:c r="D799" s="16" t="str">
        <x:v>Shade structure columns</x:v>
      </x:c>
      <x:c r="E799" s="16" t="str">
        <x:v>SRC-048</x:v>
      </x:c>
      <x:c r="F799" s="16" t="str">
        <x:v>REC-0092</x:v>
      </x:c>
      <x:c r="G799" s="16" t="str">
        <x:v>正式报告</x:v>
      </x:c>
      <x:c r="H799" s="19" t="n">
        <x:v>6</x:v>
      </x:c>
      <x:c r="I799" s="19" t="n">
        <x:v>6</x:v>
      </x:c>
      <x:c r="J799" s="19" t="n">
        <x:v>2</x:v>
      </x:c>
      <x:c r="K799" s="16" t="str">
        <x:v>3. Minor deterioration</x:v>
      </x:c>
      <x:c r="L799" s="16" t="str">
        <x:v>Unlikely</x:v>
      </x:c>
      <x:c r="M799" s="16" t="str">
        <x:v>Moderate</x:v>
      </x:c>
      <x:c r="N799" s="16" t="str">
        <x:v>Moderate</x:v>
      </x:c>
    </x:row>
    <x:row r="800" ht="37" customHeight="1">
      <x:c r="A800" s="16" t="str">
        <x:v>RAW-00794</x:v>
      </x:c>
      <x:c r="B800" s="16" t="str">
        <x:v>Observation</x:v>
      </x:c>
      <x:c r="C800" s="16" t="str">
        <x:v>– Hole in roof where gutter was.</x:v>
      </x:c>
      <x:c r="D800" s="16" t="str">
        <x:v>Roof sheeting</x:v>
      </x:c>
      <x:c r="E800" s="16" t="str">
        <x:v>SRC-048</x:v>
      </x:c>
      <x:c r="F800" s="16" t="str">
        <x:v>OBS-0054</x:v>
      </x:c>
      <x:c r="G800" s="16" t="str">
        <x:v>正式报告</x:v>
      </x:c>
      <x:c r="H800" s="19" t="n">
        <x:v>7</x:v>
      </x:c>
      <x:c r="I800" s="19" t="n">
        <x:v>6</x:v>
      </x:c>
      <x:c r="J800" s="19" t="n">
        <x:v>1</x:v>
      </x:c>
      <x:c r="K800" s="16" t="str">
        <x:v>6. Severe deterioration</x:v>
      </x:c>
      <x:c r="L800" s="16" t="str">
        <x:v>Very likely</x:v>
      </x:c>
      <x:c r="M800" s="16" t="str">
        <x:v>Negligible</x:v>
      </x:c>
      <x:c r="N800" s="16" t="str">
        <x:v>Moderate</x:v>
      </x:c>
    </x:row>
    <x:row r="801" ht="37" customHeight="1">
      <x:c r="A801" s="16" t="str">
        <x:v>RAW-00795</x:v>
      </x:c>
      <x:c r="B801" s="16" t="str">
        <x:v>Recommendation</x:v>
      </x:c>
      <x:c r="C801" s="16" t="str">
        <x:v>– Cover hole with steel sheet.</x:v>
      </x:c>
      <x:c r="D801" s="16" t="str">
        <x:v>Roof sheeting</x:v>
      </x:c>
      <x:c r="E801" s="16" t="str">
        <x:v>SRC-048</x:v>
      </x:c>
      <x:c r="F801" s="16" t="str">
        <x:v>REC-0030</x:v>
      </x:c>
      <x:c r="G801" s="16" t="str">
        <x:v>正式报告</x:v>
      </x:c>
      <x:c r="H801" s="19" t="n">
        <x:v>7</x:v>
      </x:c>
      <x:c r="I801" s="19" t="n">
        <x:v>6</x:v>
      </x:c>
      <x:c r="J801" s="19" t="n">
        <x:v>1</x:v>
      </x:c>
      <x:c r="K801" s="16" t="str">
        <x:v>6. Severe deterioration</x:v>
      </x:c>
      <x:c r="L801" s="16" t="str">
        <x:v>Very likely</x:v>
      </x:c>
      <x:c r="M801" s="16" t="str">
        <x:v>Negligible</x:v>
      </x:c>
      <x:c r="N801" s="16" t="str">
        <x:v>Moderate</x:v>
      </x:c>
    </x:row>
    <x:row r="802" ht="41" customHeight="1">
      <x:c r="A802" s="16" t="str">
        <x:v>RAW-00796</x:v>
      </x:c>
      <x:c r="B802" s="16" t="str">
        <x:v>Observation</x:v>
      </x:c>
      <x:c r="C802" s="16" t="str">
        <x:v>– Back right hand side corner facing front of the house. Hole in roof above rafter has increased rate of corrosion.</x:v>
      </x:c>
      <x:c r="D802" s="16" t="str">
        <x:v>Roof sheeting</x:v>
      </x:c>
      <x:c r="E802" s="16" t="str">
        <x:v>SRC-048</x:v>
      </x:c>
      <x:c r="F802" s="16" t="str">
        <x:v>OBS-0108</x:v>
      </x:c>
      <x:c r="G802" s="16" t="str">
        <x:v>正式报告</x:v>
      </x:c>
      <x:c r="H802" s="19" t="n">
        <x:v>7</x:v>
      </x:c>
      <x:c r="I802" s="19" t="n">
        <x:v>7</x:v>
      </x:c>
      <x:c r="J802" s="19" t="n">
        <x:v>1</x:v>
      </x:c>
      <x:c r="K802" s="16" t="str">
        <x:v>6. Severe deterioration</x:v>
      </x:c>
      <x:c r="L802" s="16" t="str">
        <x:v>Very likely</x:v>
      </x:c>
      <x:c r="M802" s="16" t="str">
        <x:v>Negligible</x:v>
      </x:c>
      <x:c r="N802" s="16" t="str">
        <x:v>Moderate</x:v>
      </x:c>
    </x:row>
    <x:row r="803" ht="37" customHeight="1">
      <x:c r="A803" s="16" t="str">
        <x:v>RAW-00797</x:v>
      </x:c>
      <x:c r="B803" s="16" t="str">
        <x:v>Recommendation</x:v>
      </x:c>
      <x:c r="C803" s="16" t="str">
        <x:v>– Cover hole with steel sheet.</x:v>
      </x:c>
      <x:c r="D803" s="16" t="str">
        <x:v>Roof sheeting</x:v>
      </x:c>
      <x:c r="E803" s="16" t="str">
        <x:v>SRC-048</x:v>
      </x:c>
      <x:c r="F803" s="16" t="str">
        <x:v>REC-0030</x:v>
      </x:c>
      <x:c r="G803" s="16" t="str">
        <x:v>正式报告</x:v>
      </x:c>
      <x:c r="H803" s="19" t="n">
        <x:v>7</x:v>
      </x:c>
      <x:c r="I803" s="19" t="n">
        <x:v>7</x:v>
      </x:c>
      <x:c r="J803" s="19" t="n">
        <x:v>1</x:v>
      </x:c>
      <x:c r="K803" s="16" t="str">
        <x:v>6. Severe deterioration</x:v>
      </x:c>
      <x:c r="L803" s="16" t="str">
        <x:v>Very likely</x:v>
      </x:c>
      <x:c r="M803" s="16" t="str">
        <x:v>Negligible</x:v>
      </x:c>
      <x:c r="N803" s="16" t="str">
        <x:v>Moderate</x:v>
      </x:c>
    </x:row>
    <x:row r="804" ht="37" customHeight="1">
      <x:c r="A804" s="16" t="str">
        <x:v>RAW-00798</x:v>
      </x:c>
      <x:c r="B804" s="16" t="str">
        <x:v>Observation</x:v>
      </x:c>
      <x:c r="C804" s="16" t="str">
        <x:v>– Window is right hand side of front door. Window guard has screw missing.</x:v>
      </x:c>
      <x:c r="D804" s="16" t="str">
        <x:v>Cladding and framing</x:v>
      </x:c>
      <x:c r="E804" s="16" t="str">
        <x:v>SRC-048</x:v>
      </x:c>
      <x:c r="F804" s="16" t="str">
        <x:v>OBS-0612</x:v>
      </x:c>
      <x:c r="G804" s="16" t="str">
        <x:v>正式报告</x:v>
      </x:c>
      <x:c r="H804" s="19" t="n">
        <x:v>8</x:v>
      </x:c>
      <x:c r="I804" s="19" t="n">
        <x:v>6</x:v>
      </x:c>
      <x:c r="J804" s="19" t="n">
        <x:v>1</x:v>
      </x:c>
      <x:c r="K804" s="16" t="str">
        <x:v>4. Moderate deterioration</x:v>
      </x:c>
      <x:c r="L804" s="16" t="str">
        <x:v>Possible</x:v>
      </x:c>
      <x:c r="M804" s="16" t="str">
        <x:v>Negligible</x:v>
      </x:c>
      <x:c r="N804" s="16" t="str">
        <x:v>Low</x:v>
      </x:c>
    </x:row>
    <x:row r="805" ht="37" customHeight="1">
      <x:c r="A805" s="16" t="str">
        <x:v>RAW-00799</x:v>
      </x:c>
      <x:c r="B805" s="16" t="str">
        <x:v>Recommendation</x:v>
      </x:c>
      <x:c r="C805" s="16" t="str">
        <x:v>– Tighten loose screws and replace missing screws.</x:v>
      </x:c>
      <x:c r="D805" s="16" t="str">
        <x:v>Cladding and framing</x:v>
      </x:c>
      <x:c r="E805" s="16" t="str">
        <x:v>SRC-048</x:v>
      </x:c>
      <x:c r="F805" s="16" t="str">
        <x:v>REC-0022</x:v>
      </x:c>
      <x:c r="G805" s="16" t="str">
        <x:v>正式报告</x:v>
      </x:c>
      <x:c r="H805" s="19" t="n">
        <x:v>8</x:v>
      </x:c>
      <x:c r="I805" s="19" t="n">
        <x:v>6</x:v>
      </x:c>
      <x:c r="J805" s="19" t="n">
        <x:v>1</x:v>
      </x:c>
      <x:c r="K805" s="16" t="str">
        <x:v>4. Moderate deterioration</x:v>
      </x:c>
      <x:c r="L805" s="16" t="str">
        <x:v>Possible</x:v>
      </x:c>
      <x:c r="M805" s="16" t="str">
        <x:v>Negligible</x:v>
      </x:c>
      <x:c r="N805" s="16" t="str">
        <x:v>Low</x:v>
      </x:c>
    </x:row>
    <x:row r="806" ht="37" customHeight="1">
      <x:c r="A806" s="16" t="str">
        <x:v>RAW-00800</x:v>
      </x:c>
      <x:c r="B806" s="16" t="str">
        <x:v>Observation</x:v>
      </x:c>
      <x:c r="C806" s="16" t="str">
        <x:v>– Window is right hand side of front door. Screws are missing or loose.</x:v>
      </x:c>
      <x:c r="D806" s="16" t="str">
        <x:v>Cladding and framing</x:v>
      </x:c>
      <x:c r="E806" s="16" t="str">
        <x:v>SRC-048</x:v>
      </x:c>
      <x:c r="F806" s="16" t="str">
        <x:v>OBS-0089</x:v>
      </x:c>
      <x:c r="G806" s="16" t="str">
        <x:v>正式报告</x:v>
      </x:c>
      <x:c r="H806" s="19" t="n">
        <x:v>8</x:v>
      </x:c>
      <x:c r="I806" s="19" t="n">
        <x:v>7</x:v>
      </x:c>
      <x:c r="J806" s="19" t="n">
        <x:v>2</x:v>
      </x:c>
      <x:c r="K806" s="16" t="str">
        <x:v>4. Moderate deterioration</x:v>
      </x:c>
      <x:c r="L806" s="16" t="str">
        <x:v>Possible</x:v>
      </x:c>
      <x:c r="M806" s="16" t="str">
        <x:v>Negligible</x:v>
      </x:c>
      <x:c r="N806" s="16" t="str">
        <x:v>Low</x:v>
      </x:c>
    </x:row>
    <x:row r="807" ht="37" customHeight="1">
      <x:c r="A807" s="16" t="str">
        <x:v>RAW-00801</x:v>
      </x:c>
      <x:c r="B807" s="16" t="str">
        <x:v>Recommendation</x:v>
      </x:c>
      <x:c r="C807" s="16" t="str">
        <x:v>– Tighten loose screws and replace missing screws.</x:v>
      </x:c>
      <x:c r="D807" s="16" t="str">
        <x:v>Cladding and framing</x:v>
      </x:c>
      <x:c r="E807" s="16" t="str">
        <x:v>SRC-048</x:v>
      </x:c>
      <x:c r="F807" s="16" t="str">
        <x:v>REC-0022</x:v>
      </x:c>
      <x:c r="G807" s="16" t="str">
        <x:v>正式报告</x:v>
      </x:c>
      <x:c r="H807" s="19" t="n">
        <x:v>8</x:v>
      </x:c>
      <x:c r="I807" s="19" t="n">
        <x:v>7</x:v>
      </x:c>
      <x:c r="J807" s="19" t="n">
        <x:v>2</x:v>
      </x:c>
      <x:c r="K807" s="16" t="str">
        <x:v>4. Moderate deterioration</x:v>
      </x:c>
      <x:c r="L807" s="16" t="str">
        <x:v>Possible</x:v>
      </x:c>
      <x:c r="M807" s="16" t="str">
        <x:v>Negligible</x:v>
      </x:c>
      <x:c r="N807" s="16" t="str">
        <x:v>Low</x:v>
      </x:c>
    </x:row>
    <x:row r="808" ht="37" customHeight="1">
      <x:c r="A808" s="16" t="str">
        <x:v>RAW-00802</x:v>
      </x:c>
      <x:c r="B808" s="16" t="str">
        <x:v>Observation</x:v>
      </x:c>
      <x:c r="C808" s="16" t="str">
        <x:v>– Window is right hand side of front door. Screws are missing or loose.</x:v>
      </x:c>
      <x:c r="D808" s="16" t="str">
        <x:v>Cladding and framing</x:v>
      </x:c>
      <x:c r="E808" s="16" t="str">
        <x:v>SRC-048</x:v>
      </x:c>
      <x:c r="F808" s="16" t="str">
        <x:v>OBS-0089</x:v>
      </x:c>
      <x:c r="G808" s="16" t="str">
        <x:v>正式报告</x:v>
      </x:c>
      <x:c r="H808" s="19" t="n">
        <x:v>8</x:v>
      </x:c>
      <x:c r="I808" s="19" t="n">
        <x:v>9</x:v>
      </x:c>
      <x:c r="J808" s="19" t="n">
        <x:v>1</x:v>
      </x:c>
      <x:c r="K808" s="16" t="str">
        <x:v>4. Moderate deterioration</x:v>
      </x:c>
      <x:c r="L808" s="16" t="str">
        <x:v>Possible</x:v>
      </x:c>
      <x:c r="M808" s="16" t="str">
        <x:v>Negligible</x:v>
      </x:c>
      <x:c r="N808" s="16" t="str">
        <x:v>Low</x:v>
      </x:c>
    </x:row>
    <x:row r="809" ht="37" customHeight="1">
      <x:c r="A809" s="16" t="str">
        <x:v>RAW-00803</x:v>
      </x:c>
      <x:c r="B809" s="16" t="str">
        <x:v>Recommendation</x:v>
      </x:c>
      <x:c r="C809" s="16" t="str">
        <x:v>– Tighten loose screws and replace missing screws.</x:v>
      </x:c>
      <x:c r="D809" s="16" t="str">
        <x:v>Cladding and framing</x:v>
      </x:c>
      <x:c r="E809" s="16" t="str">
        <x:v>SRC-048</x:v>
      </x:c>
      <x:c r="F809" s="16" t="str">
        <x:v>REC-0022</x:v>
      </x:c>
      <x:c r="G809" s="16" t="str">
        <x:v>正式报告</x:v>
      </x:c>
      <x:c r="H809" s="19" t="n">
        <x:v>8</x:v>
      </x:c>
      <x:c r="I809" s="19" t="n">
        <x:v>9</x:v>
      </x:c>
      <x:c r="J809" s="19" t="n">
        <x:v>1</x:v>
      </x:c>
      <x:c r="K809" s="16" t="str">
        <x:v>4. Moderate deterioration</x:v>
      </x:c>
      <x:c r="L809" s="16" t="str">
        <x:v>Possible</x:v>
      </x:c>
      <x:c r="M809" s="16" t="str">
        <x:v>Negligible</x:v>
      </x:c>
      <x:c r="N809" s="16" t="str">
        <x:v>Low</x:v>
      </x:c>
    </x:row>
    <x:row r="810" ht="37" customHeight="1">
      <x:c r="A810" s="16" t="str">
        <x:v>RAW-00804</x:v>
      </x:c>
      <x:c r="B810" s="16" t="str">
        <x:v>Observation</x:v>
      </x:c>
      <x:c r="C810" s="16" t="str">
        <x:v>– Window is left hand side of front door. Screws have minor corrosion.</x:v>
      </x:c>
      <x:c r="D810" s="16" t="str">
        <x:v>Cladding and framing</x:v>
      </x:c>
      <x:c r="E810" s="16" t="str">
        <x:v>SRC-048</x:v>
      </x:c>
      <x:c r="F810" s="16" t="str">
        <x:v>OBS-0611</x:v>
      </x:c>
      <x:c r="G810" s="16" t="str">
        <x:v>正式报告</x:v>
      </x:c>
      <x:c r="H810" s="19" t="n">
        <x:v>8</x:v>
      </x:c>
      <x:c r="I810" s="19" t="n">
        <x:v>10</x:v>
      </x:c>
      <x:c r="J810" s="19" t="n">
        <x:v>2</x:v>
      </x:c>
      <x:c r="K810" s="16" t="str">
        <x:v>4. Moderate deterioration</x:v>
      </x:c>
      <x:c r="L810" s="16" t="str">
        <x:v>Possible</x:v>
      </x:c>
      <x:c r="M810" s="16" t="str">
        <x:v>Negligible</x:v>
      </x:c>
      <x:c r="N810" s="16" t="str">
        <x:v>Low</x:v>
      </x:c>
    </x:row>
    <x:row r="811" ht="37" customHeight="1">
      <x:c r="A811" s="16" t="str">
        <x:v>RAW-00805</x:v>
      </x:c>
      <x:c r="B811" s="16" t="str">
        <x:v>Recommendation</x:v>
      </x:c>
      <x:c r="C811" s="16" t="str">
        <x:v>– Clean, wire brush and repaint.</x:v>
      </x:c>
      <x:c r="D811" s="16" t="str">
        <x:v>Cladding and framing</x:v>
      </x:c>
      <x:c r="E811" s="16" t="str">
        <x:v>SRC-048</x:v>
      </x:c>
      <x:c r="F811" s="16" t="str">
        <x:v>REC-0001</x:v>
      </x:c>
      <x:c r="G811" s="16" t="str">
        <x:v>正式报告</x:v>
      </x:c>
      <x:c r="H811" s="19" t="n">
        <x:v>8</x:v>
      </x:c>
      <x:c r="I811" s="19" t="n">
        <x:v>10</x:v>
      </x:c>
      <x:c r="J811" s="19" t="n">
        <x:v>2</x:v>
      </x:c>
      <x:c r="K811" s="16" t="str">
        <x:v>4. Moderate deterioration</x:v>
      </x:c>
      <x:c r="L811" s="16" t="str">
        <x:v>Possible</x:v>
      </x:c>
      <x:c r="M811" s="16" t="str">
        <x:v>Negligible</x:v>
      </x:c>
      <x:c r="N811" s="16" t="str">
        <x:v>Low</x:v>
      </x:c>
    </x:row>
    <x:row r="812" ht="37" customHeight="1">
      <x:c r="A812" s="16" t="str">
        <x:v>RAW-00806</x:v>
      </x:c>
      <x:c r="B812" s="16" t="str">
        <x:v>Observation</x:v>
      </x:c>
      <x:c r="C812" s="16" t="str">
        <x:v>– Minor corrosion of screws and cladding.</x:v>
      </x:c>
      <x:c r="D812" s="16" t="str">
        <x:v>Cladding and framing</x:v>
      </x:c>
      <x:c r="E812" s="16" t="str">
        <x:v>SRC-048</x:v>
      </x:c>
      <x:c r="F812" s="16" t="str">
        <x:v>OBS-0392</x:v>
      </x:c>
      <x:c r="G812" s="16" t="str">
        <x:v>正式报告</x:v>
      </x:c>
      <x:c r="H812" s="19" t="n">
        <x:v>8</x:v>
      </x:c>
      <x:c r="I812" s="19" t="n">
        <x:v>12</x:v>
      </x:c>
      <x:c r="J812" s="19" t="n">
        <x:v>1</x:v>
      </x:c>
      <x:c r="K812" s="16" t="str">
        <x:v>4. Moderate deterioration</x:v>
      </x:c>
      <x:c r="L812" s="16" t="str">
        <x:v>Possible</x:v>
      </x:c>
      <x:c r="M812" s="16" t="str">
        <x:v>Negligible</x:v>
      </x:c>
      <x:c r="N812" s="16" t="str">
        <x:v>Low</x:v>
      </x:c>
    </x:row>
    <x:row r="813" ht="37" customHeight="1">
      <x:c r="A813" s="16" t="str">
        <x:v>RAW-00807</x:v>
      </x:c>
      <x:c r="B813" s="16" t="str">
        <x:v>Recommendation</x:v>
      </x:c>
      <x:c r="C813" s="16" t="str">
        <x:v>– Clean, wire brush and repaint.</x:v>
      </x:c>
      <x:c r="D813" s="16" t="str">
        <x:v>Cladding and framing</x:v>
      </x:c>
      <x:c r="E813" s="16" t="str">
        <x:v>SRC-048</x:v>
      </x:c>
      <x:c r="F813" s="16" t="str">
        <x:v>REC-0001</x:v>
      </x:c>
      <x:c r="G813" s="16" t="str">
        <x:v>正式报告</x:v>
      </x:c>
      <x:c r="H813" s="19" t="n">
        <x:v>8</x:v>
      </x:c>
      <x:c r="I813" s="19" t="n">
        <x:v>12</x:v>
      </x:c>
      <x:c r="J813" s="19" t="n">
        <x:v>1</x:v>
      </x:c>
      <x:c r="K813" s="16" t="str">
        <x:v>4. Moderate deterioration</x:v>
      </x:c>
      <x:c r="L813" s="16" t="str">
        <x:v>Possible</x:v>
      </x:c>
      <x:c r="M813" s="16" t="str">
        <x:v>Negligible</x:v>
      </x:c>
      <x:c r="N813" s="16" t="str">
        <x:v>Low</x:v>
      </x:c>
    </x:row>
    <x:row r="814" ht="37" customHeight="1">
      <x:c r="A814" s="16" t="str">
        <x:v>RAW-00808</x:v>
      </x:c>
      <x:c r="B814" s="16" t="str">
        <x:v>Observation</x:v>
      </x:c>
      <x:c r="C814" s="16" t="str">
        <x:v>– Front of property. Minor corrosion of cladding surrounding outlet pipes.</x:v>
      </x:c>
      <x:c r="D814" s="16" t="str">
        <x:v>Cladding and framing</x:v>
      </x:c>
      <x:c r="E814" s="16" t="str">
        <x:v>SRC-048</x:v>
      </x:c>
      <x:c r="F814" s="16" t="str">
        <x:v>OBS-0279</x:v>
      </x:c>
      <x:c r="G814" s="16" t="str">
        <x:v>正式报告</x:v>
      </x:c>
      <x:c r="H814" s="19" t="n">
        <x:v>8</x:v>
      </x:c>
      <x:c r="I814" s="19" t="n">
        <x:v>13</x:v>
      </x:c>
      <x:c r="J814" s="19" t="n">
        <x:v>2</x:v>
      </x:c>
      <x:c r="K814" s="16" t="str">
        <x:v>4. Moderate deterioration</x:v>
      </x:c>
      <x:c r="L814" s="16" t="str">
        <x:v>Possible</x:v>
      </x:c>
      <x:c r="M814" s="16" t="str">
        <x:v>Negligible</x:v>
      </x:c>
      <x:c r="N814" s="16" t="str">
        <x:v>Low</x:v>
      </x:c>
    </x:row>
    <x:row r="815" ht="37" customHeight="1">
      <x:c r="A815" s="16" t="str">
        <x:v>RAW-00809</x:v>
      </x:c>
      <x:c r="B815" s="16" t="str">
        <x:v>Recommendation</x:v>
      </x:c>
      <x:c r="C815" s="16" t="str">
        <x:v>– Clean, wire brush and repaint.</x:v>
      </x:c>
      <x:c r="D815" s="16" t="str">
        <x:v>Cladding and framing</x:v>
      </x:c>
      <x:c r="E815" s="16" t="str">
        <x:v>SRC-048</x:v>
      </x:c>
      <x:c r="F815" s="16" t="str">
        <x:v>REC-0001</x:v>
      </x:c>
      <x:c r="G815" s="16" t="str">
        <x:v>正式报告</x:v>
      </x:c>
      <x:c r="H815" s="19" t="n">
        <x:v>8</x:v>
      </x:c>
      <x:c r="I815" s="19" t="n">
        <x:v>13</x:v>
      </x:c>
      <x:c r="J815" s="19" t="n">
        <x:v>2</x:v>
      </x:c>
      <x:c r="K815" s="16" t="str">
        <x:v>4. Moderate deterioration</x:v>
      </x:c>
      <x:c r="L815" s="16" t="str">
        <x:v>Possible</x:v>
      </x:c>
      <x:c r="M815" s="16" t="str">
        <x:v>Negligible</x:v>
      </x:c>
      <x:c r="N815" s="16" t="str">
        <x:v>Low</x:v>
      </x:c>
    </x:row>
    <x:row r="816" ht="41" customHeight="1">
      <x:c r="A816" s="16" t="str">
        <x:v>RAW-00810</x:v>
      </x:c>
      <x:c r="B816" s="16" t="str">
        <x:v>Observation</x:v>
      </x:c>
      <x:c r="C816" s="16" t="str">
        <x:v>– Major corrosion of one verandah column circled in image. All other columns are in good condition.
– Major corrosion of one verandah column</x:v>
      </x:c>
      <x:c r="D816" s="16" t="str">
        <x:v>Columns</x:v>
      </x:c>
      <x:c r="E816" s="16" t="str">
        <x:v>SRC-049</x:v>
      </x:c>
      <x:c r="F816" s="16" t="str">
        <x:v>OBS-0370</x:v>
      </x:c>
      <x:c r="G816" s="16" t="str">
        <x:v>正式报告</x:v>
      </x:c>
      <x:c r="H816" s="19" t="n">
        <x:v>3</x:v>
      </x:c>
      <x:c r="I816" s="19" t="n">
        <x:v>6</x:v>
      </x:c>
      <x:c r="J816" s="19" t="n">
        <x:v>2</x:v>
      </x:c>
      <x:c r="K816" s="16" t="str">
        <x:v>5. Major deterioration</x:v>
      </x:c>
      <x:c r="L816" s="16" t="str">
        <x:v>Likely</x:v>
      </x:c>
      <x:c r="M816" s="16" t="str">
        <x:v>Significant</x:v>
      </x:c>
      <x:c r="N816" s="16" t="str">
        <x:v>Critical</x:v>
      </x:c>
    </x:row>
    <x:row r="817" ht="37" customHeight="1">
      <x:c r="A817" s="16" t="str">
        <x:v>RAW-00811</x:v>
      </x:c>
      <x:c r="B817" s="16" t="str">
        <x:v>Recommendation</x:v>
      </x:c>
      <x:c r="C817" s="16" t="str">
        <x:v>– Clean, wire brush and repaint.</x:v>
      </x:c>
      <x:c r="D817" s="16" t="str">
        <x:v>Columns</x:v>
      </x:c>
      <x:c r="E817" s="16" t="str">
        <x:v>SRC-049</x:v>
      </x:c>
      <x:c r="F817" s="16" t="str">
        <x:v>REC-0001</x:v>
      </x:c>
      <x:c r="G817" s="16" t="str">
        <x:v>正式报告</x:v>
      </x:c>
      <x:c r="H817" s="19" t="n">
        <x:v>3</x:v>
      </x:c>
      <x:c r="I817" s="19" t="n">
        <x:v>6</x:v>
      </x:c>
      <x:c r="J817" s="19" t="n">
        <x:v>2</x:v>
      </x:c>
      <x:c r="K817" s="16" t="str">
        <x:v>5. Major deterioration</x:v>
      </x:c>
      <x:c r="L817" s="16" t="str">
        <x:v>Likely</x:v>
      </x:c>
      <x:c r="M817" s="16" t="str">
        <x:v>Significant</x:v>
      </x:c>
      <x:c r="N817" s="16" t="str">
        <x:v>Critical</x:v>
      </x:c>
    </x:row>
    <x:row r="818" ht="37" customHeight="1">
      <x:c r="A818" s="16" t="str">
        <x:v>RAW-00812</x:v>
      </x:c>
      <x:c r="B818" s="16" t="str">
        <x:v>Observation</x:v>
      </x:c>
      <x:c r="C818" s="16" t="str">
        <x:v>– Fencing posts on left hand side of property facing the front entrance. Bitumen paint deterioration.</x:v>
      </x:c>
      <x:c r="D818" s="16" t="str">
        <x:v>Fencing post</x:v>
      </x:c>
      <x:c r="E818" s="16" t="str">
        <x:v>SRC-049</x:v>
      </x:c>
      <x:c r="F818" s="16" t="str">
        <x:v>OBS-0005</x:v>
      </x:c>
      <x:c r="G818" s="16" t="str">
        <x:v>正式报告</x:v>
      </x:c>
      <x:c r="H818" s="19" t="n">
        <x:v>4</x:v>
      </x:c>
      <x:c r="I818" s="19" t="n">
        <x:v>6</x:v>
      </x:c>
      <x:c r="J818" s="19" t="n">
        <x:v>2</x:v>
      </x:c>
      <x:c r="K818" s="16" t="str">
        <x:v>2. New with slight deterioration</x:v>
      </x:c>
      <x:c r="L818" s="16" t="str">
        <x:v>Very unlikely</x:v>
      </x:c>
      <x:c r="M818" s="16" t="str">
        <x:v>Moderate</x:v>
      </x:c>
      <x:c r="N818" s="16" t="str">
        <x:v>Low</x:v>
      </x:c>
    </x:row>
    <x:row r="819" ht="41" customHeight="1">
      <x:c r="A819" s="16" t="str">
        <x:v>RAW-00813</x:v>
      </x:c>
      <x:c r="B819" s="16" t="str">
        <x:v>Recommendation</x:v>
      </x:c>
      <x:c r="C819" s="16" t="str">
        <x:v>– Clean and repaint. Expose the base and investigate the condition. Undertake appropriate repair stated within Section 3.</x:v>
      </x:c>
      <x:c r="D819" s="16" t="str">
        <x:v>Fencing post</x:v>
      </x:c>
      <x:c r="E819" s="16" t="str">
        <x:v>SRC-049</x:v>
      </x:c>
      <x:c r="F819" s="16" t="str">
        <x:v>REC-0056</x:v>
      </x:c>
      <x:c r="G819" s="16" t="str">
        <x:v>正式报告</x:v>
      </x:c>
      <x:c r="H819" s="19" t="n">
        <x:v>4</x:v>
      </x:c>
      <x:c r="I819" s="19" t="n">
        <x:v>6</x:v>
      </x:c>
      <x:c r="J819" s="19" t="n">
        <x:v>2</x:v>
      </x:c>
      <x:c r="K819" s="16" t="str">
        <x:v>2. New with slight deterioration</x:v>
      </x:c>
      <x:c r="L819" s="16" t="str">
        <x:v>Very unlikely</x:v>
      </x:c>
      <x:c r="M819" s="16" t="str">
        <x:v>Moderate</x:v>
      </x:c>
      <x:c r="N819" s="16" t="str">
        <x:v>Low</x:v>
      </x:c>
    </x:row>
    <x:row r="820" ht="37" customHeight="1">
      <x:c r="A820" s="16" t="str">
        <x:v>RAW-00814</x:v>
      </x:c>
      <x:c r="B820" s="16" t="str">
        <x:v>Observation</x:v>
      </x:c>
      <x:c r="C820" s="16" t="str">
        <x:v>– Carport overview.</x:v>
      </x:c>
      <x:c r="D820" s="16" t="str">
        <x:v>Purlins and rafters</x:v>
      </x:c>
      <x:c r="E820" s="16" t="str">
        <x:v>SRC-049</x:v>
      </x:c>
      <x:c r="F820" s="16" t="str">
        <x:v>OBS-0008</x:v>
      </x:c>
      <x:c r="G820" s="16" t="str">
        <x:v>正式报告</x:v>
      </x:c>
      <x:c r="H820" s="19" t="n">
        <x:v>5</x:v>
      </x:c>
      <x:c r="I820" s="19" t="n">
        <x:v>6</x:v>
      </x:c>
      <x:c r="J820" s="19" t="n">
        <x:v>1</x:v>
      </x:c>
      <x:c r="K820" s="16" t="str">
        <x:v>2. New with slight deterioration</x:v>
      </x:c>
      <x:c r="L820" s="16" t="str">
        <x:v>Very unlikely</x:v>
      </x:c>
      <x:c r="M820" s="16" t="str">
        <x:v>Significant</x:v>
      </x:c>
      <x:c r="N820" s="16" t="str">
        <x:v>Low</x:v>
      </x:c>
    </x:row>
    <x:row r="821" ht="41" customHeight="1">
      <x:c r="A821" s="16" t="str">
        <x:v>RAW-00815</x:v>
      </x:c>
      <x:c r="B821" s="16" t="str">
        <x:v>Observation</x:v>
      </x:c>
      <x:c r="C821" s="16" t="str">
        <x:v>– Right hand side of house facing the entrance. Minor corrosion to rafters and purlins. Salt staining on purlins.</x:v>
      </x:c>
      <x:c r="D821" s="16" t="str">
        <x:v>Purlins and rafters</x:v>
      </x:c>
      <x:c r="E821" s="16" t="str">
        <x:v>SRC-049</x:v>
      </x:c>
      <x:c r="F821" s="16" t="str">
        <x:v>OBS-0029</x:v>
      </x:c>
      <x:c r="G821" s="16" t="str">
        <x:v>正式报告</x:v>
      </x:c>
      <x:c r="H821" s="19" t="n">
        <x:v>5</x:v>
      </x:c>
      <x:c r="I821" s="19" t="n">
        <x:v>7</x:v>
      </x:c>
      <x:c r="J821" s="19" t="n">
        <x:v>1</x:v>
      </x:c>
      <x:c r="K821" s="16" t="str">
        <x:v>2. New with slight deterioration</x:v>
      </x:c>
      <x:c r="L821" s="16" t="str">
        <x:v>Very unlikely</x:v>
      </x:c>
      <x:c r="M821" s="16" t="str">
        <x:v>Significant</x:v>
      </x:c>
      <x:c r="N821" s="16" t="str">
        <x:v>Low</x:v>
      </x:c>
    </x:row>
    <x:row r="822" ht="37" customHeight="1">
      <x:c r="A822" s="16" t="str">
        <x:v>RAW-00816</x:v>
      </x:c>
      <x:c r="B822" s="16" t="str">
        <x:v>Recommendation</x:v>
      </x:c>
      <x:c r="C822" s="16" t="str">
        <x:v>– Clean, wire brush and repaint.</x:v>
      </x:c>
      <x:c r="D822" s="16" t="str">
        <x:v>Purlins and rafters</x:v>
      </x:c>
      <x:c r="E822" s="16" t="str">
        <x:v>SRC-049</x:v>
      </x:c>
      <x:c r="F822" s="16" t="str">
        <x:v>REC-0001</x:v>
      </x:c>
      <x:c r="G822" s="16" t="str">
        <x:v>正式报告</x:v>
      </x:c>
      <x:c r="H822" s="19" t="n">
        <x:v>5</x:v>
      </x:c>
      <x:c r="I822" s="19" t="n">
        <x:v>7</x:v>
      </x:c>
      <x:c r="J822" s="19" t="n">
        <x:v>1</x:v>
      </x:c>
      <x:c r="K822" s="16" t="str">
        <x:v>2. New with slight deterioration</x:v>
      </x:c>
      <x:c r="L822" s="16" t="str">
        <x:v>Very unlikely</x:v>
      </x:c>
      <x:c r="M822" s="16" t="str">
        <x:v>Significant</x:v>
      </x:c>
      <x:c r="N822" s="16" t="str">
        <x:v>Low</x:v>
      </x:c>
    </x:row>
    <x:row r="823" ht="41" customHeight="1">
      <x:c r="A823" s="16" t="str">
        <x:v>RAW-00817</x:v>
      </x:c>
      <x:c r="B823" s="16" t="str">
        <x:v>Observation</x:v>
      </x:c>
      <x:c r="C823" s="16" t="str">
        <x:v>– Left hand side of house facing the entrance. Minor corrosion to rafters and purlins. Salt staining on purlins.</x:v>
      </x:c>
      <x:c r="D823" s="16" t="str">
        <x:v>Purlins and rafters</x:v>
      </x:c>
      <x:c r="E823" s="16" t="str">
        <x:v>SRC-049</x:v>
      </x:c>
      <x:c r="F823" s="16" t="str">
        <x:v>OBS-0015</x:v>
      </x:c>
      <x:c r="G823" s="16" t="str">
        <x:v>正式报告</x:v>
      </x:c>
      <x:c r="H823" s="19" t="n">
        <x:v>5</x:v>
      </x:c>
      <x:c r="I823" s="19" t="n">
        <x:v>8</x:v>
      </x:c>
      <x:c r="J823" s="19" t="n">
        <x:v>1</x:v>
      </x:c>
      <x:c r="K823" s="16" t="str">
        <x:v>2. New with slight deterioration</x:v>
      </x:c>
      <x:c r="L823" s="16" t="str">
        <x:v>Very unlikely</x:v>
      </x:c>
      <x:c r="M823" s="16" t="str">
        <x:v>Significant</x:v>
      </x:c>
      <x:c r="N823" s="16" t="str">
        <x:v>Low</x:v>
      </x:c>
    </x:row>
    <x:row r="824" ht="37" customHeight="1">
      <x:c r="A824" s="16" t="str">
        <x:v>RAW-00818</x:v>
      </x:c>
      <x:c r="B824" s="16" t="str">
        <x:v>Recommendation</x:v>
      </x:c>
      <x:c r="C824" s="16" t="str">
        <x:v>– Clean, wire brush and repaint.</x:v>
      </x:c>
      <x:c r="D824" s="16" t="str">
        <x:v>Purlins and rafters</x:v>
      </x:c>
      <x:c r="E824" s="16" t="str">
        <x:v>SRC-049</x:v>
      </x:c>
      <x:c r="F824" s="16" t="str">
        <x:v>REC-0001</x:v>
      </x:c>
      <x:c r="G824" s="16" t="str">
        <x:v>正式报告</x:v>
      </x:c>
      <x:c r="H824" s="19" t="n">
        <x:v>5</x:v>
      </x:c>
      <x:c r="I824" s="19" t="n">
        <x:v>8</x:v>
      </x:c>
      <x:c r="J824" s="19" t="n">
        <x:v>1</x:v>
      </x:c>
      <x:c r="K824" s="16" t="str">
        <x:v>2. New with slight deterioration</x:v>
      </x:c>
      <x:c r="L824" s="16" t="str">
        <x:v>Very unlikely</x:v>
      </x:c>
      <x:c r="M824" s="16" t="str">
        <x:v>Significant</x:v>
      </x:c>
      <x:c r="N824" s="16" t="str">
        <x:v>Low</x:v>
      </x:c>
    </x:row>
    <x:row r="825" ht="37" customHeight="1">
      <x:c r="A825" s="16" t="str">
        <x:v>RAW-00819</x:v>
      </x:c>
      <x:c r="B825" s="16" t="str">
        <x:v>Observation</x:v>
      </x:c>
      <x:c r="C825" s="16" t="str">
        <x:v>– Minor corrosion and salt staining at soffit cladding edge.</x:v>
      </x:c>
      <x:c r="D825" s="16" t="str">
        <x:v>Cladding and framing</x:v>
      </x:c>
      <x:c r="E825" s="16" t="str">
        <x:v>SRC-049</x:v>
      </x:c>
      <x:c r="F825" s="16" t="str">
        <x:v>OBS-0057</x:v>
      </x:c>
      <x:c r="G825" s="16" t="str">
        <x:v>正式报告</x:v>
      </x:c>
      <x:c r="H825" s="19" t="n">
        <x:v>6</x:v>
      </x:c>
      <x:c r="I825" s="19" t="n">
        <x:v>6</x:v>
      </x:c>
      <x:c r="J825" s="19" t="n">
        <x:v>1</x:v>
      </x:c>
      <x:c r="K825" s="16" t="str">
        <x:v>2. New with slight deterioration</x:v>
      </x:c>
      <x:c r="L825" s="16" t="str">
        <x:v>Unlikely</x:v>
      </x:c>
      <x:c r="M825" s="16" t="str">
        <x:v>Negligible</x:v>
      </x:c>
      <x:c r="N825" s="16" t="str">
        <x:v>Low</x:v>
      </x:c>
    </x:row>
    <x:row r="826" ht="37" customHeight="1">
      <x:c r="A826" s="16" t="str">
        <x:v>RAW-00820</x:v>
      </x:c>
      <x:c r="B826" s="16" t="str">
        <x:v>Recommendation</x:v>
      </x:c>
      <x:c r="C826" s="16" t="str">
        <x:v>– Clean, wire brush and repaint.</x:v>
      </x:c>
      <x:c r="D826" s="16" t="str">
        <x:v>Cladding and framing</x:v>
      </x:c>
      <x:c r="E826" s="16" t="str">
        <x:v>SRC-049</x:v>
      </x:c>
      <x:c r="F826" s="16" t="str">
        <x:v>REC-0001</x:v>
      </x:c>
      <x:c r="G826" s="16" t="str">
        <x:v>正式报告</x:v>
      </x:c>
      <x:c r="H826" s="19" t="n">
        <x:v>6</x:v>
      </x:c>
      <x:c r="I826" s="19" t="n">
        <x:v>6</x:v>
      </x:c>
      <x:c r="J826" s="19" t="n">
        <x:v>1</x:v>
      </x:c>
      <x:c r="K826" s="16" t="str">
        <x:v>2. New with slight deterioration</x:v>
      </x:c>
      <x:c r="L826" s="16" t="str">
        <x:v>Unlikely</x:v>
      </x:c>
      <x:c r="M826" s="16" t="str">
        <x:v>Negligible</x:v>
      </x:c>
      <x:c r="N826" s="16" t="str">
        <x:v>Low</x:v>
      </x:c>
    </x:row>
    <x:row r="827" ht="37" customHeight="1">
      <x:c r="A827" s="16" t="str">
        <x:v>RAW-00821</x:v>
      </x:c>
      <x:c r="B827" s="16" t="str">
        <x:v>Observation</x:v>
      </x:c>
      <x:c r="C827" s="16" t="str">
        <x:v>– Salt staining on wall cladding at bolted connections.</x:v>
      </x:c>
      <x:c r="D827" s="16" t="str">
        <x:v>Cladding and framing</x:v>
      </x:c>
      <x:c r="E827" s="16" t="str">
        <x:v>SRC-049</x:v>
      </x:c>
      <x:c r="F827" s="16" t="str">
        <x:v>OBS-0552</x:v>
      </x:c>
      <x:c r="G827" s="16" t="str">
        <x:v>正式报告</x:v>
      </x:c>
      <x:c r="H827" s="19" t="n">
        <x:v>6</x:v>
      </x:c>
      <x:c r="I827" s="19" t="n">
        <x:v>7</x:v>
      </x:c>
      <x:c r="J827" s="19" t="n">
        <x:v>1</x:v>
      </x:c>
      <x:c r="K827" s="16" t="str">
        <x:v>2. New with slight deterioration</x:v>
      </x:c>
      <x:c r="L827" s="16" t="str">
        <x:v>Unlikely</x:v>
      </x:c>
      <x:c r="M827" s="16" t="str">
        <x:v>Negligible</x:v>
      </x:c>
      <x:c r="N827" s="16" t="str">
        <x:v>Low</x:v>
      </x:c>
    </x:row>
    <x:row r="828" ht="37" customHeight="1">
      <x:c r="A828" s="16" t="str">
        <x:v>RAW-00822</x:v>
      </x:c>
      <x:c r="B828" s="16" t="str">
        <x:v>Recommendation</x:v>
      </x:c>
      <x:c r="C828" s="16" t="str">
        <x:v>– Clean all salt staining.</x:v>
      </x:c>
      <x:c r="D828" s="16" t="str">
        <x:v>Cladding and framing</x:v>
      </x:c>
      <x:c r="E828" s="16" t="str">
        <x:v>SRC-049</x:v>
      </x:c>
      <x:c r="F828" s="16" t="str">
        <x:v>REC-0013</x:v>
      </x:c>
      <x:c r="G828" s="16" t="str">
        <x:v>正式报告</x:v>
      </x:c>
      <x:c r="H828" s="19" t="n">
        <x:v>6</x:v>
      </x:c>
      <x:c r="I828" s="19" t="n">
        <x:v>7</x:v>
      </x:c>
      <x:c r="J828" s="19" t="n">
        <x:v>1</x:v>
      </x:c>
      <x:c r="K828" s="16" t="str">
        <x:v>2. New with slight deterioration</x:v>
      </x:c>
      <x:c r="L828" s="16" t="str">
        <x:v>Unlikely</x:v>
      </x:c>
      <x:c r="M828" s="16" t="str">
        <x:v>Negligible</x:v>
      </x:c>
      <x:c r="N828" s="16" t="str">
        <x:v>Low</x:v>
      </x:c>
    </x:row>
    <x:row r="829" ht="37" customHeight="1">
      <x:c r="A829" s="16" t="str">
        <x:v>RAW-00823</x:v>
      </x:c>
      <x:c r="B829" s="16" t="str">
        <x:v>Observation</x:v>
      </x:c>
      <x:c r="C829" s="16" t="str">
        <x:v>– Salt staining on wall cladding on window frame, typical to most windows.</x:v>
      </x:c>
      <x:c r="D829" s="16" t="str">
        <x:v>Cladding and framing</x:v>
      </x:c>
      <x:c r="E829" s="16" t="str">
        <x:v>SRC-049</x:v>
      </x:c>
      <x:c r="F829" s="16" t="str">
        <x:v>OBS-0081</x:v>
      </x:c>
      <x:c r="G829" s="16" t="str">
        <x:v>正式报告</x:v>
      </x:c>
      <x:c r="H829" s="19" t="n">
        <x:v>6</x:v>
      </x:c>
      <x:c r="I829" s="19" t="n">
        <x:v>8</x:v>
      </x:c>
      <x:c r="J829" s="19" t="n">
        <x:v>1</x:v>
      </x:c>
      <x:c r="K829" s="16" t="str">
        <x:v>2. New with slight deterioration</x:v>
      </x:c>
      <x:c r="L829" s="16" t="str">
        <x:v>Unlikely</x:v>
      </x:c>
      <x:c r="M829" s="16" t="str">
        <x:v>Negligible</x:v>
      </x:c>
      <x:c r="N829" s="16" t="str">
        <x:v>Low</x:v>
      </x:c>
    </x:row>
    <x:row r="830" ht="37" customHeight="1">
      <x:c r="A830" s="16" t="str">
        <x:v>RAW-00824</x:v>
      </x:c>
      <x:c r="B830" s="16" t="str">
        <x:v>Recommendation</x:v>
      </x:c>
      <x:c r="C830" s="16" t="str">
        <x:v>– Clean all salt staining.</x:v>
      </x:c>
      <x:c r="D830" s="16" t="str">
        <x:v>Cladding and framing</x:v>
      </x:c>
      <x:c r="E830" s="16" t="str">
        <x:v>SRC-049</x:v>
      </x:c>
      <x:c r="F830" s="16" t="str">
        <x:v>REC-0013</x:v>
      </x:c>
      <x:c r="G830" s="16" t="str">
        <x:v>正式报告</x:v>
      </x:c>
      <x:c r="H830" s="19" t="n">
        <x:v>6</x:v>
      </x:c>
      <x:c r="I830" s="19" t="n">
        <x:v>8</x:v>
      </x:c>
      <x:c r="J830" s="19" t="n">
        <x:v>1</x:v>
      </x:c>
      <x:c r="K830" s="16" t="str">
        <x:v>2. New with slight deterioration</x:v>
      </x:c>
      <x:c r="L830" s="16" t="str">
        <x:v>Unlikely</x:v>
      </x:c>
      <x:c r="M830" s="16" t="str">
        <x:v>Negligible</x:v>
      </x:c>
      <x:c r="N830" s="16" t="str">
        <x:v>Low</x:v>
      </x:c>
    </x:row>
    <x:row r="831" ht="37" customHeight="1">
      <x:c r="A831" s="16" t="str">
        <x:v>RAW-00825</x:v>
      </x:c>
      <x:c r="B831" s="16" t="str">
        <x:v>Observation</x:v>
      </x:c>
      <x:c r="C831" s="16" t="str">
        <x:v>– Carport gate post. Most posts have paint deterioration at the lower section.</x:v>
      </x:c>
      <x:c r="D831" s="16" t="str">
        <x:v>Fencing posts</x:v>
      </x:c>
      <x:c r="E831" s="16" t="str">
        <x:v>SRC-050</x:v>
      </x:c>
      <x:c r="F831" s="16" t="str">
        <x:v>OBS-0164</x:v>
      </x:c>
      <x:c r="G831" s="16" t="str">
        <x:v>正式报告</x:v>
      </x:c>
      <x:c r="H831" s="19" t="n">
        <x:v>3</x:v>
      </x:c>
      <x:c r="I831" s="19" t="n">
        <x:v>6</x:v>
      </x:c>
      <x:c r="J831" s="19" t="n">
        <x:v>2</x:v>
      </x:c>
      <x:c r="K831" s="16" t="str">
        <x:v>4. Moderate deterioration</x:v>
      </x:c>
      <x:c r="L831" s="16" t="str">
        <x:v>Possible</x:v>
      </x:c>
      <x:c r="M831" s="16" t="str">
        <x:v>Moderate</x:v>
      </x:c>
      <x:c r="N831" s="16" t="str">
        <x:v>High</x:v>
      </x:c>
    </x:row>
    <x:row r="832" ht="37" customHeight="1">
      <x:c r="A832" s="16" t="str">
        <x:v>RAW-00826</x:v>
      </x:c>
      <x:c r="B832" s="16" t="str">
        <x:v>Recommendation</x:v>
      </x:c>
      <x:c r="C832" s="16" t="str">
        <x:v>– Clean, wire brush and repaint.</x:v>
      </x:c>
      <x:c r="D832" s="16" t="str">
        <x:v>Fencing posts</x:v>
      </x:c>
      <x:c r="E832" s="16" t="str">
        <x:v>SRC-050</x:v>
      </x:c>
      <x:c r="F832" s="16" t="str">
        <x:v>REC-0001</x:v>
      </x:c>
      <x:c r="G832" s="16" t="str">
        <x:v>正式报告</x:v>
      </x:c>
      <x:c r="H832" s="19" t="n">
        <x:v>3</x:v>
      </x:c>
      <x:c r="I832" s="19" t="n">
        <x:v>6</x:v>
      </x:c>
      <x:c r="J832" s="19" t="n">
        <x:v>2</x:v>
      </x:c>
      <x:c r="K832" s="16" t="str">
        <x:v>4. Moderate deterioration</x:v>
      </x:c>
      <x:c r="L832" s="16" t="str">
        <x:v>Possible</x:v>
      </x:c>
      <x:c r="M832" s="16" t="str">
        <x:v>Moderate</x:v>
      </x:c>
      <x:c r="N832" s="16" t="str">
        <x:v>High</x:v>
      </x:c>
    </x:row>
    <x:row r="833" ht="37" customHeight="1">
      <x:c r="A833" s="16" t="str">
        <x:v>RAW-00827</x:v>
      </x:c>
      <x:c r="B833" s="16" t="str">
        <x:v>Observation</x:v>
      </x:c>
      <x:c r="C833" s="16" t="str">
        <x:v>– Front verandah column in good condition.</x:v>
      </x:c>
      <x:c r="D833" s="16" t="str">
        <x:v>Columns</x:v>
      </x:c>
      <x:c r="E833" s="16" t="str">
        <x:v>SRC-050</x:v>
      </x:c>
      <x:c r="F833" s="16" t="str">
        <x:v>OBS-0051</x:v>
      </x:c>
      <x:c r="G833" s="16" t="str">
        <x:v>正式报告</x:v>
      </x:c>
      <x:c r="H833" s="19" t="n">
        <x:v>4</x:v>
      </x:c>
      <x:c r="I833" s="19" t="n">
        <x:v>6</x:v>
      </x:c>
      <x:c r="J833" s="19" t="n">
        <x:v>1</x:v>
      </x:c>
      <x:c r="K833" s="16" t="str">
        <x:v>2. New with slight deterioration</x:v>
      </x:c>
      <x:c r="L833" s="16" t="str">
        <x:v>Very unlikely</x:v>
      </x:c>
      <x:c r="M833" s="16" t="str">
        <x:v>Significant</x:v>
      </x:c>
      <x:c r="N833" s="16" t="str">
        <x:v>Low</x:v>
      </x:c>
    </x:row>
    <x:row r="834" ht="37" customHeight="1">
      <x:c r="A834" s="16" t="str">
        <x:v>RAW-00828</x:v>
      </x:c>
      <x:c r="B834" s="16" t="str">
        <x:v>Observation</x:v>
      </x:c>
      <x:c r="C834" s="16" t="str">
        <x:v>– Carport verandah column, minor corrosion at lower section.</x:v>
      </x:c>
      <x:c r="D834" s="16" t="str">
        <x:v>Columns</x:v>
      </x:c>
      <x:c r="E834" s="16" t="str">
        <x:v>SRC-050</x:v>
      </x:c>
      <x:c r="F834" s="16" t="str">
        <x:v>OBS-0167</x:v>
      </x:c>
      <x:c r="G834" s="16" t="str">
        <x:v>正式报告</x:v>
      </x:c>
      <x:c r="H834" s="19" t="n">
        <x:v>4</x:v>
      </x:c>
      <x:c r="I834" s="19" t="n">
        <x:v>7</x:v>
      </x:c>
      <x:c r="J834" s="19" t="n">
        <x:v>2</x:v>
      </x:c>
      <x:c r="K834" s="16" t="str">
        <x:v>2. New with slight deterioration</x:v>
      </x:c>
      <x:c r="L834" s="16" t="str">
        <x:v>Very unlikely</x:v>
      </x:c>
      <x:c r="M834" s="16" t="str">
        <x:v>Significant</x:v>
      </x:c>
      <x:c r="N834" s="16" t="str">
        <x:v>Low</x:v>
      </x:c>
    </x:row>
    <x:row r="835" ht="37" customHeight="1">
      <x:c r="A835" s="16" t="str">
        <x:v>RAW-00829</x:v>
      </x:c>
      <x:c r="B835" s="16" t="str">
        <x:v>Recommendation</x:v>
      </x:c>
      <x:c r="C835" s="16" t="str">
        <x:v>– Clean, wire brush and repaint corroded areas.</x:v>
      </x:c>
      <x:c r="D835" s="16" t="str">
        <x:v>Columns</x:v>
      </x:c>
      <x:c r="E835" s="16" t="str">
        <x:v>SRC-050</x:v>
      </x:c>
      <x:c r="F835" s="16" t="str">
        <x:v>REC-0005</x:v>
      </x:c>
      <x:c r="G835" s="16" t="str">
        <x:v>正式报告</x:v>
      </x:c>
      <x:c r="H835" s="19" t="n">
        <x:v>4</x:v>
      </x:c>
      <x:c r="I835" s="19" t="n">
        <x:v>7</x:v>
      </x:c>
      <x:c r="J835" s="19" t="n">
        <x:v>2</x:v>
      </x:c>
      <x:c r="K835" s="16" t="str">
        <x:v>2. New with slight deterioration</x:v>
      </x:c>
      <x:c r="L835" s="16" t="str">
        <x:v>Very unlikely</x:v>
      </x:c>
      <x:c r="M835" s="16" t="str">
        <x:v>Significant</x:v>
      </x:c>
      <x:c r="N835" s="16" t="str">
        <x:v>Low</x:v>
      </x:c>
    </x:row>
    <x:row r="836" ht="37" customHeight="1">
      <x:c r="A836" s="16" t="str">
        <x:v>RAW-00830</x:v>
      </x:c>
      <x:c r="B836" s="16" t="str">
        <x:v>Observation</x:v>
      </x:c>
      <x:c r="C836" s="16" t="str">
        <x:v>– Purlins and rafters of carport and front verandah in good condition.</x:v>
      </x:c>
      <x:c r="D836" s="16" t="str">
        <x:v>Rafters and purlins</x:v>
      </x:c>
      <x:c r="E836" s="16" t="str">
        <x:v>SRC-050</x:v>
      </x:c>
      <x:c r="F836" s="16" t="str">
        <x:v>OBS-0028</x:v>
      </x:c>
      <x:c r="G836" s="16" t="str">
        <x:v>正式报告</x:v>
      </x:c>
      <x:c r="H836" s="19" t="n">
        <x:v>5</x:v>
      </x:c>
      <x:c r="I836" s="19" t="n">
        <x:v>6</x:v>
      </x:c>
      <x:c r="J836" s="19" t="n">
        <x:v>1</x:v>
      </x:c>
      <x:c r="K836" s="16" t="str">
        <x:v>2. New with slight deterioration</x:v>
      </x:c>
      <x:c r="L836" s="16" t="str">
        <x:v>Very unlikely</x:v>
      </x:c>
      <x:c r="M836" s="16" t="str">
        <x:v>Significant</x:v>
      </x:c>
      <x:c r="N836" s="16" t="str">
        <x:v>Low</x:v>
      </x:c>
    </x:row>
    <x:row r="837" ht="37" customHeight="1">
      <x:c r="A837" s="16" t="str">
        <x:v>RAW-00831</x:v>
      </x:c>
      <x:c r="B837" s="16" t="str">
        <x:v>Observation</x:v>
      </x:c>
      <x:c r="C837" s="16" t="str">
        <x:v>– Purlins and rafters of carport and front verandah in good condition.</x:v>
      </x:c>
      <x:c r="D837" s="16" t="str">
        <x:v>Rafters and purlins</x:v>
      </x:c>
      <x:c r="E837" s="16" t="str">
        <x:v>SRC-050</x:v>
      </x:c>
      <x:c r="F837" s="16" t="str">
        <x:v>OBS-0028</x:v>
      </x:c>
      <x:c r="G837" s="16" t="str">
        <x:v>正式报告</x:v>
      </x:c>
      <x:c r="H837" s="19" t="n">
        <x:v>5</x:v>
      </x:c>
      <x:c r="I837" s="19" t="n">
        <x:v>7</x:v>
      </x:c>
      <x:c r="J837" s="19" t="n">
        <x:v>1</x:v>
      </x:c>
      <x:c r="K837" s="16" t="str">
        <x:v>2. New with slight deterioration</x:v>
      </x:c>
      <x:c r="L837" s="16" t="str">
        <x:v>Very unlikely</x:v>
      </x:c>
      <x:c r="M837" s="16" t="str">
        <x:v>Significant</x:v>
      </x:c>
      <x:c r="N837" s="16" t="str">
        <x:v>Low</x:v>
      </x:c>
    </x:row>
    <x:row r="838" ht="37" customHeight="1">
      <x:c r="A838" s="16" t="str">
        <x:v>RAW-00832</x:v>
      </x:c>
      <x:c r="B838" s="16" t="str">
        <x:v>Observation</x:v>
      </x:c>
      <x:c r="C838" s="16" t="str">
        <x:v>– Side overhang. Salt staining on rafters and purlins.</x:v>
      </x:c>
      <x:c r="D838" s="16" t="str">
        <x:v>Rafters and purlins</x:v>
      </x:c>
      <x:c r="E838" s="16" t="str">
        <x:v>SRC-050</x:v>
      </x:c>
      <x:c r="F838" s="16" t="str">
        <x:v>OBS-0030</x:v>
      </x:c>
      <x:c r="G838" s="16" t="str">
        <x:v>正式报告</x:v>
      </x:c>
      <x:c r="H838" s="19" t="n">
        <x:v>5</x:v>
      </x:c>
      <x:c r="I838" s="19" t="n">
        <x:v>8</x:v>
      </x:c>
      <x:c r="J838" s="19" t="n">
        <x:v>1</x:v>
      </x:c>
      <x:c r="K838" s="16" t="str">
        <x:v>2. New with slight deterioration</x:v>
      </x:c>
      <x:c r="L838" s="16" t="str">
        <x:v>Very unlikely</x:v>
      </x:c>
      <x:c r="M838" s="16" t="str">
        <x:v>Significant</x:v>
      </x:c>
      <x:c r="N838" s="16" t="str">
        <x:v>Low</x:v>
      </x:c>
    </x:row>
    <x:row r="839" ht="37" customHeight="1">
      <x:c r="A839" s="16" t="str">
        <x:v>RAW-00833</x:v>
      </x:c>
      <x:c r="B839" s="16" t="str">
        <x:v>Recommendation</x:v>
      </x:c>
      <x:c r="C839" s="16" t="str">
        <x:v>– clean salt staining.</x:v>
      </x:c>
      <x:c r="D839" s="16" t="str">
        <x:v>Rafters and purlins</x:v>
      </x:c>
      <x:c r="E839" s="16" t="str">
        <x:v>SRC-050</x:v>
      </x:c>
      <x:c r="F839" s="16" t="str">
        <x:v>REC-0009</x:v>
      </x:c>
      <x:c r="G839" s="16" t="str">
        <x:v>正式报告</x:v>
      </x:c>
      <x:c r="H839" s="19" t="n">
        <x:v>5</x:v>
      </x:c>
      <x:c r="I839" s="19" t="n">
        <x:v>8</x:v>
      </x:c>
      <x:c r="J839" s="19" t="n">
        <x:v>1</x:v>
      </x:c>
      <x:c r="K839" s="16" t="str">
        <x:v>2. New with slight deterioration</x:v>
      </x:c>
      <x:c r="L839" s="16" t="str">
        <x:v>Very unlikely</x:v>
      </x:c>
      <x:c r="M839" s="16" t="str">
        <x:v>Significant</x:v>
      </x:c>
      <x:c r="N839" s="16" t="str">
        <x:v>Low</x:v>
      </x:c>
    </x:row>
    <x:row r="840" ht="37" customHeight="1">
      <x:c r="A840" s="16" t="str">
        <x:v>RAW-00834</x:v>
      </x:c>
      <x:c r="B840" s="16" t="str">
        <x:v>Observation</x:v>
      </x:c>
      <x:c r="C840" s="16" t="str">
        <x:v>– Side overhang. Salt staining on rafters and purlins.</x:v>
      </x:c>
      <x:c r="D840" s="16" t="str">
        <x:v>Rafters and purlins</x:v>
      </x:c>
      <x:c r="E840" s="16" t="str">
        <x:v>SRC-050</x:v>
      </x:c>
      <x:c r="F840" s="16" t="str">
        <x:v>OBS-0030</x:v>
      </x:c>
      <x:c r="G840" s="16" t="str">
        <x:v>正式报告</x:v>
      </x:c>
      <x:c r="H840" s="19" t="n">
        <x:v>5</x:v>
      </x:c>
      <x:c r="I840" s="19" t="n">
        <x:v>9</x:v>
      </x:c>
      <x:c r="J840" s="19" t="n">
        <x:v>1</x:v>
      </x:c>
      <x:c r="K840" s="16" t="str">
        <x:v>2. New with slight deterioration</x:v>
      </x:c>
      <x:c r="L840" s="16" t="str">
        <x:v>Very unlikely</x:v>
      </x:c>
      <x:c r="M840" s="16" t="str">
        <x:v>Significant</x:v>
      </x:c>
      <x:c r="N840" s="16" t="str">
        <x:v>Low</x:v>
      </x:c>
    </x:row>
    <x:row r="841" ht="37" customHeight="1">
      <x:c r="A841" s="16" t="str">
        <x:v>RAW-00835</x:v>
      </x:c>
      <x:c r="B841" s="16" t="str">
        <x:v>Recommendation</x:v>
      </x:c>
      <x:c r="C841" s="16" t="str">
        <x:v>– clean salt staining.</x:v>
      </x:c>
      <x:c r="D841" s="16" t="str">
        <x:v>Rafters and purlins</x:v>
      </x:c>
      <x:c r="E841" s="16" t="str">
        <x:v>SRC-050</x:v>
      </x:c>
      <x:c r="F841" s="16" t="str">
        <x:v>REC-0009</x:v>
      </x:c>
      <x:c r="G841" s="16" t="str">
        <x:v>正式报告</x:v>
      </x:c>
      <x:c r="H841" s="19" t="n">
        <x:v>5</x:v>
      </x:c>
      <x:c r="I841" s="19" t="n">
        <x:v>9</x:v>
      </x:c>
      <x:c r="J841" s="19" t="n">
        <x:v>1</x:v>
      </x:c>
      <x:c r="K841" s="16" t="str">
        <x:v>2. New with slight deterioration</x:v>
      </x:c>
      <x:c r="L841" s="16" t="str">
        <x:v>Very unlikely</x:v>
      </x:c>
      <x:c r="M841" s="16" t="str">
        <x:v>Significant</x:v>
      </x:c>
      <x:c r="N841" s="16" t="str">
        <x:v>Low</x:v>
      </x:c>
    </x:row>
    <x:row r="842" ht="37" customHeight="1">
      <x:c r="A842" s="16" t="str">
        <x:v>RAW-00836</x:v>
      </x:c>
      <x:c r="B842" s="16" t="str">
        <x:v>Observation</x:v>
      </x:c>
      <x:c r="C842" s="16" t="str">
        <x:v>– Side overhang. Salt staining on rafters and purlins.</x:v>
      </x:c>
      <x:c r="D842" s="16" t="str">
        <x:v>Rafters and purlins</x:v>
      </x:c>
      <x:c r="E842" s="16" t="str">
        <x:v>SRC-050</x:v>
      </x:c>
      <x:c r="F842" s="16" t="str">
        <x:v>OBS-0030</x:v>
      </x:c>
      <x:c r="G842" s="16" t="str">
        <x:v>正式报告</x:v>
      </x:c>
      <x:c r="H842" s="19" t="n">
        <x:v>5</x:v>
      </x:c>
      <x:c r="I842" s="19" t="n">
        <x:v>10</x:v>
      </x:c>
      <x:c r="J842" s="19" t="n">
        <x:v>1</x:v>
      </x:c>
      <x:c r="K842" s="16" t="str">
        <x:v>2. New with slight deterioration</x:v>
      </x:c>
      <x:c r="L842" s="16" t="str">
        <x:v>Very unlikely</x:v>
      </x:c>
      <x:c r="M842" s="16" t="str">
        <x:v>Significant</x:v>
      </x:c>
      <x:c r="N842" s="16" t="str">
        <x:v>Low</x:v>
      </x:c>
    </x:row>
    <x:row r="843" ht="37" customHeight="1">
      <x:c r="A843" s="16" t="str">
        <x:v>RAW-00837</x:v>
      </x:c>
      <x:c r="B843" s="16" t="str">
        <x:v>Recommendation</x:v>
      </x:c>
      <x:c r="C843" s="16" t="str">
        <x:v>– clean salt staining.</x:v>
      </x:c>
      <x:c r="D843" s="16" t="str">
        <x:v>Rafters and purlins</x:v>
      </x:c>
      <x:c r="E843" s="16" t="str">
        <x:v>SRC-050</x:v>
      </x:c>
      <x:c r="F843" s="16" t="str">
        <x:v>REC-0009</x:v>
      </x:c>
      <x:c r="G843" s="16" t="str">
        <x:v>正式报告</x:v>
      </x:c>
      <x:c r="H843" s="19" t="n">
        <x:v>5</x:v>
      </x:c>
      <x:c r="I843" s="19" t="n">
        <x:v>10</x:v>
      </x:c>
      <x:c r="J843" s="19" t="n">
        <x:v>1</x:v>
      </x:c>
      <x:c r="K843" s="16" t="str">
        <x:v>2. New with slight deterioration</x:v>
      </x:c>
      <x:c r="L843" s="16" t="str">
        <x:v>Very unlikely</x:v>
      </x:c>
      <x:c r="M843" s="16" t="str">
        <x:v>Significant</x:v>
      </x:c>
      <x:c r="N843" s="16" t="str">
        <x:v>Low</x:v>
      </x:c>
    </x:row>
    <x:row r="844" ht="37" customHeight="1">
      <x:c r="A844" s="16" t="str">
        <x:v>RAW-00838</x:v>
      </x:c>
      <x:c r="B844" s="16" t="str">
        <x:v>Observation</x:v>
      </x:c>
      <x:c r="C844" s="16" t="str">
        <x:v>– Window awning. Salt staining on rafters and purlins.</x:v>
      </x:c>
      <x:c r="D844" s="16" t="str">
        <x:v>Rafters and purlins</x:v>
      </x:c>
      <x:c r="E844" s="16" t="str">
        <x:v>SRC-050</x:v>
      </x:c>
      <x:c r="F844" s="16" t="str">
        <x:v>OBS-0609</x:v>
      </x:c>
      <x:c r="G844" s="16" t="str">
        <x:v>正式报告</x:v>
      </x:c>
      <x:c r="H844" s="19" t="n">
        <x:v>5</x:v>
      </x:c>
      <x:c r="I844" s="19" t="n">
        <x:v>11</x:v>
      </x:c>
      <x:c r="J844" s="19" t="n">
        <x:v>1</x:v>
      </x:c>
      <x:c r="K844" s="16" t="str">
        <x:v>2. New with slight deterioration</x:v>
      </x:c>
      <x:c r="L844" s="16" t="str">
        <x:v>Very unlikely</x:v>
      </x:c>
      <x:c r="M844" s="16" t="str">
        <x:v>Significant</x:v>
      </x:c>
      <x:c r="N844" s="16" t="str">
        <x:v>Low</x:v>
      </x:c>
    </x:row>
    <x:row r="845" ht="37" customHeight="1">
      <x:c r="A845" s="16" t="str">
        <x:v>RAW-00839</x:v>
      </x:c>
      <x:c r="B845" s="16" t="str">
        <x:v>Recommendation</x:v>
      </x:c>
      <x:c r="C845" s="16" t="str">
        <x:v>– clean salt staining.</x:v>
      </x:c>
      <x:c r="D845" s="16" t="str">
        <x:v>Rafters and purlins</x:v>
      </x:c>
      <x:c r="E845" s="16" t="str">
        <x:v>SRC-050</x:v>
      </x:c>
      <x:c r="F845" s="16" t="str">
        <x:v>REC-0009</x:v>
      </x:c>
      <x:c r="G845" s="16" t="str">
        <x:v>正式报告</x:v>
      </x:c>
      <x:c r="H845" s="19" t="n">
        <x:v>5</x:v>
      </x:c>
      <x:c r="I845" s="19" t="n">
        <x:v>11</x:v>
      </x:c>
      <x:c r="J845" s="19" t="n">
        <x:v>1</x:v>
      </x:c>
      <x:c r="K845" s="16" t="str">
        <x:v>2. New with slight deterioration</x:v>
      </x:c>
      <x:c r="L845" s="16" t="str">
        <x:v>Very unlikely</x:v>
      </x:c>
      <x:c r="M845" s="16" t="str">
        <x:v>Significant</x:v>
      </x:c>
      <x:c r="N845" s="16" t="str">
        <x:v>Low</x:v>
      </x:c>
    </x:row>
    <x:row r="846" ht="37" customHeight="1">
      <x:c r="A846" s="16" t="str">
        <x:v>RAW-00840</x:v>
      </x:c>
      <x:c r="B846" s="16" t="str">
        <x:v>Observation</x:v>
      </x:c>
      <x:c r="C846" s="16" t="str">
        <x:v>– Front of property. Cladding and framing in good condition. Discoloration of paint in some areas.</x:v>
      </x:c>
      <x:c r="D846" s="16" t="str">
        <x:v>Cladding and framing</x:v>
      </x:c>
      <x:c r="E846" s="16" t="str">
        <x:v>SRC-050</x:v>
      </x:c>
      <x:c r="F846" s="16" t="str">
        <x:v>OBS-0275</x:v>
      </x:c>
      <x:c r="G846" s="16" t="str">
        <x:v>正式报告</x:v>
      </x:c>
      <x:c r="H846" s="19" t="n">
        <x:v>6</x:v>
      </x:c>
      <x:c r="I846" s="19" t="n">
        <x:v>6</x:v>
      </x:c>
      <x:c r="J846" s="19" t="n">
        <x:v>1</x:v>
      </x:c>
      <x:c r="K846" s="16" t="str">
        <x:v>2. New with slight deterioration</x:v>
      </x:c>
      <x:c r="L846" s="16" t="str">
        <x:v>Unlikely</x:v>
      </x:c>
      <x:c r="M846" s="16" t="str">
        <x:v>Negligible</x:v>
      </x:c>
      <x:c r="N846" s="16" t="str">
        <x:v>Low</x:v>
      </x:c>
    </x:row>
    <x:row r="847" ht="41" customHeight="1">
      <x:c r="A847" s="16" t="str">
        <x:v>RAW-00841</x:v>
      </x:c>
      <x:c r="B847" s="16" t="str">
        <x:v>Observation</x:v>
      </x:c>
      <x:c r="C847" s="16" t="str">
        <x:v>– Carport wall cladding in good condition. Discolouration of paint in some areas. Minor corrosion around outlet pipe.</x:v>
      </x:c>
      <x:c r="D847" s="16" t="str">
        <x:v>Cladding and framing</x:v>
      </x:c>
      <x:c r="E847" s="16" t="str">
        <x:v>SRC-050</x:v>
      </x:c>
      <x:c r="F847" s="16" t="str">
        <x:v>OBS-0039</x:v>
      </x:c>
      <x:c r="G847" s="16" t="str">
        <x:v>正式报告</x:v>
      </x:c>
      <x:c r="H847" s="19" t="n">
        <x:v>6</x:v>
      </x:c>
      <x:c r="I847" s="19" t="n">
        <x:v>7</x:v>
      </x:c>
      <x:c r="J847" s="19" t="n">
        <x:v>2</x:v>
      </x:c>
      <x:c r="K847" s="16" t="str">
        <x:v>2. New with slight deterioration</x:v>
      </x:c>
      <x:c r="L847" s="16" t="str">
        <x:v>Unlikely</x:v>
      </x:c>
      <x:c r="M847" s="16" t="str">
        <x:v>Negligible</x:v>
      </x:c>
      <x:c r="N847" s="16" t="str">
        <x:v>Low</x:v>
      </x:c>
    </x:row>
    <x:row r="848" ht="37" customHeight="1">
      <x:c r="A848" s="16" t="str">
        <x:v>RAW-00842</x:v>
      </x:c>
      <x:c r="B848" s="16" t="str">
        <x:v>Recommendation</x:v>
      </x:c>
      <x:c r="C848" s="16" t="str">
        <x:v>– Clean, wire brush and repaint.</x:v>
      </x:c>
      <x:c r="D848" s="16" t="str">
        <x:v>Cladding and framing</x:v>
      </x:c>
      <x:c r="E848" s="16" t="str">
        <x:v>SRC-050</x:v>
      </x:c>
      <x:c r="F848" s="16" t="str">
        <x:v>REC-0001</x:v>
      </x:c>
      <x:c r="G848" s="16" t="str">
        <x:v>正式报告</x:v>
      </x:c>
      <x:c r="H848" s="19" t="n">
        <x:v>6</x:v>
      </x:c>
      <x:c r="I848" s="19" t="n">
        <x:v>7</x:v>
      </x:c>
      <x:c r="J848" s="19" t="n">
        <x:v>2</x:v>
      </x:c>
      <x:c r="K848" s="16" t="str">
        <x:v>2. New with slight deterioration</x:v>
      </x:c>
      <x:c r="L848" s="16" t="str">
        <x:v>Unlikely</x:v>
      </x:c>
      <x:c r="M848" s="16" t="str">
        <x:v>Negligible</x:v>
      </x:c>
      <x:c r="N848" s="16" t="str">
        <x:v>Low</x:v>
      </x:c>
    </x:row>
    <x:row r="849" ht="37" customHeight="1">
      <x:c r="A849" s="16" t="str">
        <x:v>RAW-00843</x:v>
      </x:c>
      <x:c r="B849" s="16" t="str">
        <x:v>Observation</x:v>
      </x:c>
      <x:c r="C849" s="16" t="str">
        <x:v>– Overview.</x:v>
      </x:c>
      <x:c r="D849" s="16" t="str">
        <x:v>Carport brickwork</x:v>
      </x:c>
      <x:c r="E849" s="16" t="str">
        <x:v>SRC-050</x:v>
      </x:c>
      <x:c r="F849" s="16" t="str">
        <x:v>OBS-0002</x:v>
      </x:c>
      <x:c r="G849" s="16" t="str">
        <x:v>正式报告</x:v>
      </x:c>
      <x:c r="H849" s="19" t="n">
        <x:v>7</x:v>
      </x:c>
      <x:c r="I849" s="19" t="n">
        <x:v>6</x:v>
      </x:c>
      <x:c r="J849" s="19" t="n">
        <x:v>1</x:v>
      </x:c>
      <x:c r="K849" s="16" t="str">
        <x:v>2. New with slight deterioration</x:v>
      </x:c>
      <x:c r="L849" s="16" t="str">
        <x:v>Very unlikely</x:v>
      </x:c>
      <x:c r="M849" s="16" t="str">
        <x:v>Moderate</x:v>
      </x:c>
      <x:c r="N849" s="16" t="str">
        <x:v>Low</x:v>
      </x:c>
    </x:row>
    <x:row r="850" ht="37" customHeight="1">
      <x:c r="A850" s="16" t="str">
        <x:v>RAW-00844</x:v>
      </x:c>
      <x:c r="B850" s="16" t="str">
        <x:v>Observation</x:v>
      </x:c>
      <x:c r="C850" s="16" t="str">
        <x:v>– Middle column. Brickwork separating from column. Wide gap at top and tapers down.</x:v>
      </x:c>
      <x:c r="D850" s="16" t="str">
        <x:v>Carport brickwork</x:v>
      </x:c>
      <x:c r="E850" s="16" t="str">
        <x:v>SRC-050</x:v>
      </x:c>
      <x:c r="F850" s="16" t="str">
        <x:v>OBS-0373</x:v>
      </x:c>
      <x:c r="G850" s="16" t="str">
        <x:v>正式报告</x:v>
      </x:c>
      <x:c r="H850" s="19" t="n">
        <x:v>7</x:v>
      </x:c>
      <x:c r="I850" s="19" t="n">
        <x:v>7</x:v>
      </x:c>
      <x:c r="J850" s="19" t="n">
        <x:v>1</x:v>
      </x:c>
      <x:c r="K850" s="16" t="str">
        <x:v>2. New with slight deterioration</x:v>
      </x:c>
      <x:c r="L850" s="16" t="str">
        <x:v>Very unlikely</x:v>
      </x:c>
      <x:c r="M850" s="16" t="str">
        <x:v>Moderate</x:v>
      </x:c>
      <x:c r="N850" s="16" t="str">
        <x:v>Low</x:v>
      </x:c>
    </x:row>
    <x:row r="851" ht="37" customHeight="1">
      <x:c r="A851" s="16" t="str">
        <x:v>RAW-00845</x:v>
      </x:c>
      <x:c r="B851" s="16" t="str">
        <x:v>Recommendation</x:v>
      </x:c>
      <x:c r="C851" s="16" t="str">
        <x:v>– flexible fill and monitor the cracks.</x:v>
      </x:c>
      <x:c r="D851" s="16" t="str">
        <x:v>Carport brickwork</x:v>
      </x:c>
      <x:c r="E851" s="16" t="str">
        <x:v>SRC-050</x:v>
      </x:c>
      <x:c r="F851" s="16" t="str">
        <x:v>REC-0172</x:v>
      </x:c>
      <x:c r="G851" s="16" t="str">
        <x:v>正式报告</x:v>
      </x:c>
      <x:c r="H851" s="19" t="n">
        <x:v>7</x:v>
      </x:c>
      <x:c r="I851" s="19" t="n">
        <x:v>7</x:v>
      </x:c>
      <x:c r="J851" s="19" t="n">
        <x:v>1</x:v>
      </x:c>
      <x:c r="K851" s="16" t="str">
        <x:v>2. New with slight deterioration</x:v>
      </x:c>
      <x:c r="L851" s="16" t="str">
        <x:v>Very unlikely</x:v>
      </x:c>
      <x:c r="M851" s="16" t="str">
        <x:v>Moderate</x:v>
      </x:c>
      <x:c r="N851" s="16" t="str">
        <x:v>Low</x:v>
      </x:c>
    </x:row>
    <x:row r="852" ht="37" customHeight="1">
      <x:c r="A852" s="16" t="str">
        <x:v>RAW-00846</x:v>
      </x:c>
      <x:c r="B852" s="16" t="str">
        <x:v>Observation</x:v>
      </x:c>
      <x:c r="C852" s="16" t="str">
        <x:v>– Carport verandah ridge. Surface corrosion at sheeting edges.</x:v>
      </x:c>
      <x:c r="D852" s="16" t="str">
        <x:v>Roof sheeting</x:v>
      </x:c>
      <x:c r="E852" s="16" t="str">
        <x:v>SRC-050</x:v>
      </x:c>
      <x:c r="F852" s="16" t="str">
        <x:v>OBS-0172</x:v>
      </x:c>
      <x:c r="G852" s="16" t="str">
        <x:v>正式报告</x:v>
      </x:c>
      <x:c r="H852" s="19" t="n">
        <x:v>8</x:v>
      </x:c>
      <x:c r="I852" s="19" t="n">
        <x:v>6</x:v>
      </x:c>
      <x:c r="J852" s="19" t="n">
        <x:v>1</x:v>
      </x:c>
      <x:c r="K852" s="16" t="str">
        <x:v>2. New with slight deterioration</x:v>
      </x:c>
      <x:c r="L852" s="16" t="str">
        <x:v>Very unlikely</x:v>
      </x:c>
      <x:c r="M852" s="16" t="str">
        <x:v>Minor</x:v>
      </x:c>
      <x:c r="N852" s="16" t="str">
        <x:v>Low</x:v>
      </x:c>
    </x:row>
    <x:row r="853" ht="37" customHeight="1">
      <x:c r="A853" s="16" t="str">
        <x:v>RAW-00847</x:v>
      </x:c>
      <x:c r="B853" s="16" t="str">
        <x:v>Recommendation</x:v>
      </x:c>
      <x:c r="C853" s="16" t="str">
        <x:v>– Clean, wire brush and repaint.</x:v>
      </x:c>
      <x:c r="D853" s="16" t="str">
        <x:v>Roof sheeting</x:v>
      </x:c>
      <x:c r="E853" s="16" t="str">
        <x:v>SRC-050</x:v>
      </x:c>
      <x:c r="F853" s="16" t="str">
        <x:v>REC-0001</x:v>
      </x:c>
      <x:c r="G853" s="16" t="str">
        <x:v>正式报告</x:v>
      </x:c>
      <x:c r="H853" s="19" t="n">
        <x:v>8</x:v>
      </x:c>
      <x:c r="I853" s="19" t="n">
        <x:v>6</x:v>
      </x:c>
      <x:c r="J853" s="19" t="n">
        <x:v>1</x:v>
      </x:c>
      <x:c r="K853" s="16" t="str">
        <x:v>2. New with slight deterioration</x:v>
      </x:c>
      <x:c r="L853" s="16" t="str">
        <x:v>Very unlikely</x:v>
      </x:c>
      <x:c r="M853" s="16" t="str">
        <x:v>Minor</x:v>
      </x:c>
      <x:c r="N853" s="16" t="str">
        <x:v>Low</x:v>
      </x:c>
    </x:row>
    <x:row r="854" ht="37" customHeight="1">
      <x:c r="A854" s="16" t="str">
        <x:v>RAW-00848</x:v>
      </x:c>
      <x:c r="B854" s="16" t="str">
        <x:v>Observation</x:v>
      </x:c>
      <x:c r="C854" s="16" t="str">
        <x:v>– Fencing posts on left hand side of property facing the front entrance. Bitumen paint deterioration.</x:v>
      </x:c>
      <x:c r="D854" s="16" t="str">
        <x:v>Fencing posts</x:v>
      </x:c>
      <x:c r="E854" s="16" t="str">
        <x:v>SRC-051</x:v>
      </x:c>
      <x:c r="F854" s="16" t="str">
        <x:v>OBS-0005</x:v>
      </x:c>
      <x:c r="G854" s="16" t="str">
        <x:v>正式报告</x:v>
      </x:c>
      <x:c r="H854" s="19" t="n">
        <x:v>3</x:v>
      </x:c>
      <x:c r="I854" s="19" t="n">
        <x:v>6</x:v>
      </x:c>
      <x:c r="J854" s="19" t="n">
        <x:v>1</x:v>
      </x:c>
      <x:c r="K854" s="16" t="str">
        <x:v>2. New with slight deterioration</x:v>
      </x:c>
      <x:c r="L854" s="16" t="str">
        <x:v>Very unlikely</x:v>
      </x:c>
      <x:c r="M854" s="16" t="str">
        <x:v>Moderate</x:v>
      </x:c>
      <x:c r="N854" s="16" t="str">
        <x:v>Low</x:v>
      </x:c>
    </x:row>
    <x:row r="855" ht="41" customHeight="1">
      <x:c r="A855" s="16" t="str">
        <x:v>RAW-00849</x:v>
      </x:c>
      <x:c r="B855" s="16" t="str">
        <x:v>Recommendation</x:v>
      </x:c>
      <x:c r="C855" s="16" t="str">
        <x:v>– Clean and repaint. Expose the posts’ base and investigate the condition. Undertake appropriate repair stated within Section 3.1.</x:v>
      </x:c>
      <x:c r="D855" s="16" t="str">
        <x:v>Fencing posts</x:v>
      </x:c>
      <x:c r="E855" s="16" t="str">
        <x:v>SRC-051</x:v>
      </x:c>
      <x:c r="F855" s="16" t="str">
        <x:v>REC-0057</x:v>
      </x:c>
      <x:c r="G855" s="16" t="str">
        <x:v>正式报告</x:v>
      </x:c>
      <x:c r="H855" s="19" t="n">
        <x:v>3</x:v>
      </x:c>
      <x:c r="I855" s="19" t="n">
        <x:v>6</x:v>
      </x:c>
      <x:c r="J855" s="19" t="n">
        <x:v>1</x:v>
      </x:c>
      <x:c r="K855" s="16" t="str">
        <x:v>2. New with slight deterioration</x:v>
      </x:c>
      <x:c r="L855" s="16" t="str">
        <x:v>Very unlikely</x:v>
      </x:c>
      <x:c r="M855" s="16" t="str">
        <x:v>Moderate</x:v>
      </x:c>
      <x:c r="N855" s="16" t="str">
        <x:v>Low</x:v>
      </x:c>
    </x:row>
    <x:row r="856" ht="37" customHeight="1">
      <x:c r="A856" s="16" t="str">
        <x:v>RAW-00850</x:v>
      </x:c>
      <x:c r="B856" s="16" t="str">
        <x:v>Observation</x:v>
      </x:c>
      <x:c r="C856" s="16" t="str">
        <x:v>– Fencing posts on left hand side of property facing the front entrance. Bitumen paint deterioration.</x:v>
      </x:c>
      <x:c r="D856" s="16" t="str">
        <x:v>Fencing posts</x:v>
      </x:c>
      <x:c r="E856" s="16" t="str">
        <x:v>SRC-051</x:v>
      </x:c>
      <x:c r="F856" s="16" t="str">
        <x:v>OBS-0005</x:v>
      </x:c>
      <x:c r="G856" s="16" t="str">
        <x:v>正式报告</x:v>
      </x:c>
      <x:c r="H856" s="19" t="n">
        <x:v>3</x:v>
      </x:c>
      <x:c r="I856" s="19" t="n">
        <x:v>7</x:v>
      </x:c>
      <x:c r="J856" s="19" t="n">
        <x:v>1</x:v>
      </x:c>
      <x:c r="K856" s="16" t="str">
        <x:v>2. New with slight deterioration</x:v>
      </x:c>
      <x:c r="L856" s="16" t="str">
        <x:v>Very unlikely</x:v>
      </x:c>
      <x:c r="M856" s="16" t="str">
        <x:v>Moderate</x:v>
      </x:c>
      <x:c r="N856" s="16" t="str">
        <x:v>Low</x:v>
      </x:c>
    </x:row>
    <x:row r="857" ht="37" customHeight="1">
      <x:c r="A857" s="16" t="str">
        <x:v>RAW-00851</x:v>
      </x:c>
      <x:c r="B857" s="16" t="str">
        <x:v>Observation</x:v>
      </x:c>
      <x:c r="C857" s="16" t="str">
        <x:v>– Fencing posts on left hand side of property facing the front entrance. Bitumen paint deterioration.</x:v>
      </x:c>
      <x:c r="D857" s="16" t="str">
        <x:v>Fencing posts</x:v>
      </x:c>
      <x:c r="E857" s="16" t="str">
        <x:v>SRC-051</x:v>
      </x:c>
      <x:c r="F857" s="16" t="str">
        <x:v>OBS-0005</x:v>
      </x:c>
      <x:c r="G857" s="16" t="str">
        <x:v>正式报告</x:v>
      </x:c>
      <x:c r="H857" s="19" t="n">
        <x:v>3</x:v>
      </x:c>
      <x:c r="I857" s="19" t="n">
        <x:v>8</x:v>
      </x:c>
      <x:c r="J857" s="19" t="n">
        <x:v>1</x:v>
      </x:c>
      <x:c r="K857" s="16" t="str">
        <x:v>2. New with slight deterioration</x:v>
      </x:c>
      <x:c r="L857" s="16" t="str">
        <x:v>Very unlikely</x:v>
      </x:c>
      <x:c r="M857" s="16" t="str">
        <x:v>Moderate</x:v>
      </x:c>
      <x:c r="N857" s="16" t="str">
        <x:v>Low</x:v>
      </x:c>
    </x:row>
    <x:row r="858" ht="37" customHeight="1">
      <x:c r="A858" s="16" t="str">
        <x:v>RAW-00852</x:v>
      </x:c>
      <x:c r="B858" s="16" t="str">
        <x:v>Observation</x:v>
      </x:c>
      <x:c r="C858" s="16" t="str">
        <x:v>– Carport overview.</x:v>
      </x:c>
      <x:c r="D858" s="16" t="str">
        <x:v>Purlins and rafters</x:v>
      </x:c>
      <x:c r="E858" s="16" t="str">
        <x:v>SRC-051</x:v>
      </x:c>
      <x:c r="F858" s="16" t="str">
        <x:v>OBS-0008</x:v>
      </x:c>
      <x:c r="G858" s="16" t="str">
        <x:v>正式报告</x:v>
      </x:c>
      <x:c r="H858" s="19" t="n">
        <x:v>4</x:v>
      </x:c>
      <x:c r="I858" s="19" t="n">
        <x:v>6</x:v>
      </x:c>
      <x:c r="J858" s="19" t="n">
        <x:v>1</x:v>
      </x:c>
      <x:c r="K858" s="16" t="str">
        <x:v>2. New with slight deterioration</x:v>
      </x:c>
      <x:c r="L858" s="16" t="str">
        <x:v>Very unlikely</x:v>
      </x:c>
      <x:c r="M858" s="16" t="str">
        <x:v>Significant</x:v>
      </x:c>
      <x:c r="N858" s="16" t="str">
        <x:v>Low</x:v>
      </x:c>
    </x:row>
    <x:row r="859" ht="41" customHeight="1">
      <x:c r="A859" s="16" t="str">
        <x:v>RAW-00853</x:v>
      </x:c>
      <x:c r="B859" s="16" t="str">
        <x:v>Observation</x:v>
      </x:c>
      <x:c r="C859" s="16" t="str">
        <x:v>– Right hand side of house facing the entrance. Minor corrosion to rafters and purlins. Salt staining on purlins.</x:v>
      </x:c>
      <x:c r="D859" s="16" t="str">
        <x:v>Purlins and rafters</x:v>
      </x:c>
      <x:c r="E859" s="16" t="str">
        <x:v>SRC-051</x:v>
      </x:c>
      <x:c r="F859" s="16" t="str">
        <x:v>OBS-0029</x:v>
      </x:c>
      <x:c r="G859" s="16" t="str">
        <x:v>正式报告</x:v>
      </x:c>
      <x:c r="H859" s="19" t="n">
        <x:v>4</x:v>
      </x:c>
      <x:c r="I859" s="19" t="n">
        <x:v>7</x:v>
      </x:c>
      <x:c r="J859" s="19" t="n">
        <x:v>1</x:v>
      </x:c>
      <x:c r="K859" s="16" t="str">
        <x:v>2. New with slight deterioration</x:v>
      </x:c>
      <x:c r="L859" s="16" t="str">
        <x:v>Very unlikely</x:v>
      </x:c>
      <x:c r="M859" s="16" t="str">
        <x:v>Significant</x:v>
      </x:c>
      <x:c r="N859" s="16" t="str">
        <x:v>Low</x:v>
      </x:c>
    </x:row>
    <x:row r="860" ht="41" customHeight="1">
      <x:c r="A860" s="16" t="str">
        <x:v>RAW-00854</x:v>
      </x:c>
      <x:c r="B860" s="16" t="str">
        <x:v>Observation</x:v>
      </x:c>
      <x:c r="C860" s="16" t="str">
        <x:v>– Left hand side of house facing the entrance. Minor corrosion to rafters and purlins. Salt staining on purlins.</x:v>
      </x:c>
      <x:c r="D860" s="16" t="str">
        <x:v>Purlins and rafters</x:v>
      </x:c>
      <x:c r="E860" s="16" t="str">
        <x:v>SRC-051</x:v>
      </x:c>
      <x:c r="F860" s="16" t="str">
        <x:v>OBS-0015</x:v>
      </x:c>
      <x:c r="G860" s="16" t="str">
        <x:v>正式报告</x:v>
      </x:c>
      <x:c r="H860" s="19" t="n">
        <x:v>4</x:v>
      </x:c>
      <x:c r="I860" s="19" t="n">
        <x:v>8</x:v>
      </x:c>
      <x:c r="J860" s="19" t="n">
        <x:v>1</x:v>
      </x:c>
      <x:c r="K860" s="16" t="str">
        <x:v>2. New with slight deterioration</x:v>
      </x:c>
      <x:c r="L860" s="16" t="str">
        <x:v>Very unlikely</x:v>
      </x:c>
      <x:c r="M860" s="16" t="str">
        <x:v>Significant</x:v>
      </x:c>
      <x:c r="N860" s="16" t="str">
        <x:v>Low</x:v>
      </x:c>
    </x:row>
    <x:row r="861" ht="37" customHeight="1">
      <x:c r="A861" s="16" t="str">
        <x:v>RAW-00855</x:v>
      </x:c>
      <x:c r="B861" s="16" t="str">
        <x:v>Recommendation</x:v>
      </x:c>
      <x:c r="C861" s="16" t="str">
        <x:v>– Clean, wire brush and repaint.</x:v>
      </x:c>
      <x:c r="D861" s="16" t="str">
        <x:v>Purlins and rafters</x:v>
      </x:c>
      <x:c r="E861" s="16" t="str">
        <x:v>SRC-051</x:v>
      </x:c>
      <x:c r="F861" s="16" t="str">
        <x:v>REC-0001</x:v>
      </x:c>
      <x:c r="G861" s="16" t="str">
        <x:v>正式报告</x:v>
      </x:c>
      <x:c r="H861" s="19" t="n">
        <x:v>4</x:v>
      </x:c>
      <x:c r="I861" s="19" t="n">
        <x:v>8</x:v>
      </x:c>
      <x:c r="J861" s="19" t="n">
        <x:v>1</x:v>
      </x:c>
      <x:c r="K861" s="16" t="str">
        <x:v>2. New with slight deterioration</x:v>
      </x:c>
      <x:c r="L861" s="16" t="str">
        <x:v>Very unlikely</x:v>
      </x:c>
      <x:c r="M861" s="16" t="str">
        <x:v>Significant</x:v>
      </x:c>
      <x:c r="N861" s="16" t="str">
        <x:v>Low</x:v>
      </x:c>
    </x:row>
    <x:row r="862" ht="41" customHeight="1">
      <x:c r="A862" s="16" t="str">
        <x:v>RAW-00856</x:v>
      </x:c>
      <x:c r="B862" s="16" t="str">
        <x:v>Observation</x:v>
      </x:c>
      <x:c r="C862" s="16" t="str">
        <x:v>– Columns in good condition.</x:v>
      </x:c>
      <x:c r="D862" s="16" t="str">
        <x:v>Columns</x:v>
      </x:c>
      <x:c r="E862" s="16" t="str">
        <x:v>SRC-051</x:v>
      </x:c>
      <x:c r="F862" s="16" t="str">
        <x:v>OBS-0001</x:v>
      </x:c>
      <x:c r="G862" s="16" t="str">
        <x:v>正式报告</x:v>
      </x:c>
      <x:c r="H862" s="19" t="n">
        <x:v>5</x:v>
      </x:c>
      <x:c r="I862" s="19" t="n">
        <x:v>6</x:v>
      </x:c>
      <x:c r="J862" s="19" t="n">
        <x:v>4</x:v>
      </x:c>
      <x:c r="K862" s="16" t="str">
        <x:v>1. New with no visible defects/damage</x:v>
      </x:c>
      <x:c r="L862" s="16" t="str">
        <x:v>Very unlikely</x:v>
      </x:c>
      <x:c r="M862" s="16" t="str">
        <x:v>Significant</x:v>
      </x:c>
      <x:c r="N862" s="16" t="str">
        <x:v>Low</x:v>
      </x:c>
    </x:row>
    <x:row r="863" ht="41" customHeight="1">
      <x:c r="A863" s="16" t="str">
        <x:v>RAW-00857</x:v>
      </x:c>
      <x:c r="B863" s="16" t="str">
        <x:v>Recommendation</x:v>
      </x:c>
      <x:c r="C863" s="16" t="str">
        <x:v>– None.</x:v>
      </x:c>
      <x:c r="D863" s="16" t="str">
        <x:v>Columns</x:v>
      </x:c>
      <x:c r="E863" s="16" t="str">
        <x:v>SRC-051</x:v>
      </x:c>
      <x:c r="F863" s="16" t="str">
        <x:v>REC-0003</x:v>
      </x:c>
      <x:c r="G863" s="16" t="str">
        <x:v>正式报告</x:v>
      </x:c>
      <x:c r="H863" s="19" t="n">
        <x:v>5</x:v>
      </x:c>
      <x:c r="I863" s="19" t="n">
        <x:v>6</x:v>
      </x:c>
      <x:c r="J863" s="19" t="n">
        <x:v>4</x:v>
      </x:c>
      <x:c r="K863" s="16" t="str">
        <x:v>1. New with no visible defects/damage</x:v>
      </x:c>
      <x:c r="L863" s="16" t="str">
        <x:v>Very unlikely</x:v>
      </x:c>
      <x:c r="M863" s="16" t="str">
        <x:v>Significant</x:v>
      </x:c>
      <x:c r="N863" s="16" t="str">
        <x:v>Low</x:v>
      </x:c>
    </x:row>
    <x:row r="864" ht="37" customHeight="1">
      <x:c r="A864" s="16" t="str">
        <x:v>RAW-00858</x:v>
      </x:c>
      <x:c r="B864" s="16" t="str">
        <x:v>Observation</x:v>
      </x:c>
      <x:c r="C864" s="16" t="str">
        <x:v>– Carport front window. Salt staining and minor corrosion on wall cladding at bolted connections.</x:v>
      </x:c>
      <x:c r="D864" s="16" t="str">
        <x:v>Cladding and framing</x:v>
      </x:c>
      <x:c r="E864" s="16" t="str">
        <x:v>SRC-051</x:v>
      </x:c>
      <x:c r="F864" s="16" t="str">
        <x:v>OBS-0163</x:v>
      </x:c>
      <x:c r="G864" s="16" t="str">
        <x:v>正式报告</x:v>
      </x:c>
      <x:c r="H864" s="19" t="n">
        <x:v>6</x:v>
      </x:c>
      <x:c r="I864" s="19" t="n">
        <x:v>6</x:v>
      </x:c>
      <x:c r="J864" s="19" t="n">
        <x:v>2</x:v>
      </x:c>
      <x:c r="K864" s="16" t="str">
        <x:v>2. New with slight deterioration</x:v>
      </x:c>
      <x:c r="L864" s="16" t="str">
        <x:v>Unlikely</x:v>
      </x:c>
      <x:c r="M864" s="16" t="str">
        <x:v>Negligible</x:v>
      </x:c>
      <x:c r="N864" s="16" t="str">
        <x:v>Low</x:v>
      </x:c>
    </x:row>
    <x:row r="865" ht="37" customHeight="1">
      <x:c r="A865" s="16" t="str">
        <x:v>RAW-00859</x:v>
      </x:c>
      <x:c r="B865" s="16" t="str">
        <x:v>Recommendation</x:v>
      </x:c>
      <x:c r="C865" s="16" t="str">
        <x:v>– Clean, wire brush and repaint.</x:v>
      </x:c>
      <x:c r="D865" s="16" t="str">
        <x:v>Cladding and framing</x:v>
      </x:c>
      <x:c r="E865" s="16" t="str">
        <x:v>SRC-051</x:v>
      </x:c>
      <x:c r="F865" s="16" t="str">
        <x:v>REC-0001</x:v>
      </x:c>
      <x:c r="G865" s="16" t="str">
        <x:v>正式报告</x:v>
      </x:c>
      <x:c r="H865" s="19" t="n">
        <x:v>6</x:v>
      </x:c>
      <x:c r="I865" s="19" t="n">
        <x:v>6</x:v>
      </x:c>
      <x:c r="J865" s="19" t="n">
        <x:v>2</x:v>
      </x:c>
      <x:c r="K865" s="16" t="str">
        <x:v>2. New with slight deterioration</x:v>
      </x:c>
      <x:c r="L865" s="16" t="str">
        <x:v>Unlikely</x:v>
      </x:c>
      <x:c r="M865" s="16" t="str">
        <x:v>Negligible</x:v>
      </x:c>
      <x:c r="N865" s="16" t="str">
        <x:v>Low</x:v>
      </x:c>
    </x:row>
    <x:row r="866" ht="37" customHeight="1">
      <x:c r="A866" s="16" t="str">
        <x:v>RAW-00860</x:v>
      </x:c>
      <x:c r="B866" s="16" t="str">
        <x:v>Observation</x:v>
      </x:c>
      <x:c r="C866" s="16" t="str">
        <x:v>– Salt staining at corner of window frame, typical to most windows.</x:v>
      </x:c>
      <x:c r="D866" s="16" t="str">
        <x:v>Cladding and framing</x:v>
      </x:c>
      <x:c r="E866" s="16" t="str">
        <x:v>SRC-051</x:v>
      </x:c>
      <x:c r="F866" s="16" t="str">
        <x:v>OBS-0080</x:v>
      </x:c>
      <x:c r="G866" s="16" t="str">
        <x:v>正式报告</x:v>
      </x:c>
      <x:c r="H866" s="19" t="n">
        <x:v>6</x:v>
      </x:c>
      <x:c r="I866" s="19" t="n">
        <x:v>8</x:v>
      </x:c>
      <x:c r="J866" s="19" t="n">
        <x:v>1</x:v>
      </x:c>
      <x:c r="K866" s="16" t="str">
        <x:v>2. New with slight deterioration</x:v>
      </x:c>
      <x:c r="L866" s="16" t="str">
        <x:v>Unlikely</x:v>
      </x:c>
      <x:c r="M866" s="16" t="str">
        <x:v>Negligible</x:v>
      </x:c>
      <x:c r="N866" s="16" t="str">
        <x:v>Low</x:v>
      </x:c>
    </x:row>
    <x:row r="867" ht="37" customHeight="1">
      <x:c r="A867" s="16" t="str">
        <x:v>RAW-00861</x:v>
      </x:c>
      <x:c r="B867" s="16" t="str">
        <x:v>Recommendation</x:v>
      </x:c>
      <x:c r="C867" s="16" t="str">
        <x:v>– Clean, wire brush and repaint.</x:v>
      </x:c>
      <x:c r="D867" s="16" t="str">
        <x:v>Cladding and framing</x:v>
      </x:c>
      <x:c r="E867" s="16" t="str">
        <x:v>SRC-051</x:v>
      </x:c>
      <x:c r="F867" s="16" t="str">
        <x:v>REC-0001</x:v>
      </x:c>
      <x:c r="G867" s="16" t="str">
        <x:v>正式报告</x:v>
      </x:c>
      <x:c r="H867" s="19" t="n">
        <x:v>6</x:v>
      </x:c>
      <x:c r="I867" s="19" t="n">
        <x:v>8</x:v>
      </x:c>
      <x:c r="J867" s="19" t="n">
        <x:v>1</x:v>
      </x:c>
      <x:c r="K867" s="16" t="str">
        <x:v>2. New with slight deterioration</x:v>
      </x:c>
      <x:c r="L867" s="16" t="str">
        <x:v>Unlikely</x:v>
      </x:c>
      <x:c r="M867" s="16" t="str">
        <x:v>Negligible</x:v>
      </x:c>
      <x:c r="N867" s="16" t="str">
        <x:v>Low</x:v>
      </x:c>
    </x:row>
    <x:row r="868" ht="37" customHeight="1">
      <x:c r="A868" s="16" t="str">
        <x:v>RAW-00862</x:v>
      </x:c>
      <x:c r="B868" s="16" t="str">
        <x:v>Observation</x:v>
      </x:c>
      <x:c r="C868" s="16" t="str">
        <x:v>– Minor corrosion and salt staining at soffit cladding edge.</x:v>
      </x:c>
      <x:c r="D868" s="16" t="str">
        <x:v>Cladding and framing</x:v>
      </x:c>
      <x:c r="E868" s="16" t="str">
        <x:v>SRC-051</x:v>
      </x:c>
      <x:c r="F868" s="16" t="str">
        <x:v>OBS-0057</x:v>
      </x:c>
      <x:c r="G868" s="16" t="str">
        <x:v>正式报告</x:v>
      </x:c>
      <x:c r="H868" s="19" t="n">
        <x:v>6</x:v>
      </x:c>
      <x:c r="I868" s="19" t="n">
        <x:v>9</x:v>
      </x:c>
      <x:c r="J868" s="19" t="n">
        <x:v>1</x:v>
      </x:c>
      <x:c r="K868" s="16" t="str">
        <x:v>2. New with slight deterioration</x:v>
      </x:c>
      <x:c r="L868" s="16" t="str">
        <x:v>Unlikely</x:v>
      </x:c>
      <x:c r="M868" s="16" t="str">
        <x:v>Negligible</x:v>
      </x:c>
      <x:c r="N868" s="16" t="str">
        <x:v>Low</x:v>
      </x:c>
    </x:row>
    <x:row r="869" ht="37" customHeight="1">
      <x:c r="A869" s="16" t="str">
        <x:v>RAW-00863</x:v>
      </x:c>
      <x:c r="B869" s="16" t="str">
        <x:v>Recommendation</x:v>
      </x:c>
      <x:c r="C869" s="16" t="str">
        <x:v>– Clean, wire brush and repaint.</x:v>
      </x:c>
      <x:c r="D869" s="16" t="str">
        <x:v>Cladding and framing</x:v>
      </x:c>
      <x:c r="E869" s="16" t="str">
        <x:v>SRC-051</x:v>
      </x:c>
      <x:c r="F869" s="16" t="str">
        <x:v>REC-0001</x:v>
      </x:c>
      <x:c r="G869" s="16" t="str">
        <x:v>正式报告</x:v>
      </x:c>
      <x:c r="H869" s="19" t="n">
        <x:v>6</x:v>
      </x:c>
      <x:c r="I869" s="19" t="n">
        <x:v>9</x:v>
      </x:c>
      <x:c r="J869" s="19" t="n">
        <x:v>1</x:v>
      </x:c>
      <x:c r="K869" s="16" t="str">
        <x:v>2. New with slight deterioration</x:v>
      </x:c>
      <x:c r="L869" s="16" t="str">
        <x:v>Unlikely</x:v>
      </x:c>
      <x:c r="M869" s="16" t="str">
        <x:v>Negligible</x:v>
      </x:c>
      <x:c r="N869" s="16" t="str">
        <x:v>Low</x:v>
      </x:c>
    </x:row>
    <x:row r="870" ht="37" customHeight="1">
      <x:c r="A870" s="16" t="str">
        <x:v>RAW-00864</x:v>
      </x:c>
      <x:c r="B870" s="16" t="str">
        <x:v>Observation</x:v>
      </x:c>
      <x:c r="C870" s="16" t="str">
        <x:v>– Carport fencing post. Most posts have paint deterioration and corrosion at the lower section.</x:v>
      </x:c>
      <x:c r="D870" s="16" t="str">
        <x:v>Fencing posts</x:v>
      </x:c>
      <x:c r="E870" s="16" t="str">
        <x:v>SRC-052</x:v>
      </x:c>
      <x:c r="F870" s="16" t="str">
        <x:v>OBS-0157</x:v>
      </x:c>
      <x:c r="G870" s="16" t="str">
        <x:v>正式报告</x:v>
      </x:c>
      <x:c r="H870" s="19" t="n">
        <x:v>3</x:v>
      </x:c>
      <x:c r="I870" s="19" t="n">
        <x:v>6</x:v>
      </x:c>
      <x:c r="J870" s="19" t="n">
        <x:v>2</x:v>
      </x:c>
      <x:c r="K870" s="16" t="str">
        <x:v>6. Severe deterioration</x:v>
      </x:c>
      <x:c r="L870" s="16" t="str">
        <x:v>Very likely</x:v>
      </x:c>
      <x:c r="M870" s="16" t="str">
        <x:v>Moderate</x:v>
      </x:c>
      <x:c r="N870" s="16" t="str">
        <x:v>Critical</x:v>
      </x:c>
    </x:row>
    <x:row r="871" ht="37" customHeight="1">
      <x:c r="A871" s="16" t="str">
        <x:v>RAW-00865</x:v>
      </x:c>
      <x:c r="B871" s="16" t="str">
        <x:v>Recommendation</x:v>
      </x:c>
      <x:c r="C871" s="16" t="str">
        <x:v>– Clean, wire brush and repaint.</x:v>
      </x:c>
      <x:c r="D871" s="16" t="str">
        <x:v>Fencing posts</x:v>
      </x:c>
      <x:c r="E871" s="16" t="str">
        <x:v>SRC-052</x:v>
      </x:c>
      <x:c r="F871" s="16" t="str">
        <x:v>REC-0001</x:v>
      </x:c>
      <x:c r="G871" s="16" t="str">
        <x:v>正式报告</x:v>
      </x:c>
      <x:c r="H871" s="19" t="n">
        <x:v>3</x:v>
      </x:c>
      <x:c r="I871" s="19" t="n">
        <x:v>6</x:v>
      </x:c>
      <x:c r="J871" s="19" t="n">
        <x:v>2</x:v>
      </x:c>
      <x:c r="K871" s="16" t="str">
        <x:v>6. Severe deterioration</x:v>
      </x:c>
      <x:c r="L871" s="16" t="str">
        <x:v>Very likely</x:v>
      </x:c>
      <x:c r="M871" s="16" t="str">
        <x:v>Moderate</x:v>
      </x:c>
      <x:c r="N871" s="16" t="str">
        <x:v>Critical</x:v>
      </x:c>
    </x:row>
    <x:row r="872" ht="37" customHeight="1">
      <x:c r="A872" s="16" t="str">
        <x:v>RAW-00866</x:v>
      </x:c>
      <x:c r="B872" s="16" t="str">
        <x:v>Observation</x:v>
      </x:c>
      <x:c r="C872" s="16" t="str">
        <x:v>– Backyard fencing post. Bitumen Paint deterioration and flaking corrosion.</x:v>
      </x:c>
      <x:c r="D872" s="16" t="str">
        <x:v>Fencing posts</x:v>
      </x:c>
      <x:c r="E872" s="16" t="str">
        <x:v>SRC-052</x:v>
      </x:c>
      <x:c r="F872" s="16" t="str">
        <x:v>OBS-0127</x:v>
      </x:c>
      <x:c r="G872" s="16" t="str">
        <x:v>正式报告</x:v>
      </x:c>
      <x:c r="H872" s="19" t="n">
        <x:v>3</x:v>
      </x:c>
      <x:c r="I872" s="19" t="n">
        <x:v>8</x:v>
      </x:c>
      <x:c r="J872" s="19" t="n">
        <x:v>2</x:v>
      </x:c>
      <x:c r="K872" s="16" t="str">
        <x:v>6. Severe deterioration</x:v>
      </x:c>
      <x:c r="L872" s="16" t="str">
        <x:v>Very likely</x:v>
      </x:c>
      <x:c r="M872" s="16" t="str">
        <x:v>Moderate</x:v>
      </x:c>
      <x:c r="N872" s="16" t="str">
        <x:v>Critical</x:v>
      </x:c>
    </x:row>
    <x:row r="873" ht="37" customHeight="1">
      <x:c r="A873" s="16" t="str">
        <x:v>RAW-00867</x:v>
      </x:c>
      <x:c r="B873" s="16" t="str">
        <x:v>Recommendation</x:v>
      </x:c>
      <x:c r="C873" s="16" t="str">
        <x:v>– Clean, wire brush and repaint.</x:v>
      </x:c>
      <x:c r="D873" s="16" t="str">
        <x:v>Fencing posts</x:v>
      </x:c>
      <x:c r="E873" s="16" t="str">
        <x:v>SRC-052</x:v>
      </x:c>
      <x:c r="F873" s="16" t="str">
        <x:v>REC-0001</x:v>
      </x:c>
      <x:c r="G873" s="16" t="str">
        <x:v>正式报告</x:v>
      </x:c>
      <x:c r="H873" s="19" t="n">
        <x:v>3</x:v>
      </x:c>
      <x:c r="I873" s="19" t="n">
        <x:v>8</x:v>
      </x:c>
      <x:c r="J873" s="19" t="n">
        <x:v>2</x:v>
      </x:c>
      <x:c r="K873" s="16" t="str">
        <x:v>6. Severe deterioration</x:v>
      </x:c>
      <x:c r="L873" s="16" t="str">
        <x:v>Very likely</x:v>
      </x:c>
      <x:c r="M873" s="16" t="str">
        <x:v>Moderate</x:v>
      </x:c>
      <x:c r="N873" s="16" t="str">
        <x:v>Critical</x:v>
      </x:c>
    </x:row>
    <x:row r="874" ht="37" customHeight="1">
      <x:c r="A874" s="16" t="str">
        <x:v>RAW-00868</x:v>
      </x:c>
      <x:c r="B874" s="16" t="str">
        <x:v>Observation</x:v>
      </x:c>
      <x:c r="C874" s="16" t="str">
        <x:v>– Front verandah column in good condition.</x:v>
      </x:c>
      <x:c r="D874" s="16" t="str">
        <x:v>Columns</x:v>
      </x:c>
      <x:c r="E874" s="16" t="str">
        <x:v>SRC-052</x:v>
      </x:c>
      <x:c r="F874" s="16" t="str">
        <x:v>OBS-0051</x:v>
      </x:c>
      <x:c r="G874" s="16" t="str">
        <x:v>正式报告</x:v>
      </x:c>
      <x:c r="H874" s="19" t="n">
        <x:v>4</x:v>
      </x:c>
      <x:c r="I874" s="19" t="n">
        <x:v>6</x:v>
      </x:c>
      <x:c r="J874" s="19" t="n">
        <x:v>1</x:v>
      </x:c>
      <x:c r="K874" s="16" t="str">
        <x:v>4. Moderate deterioration</x:v>
      </x:c>
      <x:c r="L874" s="16" t="str">
        <x:v>Possible</x:v>
      </x:c>
      <x:c r="M874" s="16" t="str">
        <x:v>Significant</x:v>
      </x:c>
      <x:c r="N874" s="16" t="str">
        <x:v>High</x:v>
      </x:c>
    </x:row>
    <x:row r="875" ht="37" customHeight="1">
      <x:c r="A875" s="16" t="str">
        <x:v>RAW-00869</x:v>
      </x:c>
      <x:c r="B875" s="16" t="str">
        <x:v>Recommendation</x:v>
      </x:c>
      <x:c r="C875" s="16" t="str">
        <x:v>– Clean, wire brush and repaint.</x:v>
      </x:c>
      <x:c r="D875" s="16" t="str">
        <x:v>Columns</x:v>
      </x:c>
      <x:c r="E875" s="16" t="str">
        <x:v>SRC-052</x:v>
      </x:c>
      <x:c r="F875" s="16" t="str">
        <x:v>REC-0001</x:v>
      </x:c>
      <x:c r="G875" s="16" t="str">
        <x:v>正式报告</x:v>
      </x:c>
      <x:c r="H875" s="19" t="n">
        <x:v>4</x:v>
      </x:c>
      <x:c r="I875" s="19" t="n">
        <x:v>7</x:v>
      </x:c>
      <x:c r="J875" s="19" t="n">
        <x:v>2</x:v>
      </x:c>
      <x:c r="K875" s="16" t="str">
        <x:v>4. Moderate deterioration</x:v>
      </x:c>
      <x:c r="L875" s="16" t="str">
        <x:v>Possible</x:v>
      </x:c>
      <x:c r="M875" s="16" t="str">
        <x:v>Significant</x:v>
      </x:c>
      <x:c r="N875" s="16" t="str">
        <x:v>High</x:v>
      </x:c>
    </x:row>
    <x:row r="876" ht="37" customHeight="1">
      <x:c r="A876" s="16" t="str">
        <x:v>RAW-00870</x:v>
      </x:c>
      <x:c r="B876" s="16" t="str">
        <x:v>Observation</x:v>
      </x:c>
      <x:c r="C876" s="16" t="str">
        <x:v>– Back verandah column. Water from tap ponding at bottom will accelerate corrosion.</x:v>
      </x:c>
      <x:c r="D876" s="16" t="str">
        <x:v>Columns</x:v>
      </x:c>
      <x:c r="E876" s="16" t="str">
        <x:v>SRC-052</x:v>
      </x:c>
      <x:c r="F876" s="16" t="str">
        <x:v>OBS-0113</x:v>
      </x:c>
      <x:c r="G876" s="16" t="str">
        <x:v>正式报告</x:v>
      </x:c>
      <x:c r="H876" s="19" t="n">
        <x:v>4</x:v>
      </x:c>
      <x:c r="I876" s="19" t="n">
        <x:v>9</x:v>
      </x:c>
      <x:c r="J876" s="19" t="n">
        <x:v>1</x:v>
      </x:c>
      <x:c r="K876" s="16" t="str">
        <x:v>4. Moderate deterioration</x:v>
      </x:c>
      <x:c r="L876" s="16" t="str">
        <x:v>Possible</x:v>
      </x:c>
      <x:c r="M876" s="16" t="str">
        <x:v>Significant</x:v>
      </x:c>
      <x:c r="N876" s="16" t="str">
        <x:v>High</x:v>
      </x:c>
    </x:row>
    <x:row r="877" ht="37" customHeight="1">
      <x:c r="A877" s="16" t="str">
        <x:v>RAW-00871</x:v>
      </x:c>
      <x:c r="B877" s="16" t="str">
        <x:v>Recommendation</x:v>
      </x:c>
      <x:c r="C877" s="16" t="str">
        <x:v>– Clean, wire brush and repaint.</x:v>
      </x:c>
      <x:c r="D877" s="16" t="str">
        <x:v>Columns</x:v>
      </x:c>
      <x:c r="E877" s="16" t="str">
        <x:v>SRC-052</x:v>
      </x:c>
      <x:c r="F877" s="16" t="str">
        <x:v>REC-0001</x:v>
      </x:c>
      <x:c r="G877" s="16" t="str">
        <x:v>正式报告</x:v>
      </x:c>
      <x:c r="H877" s="19" t="n">
        <x:v>4</x:v>
      </x:c>
      <x:c r="I877" s="19" t="n">
        <x:v>9</x:v>
      </x:c>
      <x:c r="J877" s="19" t="n">
        <x:v>1</x:v>
      </x:c>
      <x:c r="K877" s="16" t="str">
        <x:v>4. Moderate deterioration</x:v>
      </x:c>
      <x:c r="L877" s="16" t="str">
        <x:v>Possible</x:v>
      </x:c>
      <x:c r="M877" s="16" t="str">
        <x:v>Significant</x:v>
      </x:c>
      <x:c r="N877" s="16" t="str">
        <x:v>High</x:v>
      </x:c>
    </x:row>
    <x:row r="878" ht="37" customHeight="1">
      <x:c r="A878" s="16" t="str">
        <x:v>RAW-00872</x:v>
      </x:c>
      <x:c r="B878" s="16" t="str">
        <x:v>Observation</x:v>
      </x:c>
      <x:c r="C878" s="16" t="str">
        <x:v>– Back verandah column in good condition.</x:v>
      </x:c>
      <x:c r="D878" s="16" t="str">
        <x:v>Columns</x:v>
      </x:c>
      <x:c r="E878" s="16" t="str">
        <x:v>SRC-052</x:v>
      </x:c>
      <x:c r="F878" s="16" t="str">
        <x:v>OBS-0109</x:v>
      </x:c>
      <x:c r="G878" s="16" t="str">
        <x:v>正式报告</x:v>
      </x:c>
      <x:c r="H878" s="19" t="n">
        <x:v>4</x:v>
      </x:c>
      <x:c r="I878" s="19" t="n">
        <x:v>10</x:v>
      </x:c>
      <x:c r="J878" s="19" t="n">
        <x:v>1</x:v>
      </x:c>
      <x:c r="K878" s="16" t="str">
        <x:v>4. Moderate deterioration</x:v>
      </x:c>
      <x:c r="L878" s="16" t="str">
        <x:v>Possible</x:v>
      </x:c>
      <x:c r="M878" s="16" t="str">
        <x:v>Significant</x:v>
      </x:c>
      <x:c r="N878" s="16" t="str">
        <x:v>High</x:v>
      </x:c>
    </x:row>
    <x:row r="879" ht="37" customHeight="1">
      <x:c r="A879" s="16" t="str">
        <x:v>RAW-00873</x:v>
      </x:c>
      <x:c r="B879" s="16" t="str">
        <x:v>Observation</x:v>
      </x:c>
      <x:c r="C879" s="16" t="str">
        <x:v>– Front verandah in good condition.</x:v>
      </x:c>
      <x:c r="D879" s="16" t="str">
        <x:v>Rafters and purlins</x:v>
      </x:c>
      <x:c r="E879" s="16" t="str">
        <x:v>SRC-052</x:v>
      </x:c>
      <x:c r="F879" s="16" t="str">
        <x:v>OBS-0013</x:v>
      </x:c>
      <x:c r="G879" s="16" t="str">
        <x:v>正式报告</x:v>
      </x:c>
      <x:c r="H879" s="19" t="n">
        <x:v>5</x:v>
      </x:c>
      <x:c r="I879" s="19" t="n">
        <x:v>6</x:v>
      </x:c>
      <x:c r="J879" s="19" t="n">
        <x:v>1</x:v>
      </x:c>
      <x:c r="K879" s="16" t="str">
        <x:v>2. New with slight deterioration</x:v>
      </x:c>
      <x:c r="L879" s="16" t="str">
        <x:v>Very unlikely</x:v>
      </x:c>
      <x:c r="M879" s="16" t="str">
        <x:v>Significant</x:v>
      </x:c>
      <x:c r="N879" s="16" t="str">
        <x:v>Low</x:v>
      </x:c>
    </x:row>
    <x:row r="880" ht="37" customHeight="1">
      <x:c r="A880" s="16" t="str">
        <x:v>RAW-00874</x:v>
      </x:c>
      <x:c r="B880" s="16" t="str">
        <x:v>Observation</x:v>
      </x:c>
      <x:c r="C880" s="16" t="str">
        <x:v>– Carport verandah in good condition.</x:v>
      </x:c>
      <x:c r="D880" s="16" t="str">
        <x:v>Rafters and purlins</x:v>
      </x:c>
      <x:c r="E880" s="16" t="str">
        <x:v>SRC-052</x:v>
      </x:c>
      <x:c r="F880" s="16" t="str">
        <x:v>OBS-0003</x:v>
      </x:c>
      <x:c r="G880" s="16" t="str">
        <x:v>正式报告</x:v>
      </x:c>
      <x:c r="H880" s="19" t="n">
        <x:v>5</x:v>
      </x:c>
      <x:c r="I880" s="19" t="n">
        <x:v>7</x:v>
      </x:c>
      <x:c r="J880" s="19" t="n">
        <x:v>1</x:v>
      </x:c>
      <x:c r="K880" s="16" t="str">
        <x:v>2. New with slight deterioration</x:v>
      </x:c>
      <x:c r="L880" s="16" t="str">
        <x:v>Very unlikely</x:v>
      </x:c>
      <x:c r="M880" s="16" t="str">
        <x:v>Significant</x:v>
      </x:c>
      <x:c r="N880" s="16" t="str">
        <x:v>Low</x:v>
      </x:c>
    </x:row>
    <x:row r="881" ht="37" customHeight="1">
      <x:c r="A881" s="16" t="str">
        <x:v>RAW-00875</x:v>
      </x:c>
      <x:c r="B881" s="16" t="str">
        <x:v>Observation</x:v>
      </x:c>
      <x:c r="C881" s="16" t="str">
        <x:v>– Carport verandah in good condition.</x:v>
      </x:c>
      <x:c r="D881" s="16" t="str">
        <x:v>Rafters and purlins</x:v>
      </x:c>
      <x:c r="E881" s="16" t="str">
        <x:v>SRC-052</x:v>
      </x:c>
      <x:c r="F881" s="16" t="str">
        <x:v>OBS-0003</x:v>
      </x:c>
      <x:c r="G881" s="16" t="str">
        <x:v>正式报告</x:v>
      </x:c>
      <x:c r="H881" s="19" t="n">
        <x:v>5</x:v>
      </x:c>
      <x:c r="I881" s="19" t="n">
        <x:v>8</x:v>
      </x:c>
      <x:c r="J881" s="19" t="n">
        <x:v>1</x:v>
      </x:c>
      <x:c r="K881" s="16" t="str">
        <x:v>2. New with slight deterioration</x:v>
      </x:c>
      <x:c r="L881" s="16" t="str">
        <x:v>Very unlikely</x:v>
      </x:c>
      <x:c r="M881" s="16" t="str">
        <x:v>Significant</x:v>
      </x:c>
      <x:c r="N881" s="16" t="str">
        <x:v>Low</x:v>
      </x:c>
    </x:row>
    <x:row r="882" ht="37" customHeight="1">
      <x:c r="A882" s="16" t="str">
        <x:v>RAW-00876</x:v>
      </x:c>
      <x:c r="B882" s="16" t="str">
        <x:v>Observation</x:v>
      </x:c>
      <x:c r="C882" s="16" t="str">
        <x:v>– Back verandah in good condition.</x:v>
      </x:c>
      <x:c r="D882" s="16" t="str">
        <x:v>Rafters and purlins</x:v>
      </x:c>
      <x:c r="E882" s="16" t="str">
        <x:v>SRC-052</x:v>
      </x:c>
      <x:c r="F882" s="16" t="str">
        <x:v>OBS-0007</x:v>
      </x:c>
      <x:c r="G882" s="16" t="str">
        <x:v>正式报告</x:v>
      </x:c>
      <x:c r="H882" s="19" t="n">
        <x:v>5</x:v>
      </x:c>
      <x:c r="I882" s="19" t="n">
        <x:v>9</x:v>
      </x:c>
      <x:c r="J882" s="19" t="n">
        <x:v>1</x:v>
      </x:c>
      <x:c r="K882" s="16" t="str">
        <x:v>2. New with slight deterioration</x:v>
      </x:c>
      <x:c r="L882" s="16" t="str">
        <x:v>Very unlikely</x:v>
      </x:c>
      <x:c r="M882" s="16" t="str">
        <x:v>Significant</x:v>
      </x:c>
      <x:c r="N882" s="16" t="str">
        <x:v>Low</x:v>
      </x:c>
    </x:row>
    <x:row r="883" ht="37" customHeight="1">
      <x:c r="A883" s="16" t="str">
        <x:v>RAW-00877</x:v>
      </x:c>
      <x:c r="B883" s="16" t="str">
        <x:v>Observation</x:v>
      </x:c>
      <x:c r="C883" s="16" t="str">
        <x:v>– Salt staining on rafters and purlins supporting roof overhang.</x:v>
      </x:c>
      <x:c r="D883" s="16" t="str">
        <x:v>Rafters and purlins</x:v>
      </x:c>
      <x:c r="E883" s="16" t="str">
        <x:v>SRC-052</x:v>
      </x:c>
      <x:c r="F883" s="16" t="str">
        <x:v>OBS-0006</x:v>
      </x:c>
      <x:c r="G883" s="16" t="str">
        <x:v>正式报告</x:v>
      </x:c>
      <x:c r="H883" s="19" t="n">
        <x:v>5</x:v>
      </x:c>
      <x:c r="I883" s="19" t="n">
        <x:v>10</x:v>
      </x:c>
      <x:c r="J883" s="19" t="n">
        <x:v>1</x:v>
      </x:c>
      <x:c r="K883" s="16" t="str">
        <x:v>2. New with slight deterioration</x:v>
      </x:c>
      <x:c r="L883" s="16" t="str">
        <x:v>Very unlikely</x:v>
      </x:c>
      <x:c r="M883" s="16" t="str">
        <x:v>Significant</x:v>
      </x:c>
      <x:c r="N883" s="16" t="str">
        <x:v>Low</x:v>
      </x:c>
    </x:row>
    <x:row r="884" ht="37" customHeight="1">
      <x:c r="A884" s="16" t="str">
        <x:v>RAW-00878</x:v>
      </x:c>
      <x:c r="B884" s="16" t="str">
        <x:v>Recommendation</x:v>
      </x:c>
      <x:c r="C884" s="16" t="str">
        <x:v>– Clean off salt staining.</x:v>
      </x:c>
      <x:c r="D884" s="16" t="str">
        <x:v>Rafters and purlins</x:v>
      </x:c>
      <x:c r="E884" s="16" t="str">
        <x:v>SRC-052</x:v>
      </x:c>
      <x:c r="F884" s="16" t="str">
        <x:v>REC-0008</x:v>
      </x:c>
      <x:c r="G884" s="16" t="str">
        <x:v>正式报告</x:v>
      </x:c>
      <x:c r="H884" s="19" t="n">
        <x:v>5</x:v>
      </x:c>
      <x:c r="I884" s="19" t="n">
        <x:v>10</x:v>
      </x:c>
      <x:c r="J884" s="19" t="n">
        <x:v>1</x:v>
      </x:c>
      <x:c r="K884" s="16" t="str">
        <x:v>2. New with slight deterioration</x:v>
      </x:c>
      <x:c r="L884" s="16" t="str">
        <x:v>Very unlikely</x:v>
      </x:c>
      <x:c r="M884" s="16" t="str">
        <x:v>Significant</x:v>
      </x:c>
      <x:c r="N884" s="16" t="str">
        <x:v>Low</x:v>
      </x:c>
    </x:row>
    <x:row r="885" ht="37" customHeight="1">
      <x:c r="A885" s="16" t="str">
        <x:v>RAW-00879</x:v>
      </x:c>
      <x:c r="B885" s="16" t="str">
        <x:v>Observation</x:v>
      </x:c>
      <x:c r="C885" s="16" t="str">
        <x:v>– Front of property. Cladding and framing in good condition.</x:v>
      </x:c>
      <x:c r="D885" s="16" t="str">
        <x:v>Cladding and framing</x:v>
      </x:c>
      <x:c r="E885" s="16" t="str">
        <x:v>SRC-052</x:v>
      </x:c>
      <x:c r="F885" s="16" t="str">
        <x:v>OBS-0004</x:v>
      </x:c>
      <x:c r="G885" s="16" t="str">
        <x:v>正式报告</x:v>
      </x:c>
      <x:c r="H885" s="19" t="n">
        <x:v>6</x:v>
      </x:c>
      <x:c r="I885" s="19" t="n">
        <x:v>6</x:v>
      </x:c>
      <x:c r="J885" s="19" t="n">
        <x:v>1</x:v>
      </x:c>
      <x:c r="K885" s="16" t="str">
        <x:v>2. New with slight deterioration</x:v>
      </x:c>
      <x:c r="L885" s="16" t="str">
        <x:v>Unlikely</x:v>
      </x:c>
      <x:c r="M885" s="16" t="str">
        <x:v>Negligible</x:v>
      </x:c>
      <x:c r="N885" s="16" t="str">
        <x:v>Low</x:v>
      </x:c>
    </x:row>
    <x:row r="886" ht="37" customHeight="1">
      <x:c r="A886" s="16" t="str">
        <x:v>RAW-00880</x:v>
      </x:c>
      <x:c r="B886" s="16" t="str">
        <x:v>Observation</x:v>
      </x:c>
      <x:c r="C886" s="16" t="str">
        <x:v>– Carport wall cladding in good condition.</x:v>
      </x:c>
      <x:c r="D886" s="16" t="str">
        <x:v>Cladding and framing</x:v>
      </x:c>
      <x:c r="E886" s="16" t="str">
        <x:v>SRC-052</x:v>
      </x:c>
      <x:c r="F886" s="16" t="str">
        <x:v>OBS-0038</x:v>
      </x:c>
      <x:c r="G886" s="16" t="str">
        <x:v>正式报告</x:v>
      </x:c>
      <x:c r="H886" s="19" t="n">
        <x:v>6</x:v>
      </x:c>
      <x:c r="I886" s="19" t="n">
        <x:v>7</x:v>
      </x:c>
      <x:c r="J886" s="19" t="n">
        <x:v>1</x:v>
      </x:c>
      <x:c r="K886" s="16" t="str">
        <x:v>2. New with slight deterioration</x:v>
      </x:c>
      <x:c r="L886" s="16" t="str">
        <x:v>Unlikely</x:v>
      </x:c>
      <x:c r="M886" s="16" t="str">
        <x:v>Negligible</x:v>
      </x:c>
      <x:c r="N886" s="16" t="str">
        <x:v>Low</x:v>
      </x:c>
    </x:row>
    <x:row r="887" ht="37" customHeight="1">
      <x:c r="A887" s="16" t="str">
        <x:v>RAW-00881</x:v>
      </x:c>
      <x:c r="B887" s="16" t="str">
        <x:v>Observation</x:v>
      </x:c>
      <x:c r="C887" s="16" t="str">
        <x:v>– Back of property. Cladding and framing in good condition.</x:v>
      </x:c>
      <x:c r="D887" s="16" t="str">
        <x:v>Cladding and framing</x:v>
      </x:c>
      <x:c r="E887" s="16" t="str">
        <x:v>SRC-052</x:v>
      </x:c>
      <x:c r="F887" s="16" t="str">
        <x:v>OBS-0011</x:v>
      </x:c>
      <x:c r="G887" s="16" t="str">
        <x:v>正式报告</x:v>
      </x:c>
      <x:c r="H887" s="19" t="n">
        <x:v>6</x:v>
      </x:c>
      <x:c r="I887" s="19" t="n">
        <x:v>8</x:v>
      </x:c>
      <x:c r="J887" s="19" t="n">
        <x:v>1</x:v>
      </x:c>
      <x:c r="K887" s="16" t="str">
        <x:v>2. New with slight deterioration</x:v>
      </x:c>
      <x:c r="L887" s="16" t="str">
        <x:v>Unlikely</x:v>
      </x:c>
      <x:c r="M887" s="16" t="str">
        <x:v>Negligible</x:v>
      </x:c>
      <x:c r="N887" s="16" t="str">
        <x:v>Low</x:v>
      </x:c>
    </x:row>
    <x:row r="888" ht="37" customHeight="1">
      <x:c r="A888" s="16" t="str">
        <x:v>RAW-00882</x:v>
      </x:c>
      <x:c r="B888" s="16" t="str">
        <x:v>Observation</x:v>
      </x:c>
      <x:c r="C888" s="16" t="str">
        <x:v>– Overview of brick wall.</x:v>
      </x:c>
      <x:c r="D888" s="16" t="str">
        <x:v>Brick wall</x:v>
      </x:c>
      <x:c r="E888" s="16" t="str">
        <x:v>SRC-052</x:v>
      </x:c>
      <x:c r="F888" s="16" t="str">
        <x:v>OBS-0424</x:v>
      </x:c>
      <x:c r="G888" s="16" t="str">
        <x:v>正式报告</x:v>
      </x:c>
      <x:c r="H888" s="19" t="n">
        <x:v>7</x:v>
      </x:c>
      <x:c r="I888" s="19" t="n">
        <x:v>6</x:v>
      </x:c>
      <x:c r="J888" s="19" t="n">
        <x:v>1</x:v>
      </x:c>
      <x:c r="K888" s="16" t="str">
        <x:v>2. New with slight deterioration</x:v>
      </x:c>
      <x:c r="L888" s="16" t="str">
        <x:v>Very unlikely</x:v>
      </x:c>
      <x:c r="M888" s="16" t="str">
        <x:v>Moderate</x:v>
      </x:c>
      <x:c r="N888" s="16" t="str">
        <x:v>Low</x:v>
      </x:c>
    </x:row>
    <x:row r="889" ht="37" customHeight="1">
      <x:c r="A889" s="16" t="str">
        <x:v>RAW-00883</x:v>
      </x:c>
      <x:c r="B889" s="16" t="str">
        <x:v>Observation</x:v>
      </x:c>
      <x:c r="C889" s="16" t="str">
        <x:v>– Carport brick wall. Minor cracking of mortar.</x:v>
      </x:c>
      <x:c r="D889" s="16" t="str">
        <x:v>Brick wall</x:v>
      </x:c>
      <x:c r="E889" s="16" t="str">
        <x:v>SRC-052</x:v>
      </x:c>
      <x:c r="F889" s="16" t="str">
        <x:v>OBS-0150</x:v>
      </x:c>
      <x:c r="G889" s="16" t="str">
        <x:v>正式报告</x:v>
      </x:c>
      <x:c r="H889" s="19" t="n">
        <x:v>7</x:v>
      </x:c>
      <x:c r="I889" s="19" t="n">
        <x:v>7</x:v>
      </x:c>
      <x:c r="J889" s="19" t="n">
        <x:v>2</x:v>
      </x:c>
      <x:c r="K889" s="16" t="str">
        <x:v>2. New with slight deterioration</x:v>
      </x:c>
      <x:c r="L889" s="16" t="str">
        <x:v>Very unlikely</x:v>
      </x:c>
      <x:c r="M889" s="16" t="str">
        <x:v>Moderate</x:v>
      </x:c>
      <x:c r="N889" s="16" t="str">
        <x:v>Low</x:v>
      </x:c>
    </x:row>
    <x:row r="890" ht="37" customHeight="1">
      <x:c r="A890" s="16" t="str">
        <x:v>RAW-00884</x:v>
      </x:c>
      <x:c r="B890" s="16" t="str">
        <x:v>Recommendation</x:v>
      </x:c>
      <x:c r="C890" s="16" t="str">
        <x:v>– Flexible fill along the column and monitor cracking.</x:v>
      </x:c>
      <x:c r="D890" s="16" t="str">
        <x:v>Brick wall</x:v>
      </x:c>
      <x:c r="E890" s="16" t="str">
        <x:v>SRC-052</x:v>
      </x:c>
      <x:c r="F890" s="16" t="str">
        <x:v>REC-0098</x:v>
      </x:c>
      <x:c r="G890" s="16" t="str">
        <x:v>正式报告</x:v>
      </x:c>
      <x:c r="H890" s="19" t="n">
        <x:v>7</x:v>
      </x:c>
      <x:c r="I890" s="19" t="n">
        <x:v>7</x:v>
      </x:c>
      <x:c r="J890" s="19" t="n">
        <x:v>2</x:v>
      </x:c>
      <x:c r="K890" s="16" t="str">
        <x:v>2. New with slight deterioration</x:v>
      </x:c>
      <x:c r="L890" s="16" t="str">
        <x:v>Very unlikely</x:v>
      </x:c>
      <x:c r="M890" s="16" t="str">
        <x:v>Moderate</x:v>
      </x:c>
      <x:c r="N890" s="16" t="str">
        <x:v>Low</x:v>
      </x:c>
    </x:row>
    <x:row r="891" ht="37" customHeight="1">
      <x:c r="A891" s="16" t="str">
        <x:v>RAW-00885</x:v>
      </x:c>
      <x:c r="B891" s="16" t="str">
        <x:v>Observation</x:v>
      </x:c>
      <x:c r="C891" s="16" t="str">
        <x:v>– Front verandah. Salt staining on purlins and rafters.</x:v>
      </x:c>
      <x:c r="D891" s="16" t="str">
        <x:v>Rafters and purlins</x:v>
      </x:c>
      <x:c r="E891" s="16" t="str">
        <x:v>SRC-053</x:v>
      </x:c>
      <x:c r="F891" s="16" t="str">
        <x:v>OBS-0309</x:v>
      </x:c>
      <x:c r="G891" s="16" t="str">
        <x:v>正式报告</x:v>
      </x:c>
      <x:c r="H891" s="19" t="n">
        <x:v>3</x:v>
      </x:c>
      <x:c r="I891" s="19" t="n">
        <x:v>6</x:v>
      </x:c>
      <x:c r="J891" s="19" t="n">
        <x:v>1</x:v>
      </x:c>
      <x:c r="K891" s="16" t="str">
        <x:v>2. New with slight deterioration</x:v>
      </x:c>
      <x:c r="L891" s="16" t="str">
        <x:v>Very unlikely</x:v>
      </x:c>
      <x:c r="M891" s="16" t="str">
        <x:v>Significant</x:v>
      </x:c>
      <x:c r="N891" s="16" t="str">
        <x:v>Low</x:v>
      </x:c>
    </x:row>
    <x:row r="892" ht="37" customHeight="1">
      <x:c r="A892" s="16" t="str">
        <x:v>RAW-00886</x:v>
      </x:c>
      <x:c r="B892" s="16" t="str">
        <x:v>Recommendation</x:v>
      </x:c>
      <x:c r="C892" s="16" t="str">
        <x:v>– Clean and repaint where paint deterioration has occurred.</x:v>
      </x:c>
      <x:c r="D892" s="16" t="str">
        <x:v>Rafters and purlins</x:v>
      </x:c>
      <x:c r="E892" s="16" t="str">
        <x:v>SRC-053</x:v>
      </x:c>
      <x:c r="F892" s="16" t="str">
        <x:v>REC-0014</x:v>
      </x:c>
      <x:c r="G892" s="16" t="str">
        <x:v>正式报告</x:v>
      </x:c>
      <x:c r="H892" s="19" t="n">
        <x:v>3</x:v>
      </x:c>
      <x:c r="I892" s="19" t="n">
        <x:v>6</x:v>
      </x:c>
      <x:c r="J892" s="19" t="n">
        <x:v>1</x:v>
      </x:c>
      <x:c r="K892" s="16" t="str">
        <x:v>2. New with slight deterioration</x:v>
      </x:c>
      <x:c r="L892" s="16" t="str">
        <x:v>Very unlikely</x:v>
      </x:c>
      <x:c r="M892" s="16" t="str">
        <x:v>Significant</x:v>
      </x:c>
      <x:c r="N892" s="16" t="str">
        <x:v>Low</x:v>
      </x:c>
    </x:row>
    <x:row r="893" ht="37" customHeight="1">
      <x:c r="A893" s="16" t="str">
        <x:v>RAW-00887</x:v>
      </x:c>
      <x:c r="B893" s="16" t="str">
        <x:v>Observation</x:v>
      </x:c>
      <x:c r="C893" s="16" t="str">
        <x:v>– Carport verandah corner. Salt staining on purlins and rafters.</x:v>
      </x:c>
      <x:c r="D893" s="16" t="str">
        <x:v>Rafters and purlins</x:v>
      </x:c>
      <x:c r="E893" s="16" t="str">
        <x:v>SRC-053</x:v>
      </x:c>
      <x:c r="F893" s="16" t="str">
        <x:v>OBS-0170</x:v>
      </x:c>
      <x:c r="G893" s="16" t="str">
        <x:v>正式报告</x:v>
      </x:c>
      <x:c r="H893" s="19" t="n">
        <x:v>3</x:v>
      </x:c>
      <x:c r="I893" s="19" t="n">
        <x:v>7</x:v>
      </x:c>
      <x:c r="J893" s="19" t="n">
        <x:v>2</x:v>
      </x:c>
      <x:c r="K893" s="16" t="str">
        <x:v>2. New with slight deterioration</x:v>
      </x:c>
      <x:c r="L893" s="16" t="str">
        <x:v>Very unlikely</x:v>
      </x:c>
      <x:c r="M893" s="16" t="str">
        <x:v>Significant</x:v>
      </x:c>
      <x:c r="N893" s="16" t="str">
        <x:v>Low</x:v>
      </x:c>
    </x:row>
    <x:row r="894" ht="37" customHeight="1">
      <x:c r="A894" s="16" t="str">
        <x:v>RAW-00888</x:v>
      </x:c>
      <x:c r="B894" s="16" t="str">
        <x:v>Recommendation</x:v>
      </x:c>
      <x:c r="C894" s="16" t="str">
        <x:v>– Clean and repaint where paint deterioration has occurred.</x:v>
      </x:c>
      <x:c r="D894" s="16" t="str">
        <x:v>Rafters and purlins</x:v>
      </x:c>
      <x:c r="E894" s="16" t="str">
        <x:v>SRC-053</x:v>
      </x:c>
      <x:c r="F894" s="16" t="str">
        <x:v>REC-0014</x:v>
      </x:c>
      <x:c r="G894" s="16" t="str">
        <x:v>正式报告</x:v>
      </x:c>
      <x:c r="H894" s="19" t="n">
        <x:v>3</x:v>
      </x:c>
      <x:c r="I894" s="19" t="n">
        <x:v>7</x:v>
      </x:c>
      <x:c r="J894" s="19" t="n">
        <x:v>2</x:v>
      </x:c>
      <x:c r="K894" s="16" t="str">
        <x:v>2. New with slight deterioration</x:v>
      </x:c>
      <x:c r="L894" s="16" t="str">
        <x:v>Very unlikely</x:v>
      </x:c>
      <x:c r="M894" s="16" t="str">
        <x:v>Significant</x:v>
      </x:c>
      <x:c r="N894" s="16" t="str">
        <x:v>Low</x:v>
      </x:c>
    </x:row>
    <x:row r="895" ht="37" customHeight="1">
      <x:c r="A895" s="16" t="str">
        <x:v>RAW-00889</x:v>
      </x:c>
      <x:c r="B895" s="16" t="str">
        <x:v>Observation</x:v>
      </x:c>
      <x:c r="C895" s="16" t="str">
        <x:v>– Left hand side of house facing the entrance. Salt staining on purlins and rafters.</x:v>
      </x:c>
      <x:c r="D895" s="16" t="str">
        <x:v>Rafters and purlins</x:v>
      </x:c>
      <x:c r="E895" s="16" t="str">
        <x:v>SRC-053</x:v>
      </x:c>
      <x:c r="F895" s="16" t="str">
        <x:v>OBS-0354</x:v>
      </x:c>
      <x:c r="G895" s="16" t="str">
        <x:v>正式报告</x:v>
      </x:c>
      <x:c r="H895" s="19" t="n">
        <x:v>3</x:v>
      </x:c>
      <x:c r="I895" s="19" t="n">
        <x:v>9</x:v>
      </x:c>
      <x:c r="J895" s="19" t="n">
        <x:v>1</x:v>
      </x:c>
      <x:c r="K895" s="16" t="str">
        <x:v>2. New with slight deterioration</x:v>
      </x:c>
      <x:c r="L895" s="16" t="str">
        <x:v>Very unlikely</x:v>
      </x:c>
      <x:c r="M895" s="16" t="str">
        <x:v>Significant</x:v>
      </x:c>
      <x:c r="N895" s="16" t="str">
        <x:v>Low</x:v>
      </x:c>
    </x:row>
    <x:row r="896" ht="37" customHeight="1">
      <x:c r="A896" s="16" t="str">
        <x:v>RAW-00890</x:v>
      </x:c>
      <x:c r="B896" s="16" t="str">
        <x:v>Recommendation</x:v>
      </x:c>
      <x:c r="C896" s="16" t="str">
        <x:v>– Clean and repaint where paint deterioration has occurred.</x:v>
      </x:c>
      <x:c r="D896" s="16" t="str">
        <x:v>Rafters and purlins</x:v>
      </x:c>
      <x:c r="E896" s="16" t="str">
        <x:v>SRC-053</x:v>
      </x:c>
      <x:c r="F896" s="16" t="str">
        <x:v>REC-0014</x:v>
      </x:c>
      <x:c r="G896" s="16" t="str">
        <x:v>正式报告</x:v>
      </x:c>
      <x:c r="H896" s="19" t="n">
        <x:v>3</x:v>
      </x:c>
      <x:c r="I896" s="19" t="n">
        <x:v>9</x:v>
      </x:c>
      <x:c r="J896" s="19" t="n">
        <x:v>1</x:v>
      </x:c>
      <x:c r="K896" s="16" t="str">
        <x:v>2. New with slight deterioration</x:v>
      </x:c>
      <x:c r="L896" s="16" t="str">
        <x:v>Very unlikely</x:v>
      </x:c>
      <x:c r="M896" s="16" t="str">
        <x:v>Significant</x:v>
      </x:c>
      <x:c r="N896" s="16" t="str">
        <x:v>Low</x:v>
      </x:c>
    </x:row>
    <x:row r="897" ht="37" customHeight="1">
      <x:c r="A897" s="16" t="str">
        <x:v>RAW-00891</x:v>
      </x:c>
      <x:c r="B897" s="16" t="str">
        <x:v>Observation</x:v>
      </x:c>
      <x:c r="C897" s="16" t="str">
        <x:v>– Right hand side of house facing the entrance. Salt staining on purlins and rafters.</x:v>
      </x:c>
      <x:c r="D897" s="16" t="str">
        <x:v>Rafters and purlins</x:v>
      </x:c>
      <x:c r="E897" s="16" t="str">
        <x:v>SRC-053</x:v>
      </x:c>
      <x:c r="F897" s="16" t="str">
        <x:v>OBS-0496</x:v>
      </x:c>
      <x:c r="G897" s="16" t="str">
        <x:v>正式报告</x:v>
      </x:c>
      <x:c r="H897" s="19" t="n">
        <x:v>3</x:v>
      </x:c>
      <x:c r="I897" s="19" t="n">
        <x:v>10</x:v>
      </x:c>
      <x:c r="J897" s="19" t="n">
        <x:v>1</x:v>
      </x:c>
      <x:c r="K897" s="16" t="str">
        <x:v>2. New with slight deterioration</x:v>
      </x:c>
      <x:c r="L897" s="16" t="str">
        <x:v>Very unlikely</x:v>
      </x:c>
      <x:c r="M897" s="16" t="str">
        <x:v>Significant</x:v>
      </x:c>
      <x:c r="N897" s="16" t="str">
        <x:v>Low</x:v>
      </x:c>
    </x:row>
    <x:row r="898" ht="37" customHeight="1">
      <x:c r="A898" s="16" t="str">
        <x:v>RAW-00892</x:v>
      </x:c>
      <x:c r="B898" s="16" t="str">
        <x:v>Recommendation</x:v>
      </x:c>
      <x:c r="C898" s="16" t="str">
        <x:v>– Clean and repaint where paint deterioration has occurred.</x:v>
      </x:c>
      <x:c r="D898" s="16" t="str">
        <x:v>Rafters and purlins</x:v>
      </x:c>
      <x:c r="E898" s="16" t="str">
        <x:v>SRC-053</x:v>
      </x:c>
      <x:c r="F898" s="16" t="str">
        <x:v>REC-0014</x:v>
      </x:c>
      <x:c r="G898" s="16" t="str">
        <x:v>正式报告</x:v>
      </x:c>
      <x:c r="H898" s="19" t="n">
        <x:v>3</x:v>
      </x:c>
      <x:c r="I898" s="19" t="n">
        <x:v>10</x:v>
      </x:c>
      <x:c r="J898" s="19" t="n">
        <x:v>1</x:v>
      </x:c>
      <x:c r="K898" s="16" t="str">
        <x:v>2. New with slight deterioration</x:v>
      </x:c>
      <x:c r="L898" s="16" t="str">
        <x:v>Very unlikely</x:v>
      </x:c>
      <x:c r="M898" s="16" t="str">
        <x:v>Significant</x:v>
      </x:c>
      <x:c r="N898" s="16" t="str">
        <x:v>Low</x:v>
      </x:c>
    </x:row>
    <x:row r="899" ht="41" customHeight="1">
      <x:c r="A899" s="16" t="str">
        <x:v>RAW-00893</x:v>
      </x:c>
      <x:c r="B899" s="16" t="str">
        <x:v>Observation</x:v>
      </x:c>
      <x:c r="C899" s="16" t="str">
        <x:v>– Front verandah. Columns in good condition.</x:v>
      </x:c>
      <x:c r="D899" s="16" t="str">
        <x:v>Columns</x:v>
      </x:c>
      <x:c r="E899" s="16" t="str">
        <x:v>SRC-053</x:v>
      </x:c>
      <x:c r="F899" s="16" t="str">
        <x:v>OBS-0299</x:v>
      </x:c>
      <x:c r="G899" s="16" t="str">
        <x:v>正式报告</x:v>
      </x:c>
      <x:c r="H899" s="19" t="n">
        <x:v>4</x:v>
      </x:c>
      <x:c r="I899" s="19" t="n">
        <x:v>6</x:v>
      </x:c>
      <x:c r="J899" s="19" t="n">
        <x:v>2</x:v>
      </x:c>
      <x:c r="K899" s="16" t="str">
        <x:v>1. New with no visible defects/damage</x:v>
      </x:c>
      <x:c r="L899" s="16" t="str">
        <x:v>Very unlikely</x:v>
      </x:c>
      <x:c r="M899" s="16" t="str">
        <x:v>Significant</x:v>
      </x:c>
      <x:c r="N899" s="16" t="str">
        <x:v>Low</x:v>
      </x:c>
    </x:row>
    <x:row r="900" ht="41" customHeight="1">
      <x:c r="A900" s="16" t="str">
        <x:v>RAW-00894</x:v>
      </x:c>
      <x:c r="B900" s="16" t="str">
        <x:v>Observation</x:v>
      </x:c>
      <x:c r="C900" s="16" t="str">
        <x:v>– Carport verandah. Columns in good condition.</x:v>
      </x:c>
      <x:c r="D900" s="16" t="str">
        <x:v>Columns</x:v>
      </x:c>
      <x:c r="E900" s="16" t="str">
        <x:v>SRC-053</x:v>
      </x:c>
      <x:c r="F900" s="16" t="str">
        <x:v>OBS-0012</x:v>
      </x:c>
      <x:c r="G900" s="16" t="str">
        <x:v>正式报告</x:v>
      </x:c>
      <x:c r="H900" s="19" t="n">
        <x:v>4</x:v>
      </x:c>
      <x:c r="I900" s="19" t="n">
        <x:v>8</x:v>
      </x:c>
      <x:c r="J900" s="19" t="n">
        <x:v>1</x:v>
      </x:c>
      <x:c r="K900" s="16" t="str">
        <x:v>1. New with no visible defects/damage</x:v>
      </x:c>
      <x:c r="L900" s="16" t="str">
        <x:v>Very unlikely</x:v>
      </x:c>
      <x:c r="M900" s="16" t="str">
        <x:v>Significant</x:v>
      </x:c>
      <x:c r="N900" s="16" t="str">
        <x:v>Low</x:v>
      </x:c>
    </x:row>
    <x:row r="901" ht="41" customHeight="1">
      <x:c r="A901" s="16" t="str">
        <x:v>RAW-00895</x:v>
      </x:c>
      <x:c r="B901" s="16" t="str">
        <x:v>Recommendation</x:v>
      </x:c>
      <x:c r="C901" s="16" t="str">
        <x:v>– None.</x:v>
      </x:c>
      <x:c r="D901" s="16" t="str">
        <x:v>Columns</x:v>
      </x:c>
      <x:c r="E901" s="16" t="str">
        <x:v>SRC-053</x:v>
      </x:c>
      <x:c r="F901" s="16" t="str">
        <x:v>REC-0003</x:v>
      </x:c>
      <x:c r="G901" s="16" t="str">
        <x:v>正式报告</x:v>
      </x:c>
      <x:c r="H901" s="19" t="n">
        <x:v>4</x:v>
      </x:c>
      <x:c r="I901" s="19" t="n">
        <x:v>8</x:v>
      </x:c>
      <x:c r="J901" s="19" t="n">
        <x:v>1</x:v>
      </x:c>
      <x:c r="K901" s="16" t="str">
        <x:v>1. New with no visible defects/damage</x:v>
      </x:c>
      <x:c r="L901" s="16" t="str">
        <x:v>Very unlikely</x:v>
      </x:c>
      <x:c r="M901" s="16" t="str">
        <x:v>Significant</x:v>
      </x:c>
      <x:c r="N901" s="16" t="str">
        <x:v>Low</x:v>
      </x:c>
    </x:row>
    <x:row r="902" ht="41" customHeight="1">
      <x:c r="A902" s="16" t="str">
        <x:v>RAW-00896</x:v>
      </x:c>
      <x:c r="B902" s="16" t="str">
        <x:v>Observation</x:v>
      </x:c>
      <x:c r="C902" s="16" t="str">
        <x:v>– Front of property. Framing and cladding in good condition.</x:v>
      </x:c>
      <x:c r="D902" s="16" t="str">
        <x:v>Cladding and framing</x:v>
      </x:c>
      <x:c r="E902" s="16" t="str">
        <x:v>SRC-053</x:v>
      </x:c>
      <x:c r="F902" s="16" t="str">
        <x:v>OBS-0278</x:v>
      </x:c>
      <x:c r="G902" s="16" t="str">
        <x:v>正式报告</x:v>
      </x:c>
      <x:c r="H902" s="19" t="n">
        <x:v>5</x:v>
      </x:c>
      <x:c r="I902" s="19" t="n">
        <x:v>6</x:v>
      </x:c>
      <x:c r="J902" s="19" t="n">
        <x:v>1</x:v>
      </x:c>
      <x:c r="K902" s="16" t="str">
        <x:v>1. New with no visible defects/damage</x:v>
      </x:c>
      <x:c r="L902" s="16" t="str">
        <x:v>Very unlikely</x:v>
      </x:c>
      <x:c r="M902" s="16" t="str">
        <x:v>Negligible</x:v>
      </x:c>
      <x:c r="N902" s="16" t="str">
        <x:v>Low</x:v>
      </x:c>
    </x:row>
    <x:row r="903" ht="41" customHeight="1">
      <x:c r="A903" s="16" t="str">
        <x:v>RAW-00897</x:v>
      </x:c>
      <x:c r="B903" s="16" t="str">
        <x:v>Observation</x:v>
      </x:c>
      <x:c r="C903" s="16" t="str">
        <x:v>– Left hand side of property facing front entrance. Framing and cladding in good condition.</x:v>
      </x:c>
      <x:c r="D903" s="16" t="str">
        <x:v>Cladding and framing</x:v>
      </x:c>
      <x:c r="E903" s="16" t="str">
        <x:v>SRC-053</x:v>
      </x:c>
      <x:c r="F903" s="16" t="str">
        <x:v>OBS-0356</x:v>
      </x:c>
      <x:c r="G903" s="16" t="str">
        <x:v>正式报告</x:v>
      </x:c>
      <x:c r="H903" s="19" t="n">
        <x:v>5</x:v>
      </x:c>
      <x:c r="I903" s="19" t="n">
        <x:v>7</x:v>
      </x:c>
      <x:c r="J903" s="19" t="n">
        <x:v>1</x:v>
      </x:c>
      <x:c r="K903" s="16" t="str">
        <x:v>1. New with no visible defects/damage</x:v>
      </x:c>
      <x:c r="L903" s="16" t="str">
        <x:v>Very unlikely</x:v>
      </x:c>
      <x:c r="M903" s="16" t="str">
        <x:v>Negligible</x:v>
      </x:c>
      <x:c r="N903" s="16" t="str">
        <x:v>Low</x:v>
      </x:c>
    </x:row>
    <x:row r="904" ht="41" customHeight="1">
      <x:c r="A904" s="16" t="str">
        <x:v>RAW-00898</x:v>
      </x:c>
      <x:c r="B904" s="16" t="str">
        <x:v>Recommendation</x:v>
      </x:c>
      <x:c r="C904" s="16" t="str">
        <x:v>– None.</x:v>
      </x:c>
      <x:c r="D904" s="16" t="str">
        <x:v>Cladding and framing</x:v>
      </x:c>
      <x:c r="E904" s="16" t="str">
        <x:v>SRC-053</x:v>
      </x:c>
      <x:c r="F904" s="16" t="str">
        <x:v>REC-0003</x:v>
      </x:c>
      <x:c r="G904" s="16" t="str">
        <x:v>正式报告</x:v>
      </x:c>
      <x:c r="H904" s="19" t="n">
        <x:v>5</x:v>
      </x:c>
      <x:c r="I904" s="19" t="n">
        <x:v>7</x:v>
      </x:c>
      <x:c r="J904" s="19" t="n">
        <x:v>1</x:v>
      </x:c>
      <x:c r="K904" s="16" t="str">
        <x:v>1. New with no visible defects/damage</x:v>
      </x:c>
      <x:c r="L904" s="16" t="str">
        <x:v>Very unlikely</x:v>
      </x:c>
      <x:c r="M904" s="16" t="str">
        <x:v>Negligible</x:v>
      </x:c>
      <x:c r="N904" s="16" t="str">
        <x:v>Low</x:v>
      </x:c>
    </x:row>
    <x:row r="905" ht="37" customHeight="1">
      <x:c r="A905" s="16" t="str">
        <x:v>RAW-00899</x:v>
      </x:c>
      <x:c r="B905" s="16" t="str">
        <x:v>Observation</x:v>
      </x:c>
      <x:c r="C905" s="16" t="str">
        <x:v>– Left hand side of property facing the front entrance. Minor corrosion of steel post.</x:v>
      </x:c>
      <x:c r="D905" s="16" t="str">
        <x:v>Fencing posts</x:v>
      </x:c>
      <x:c r="E905" s="16" t="str">
        <x:v>SRC-054</x:v>
      </x:c>
      <x:c r="F905" s="16" t="str">
        <x:v>OBS-0358</x:v>
      </x:c>
      <x:c r="G905" s="16" t="str">
        <x:v>正式报告</x:v>
      </x:c>
      <x:c r="H905" s="19" t="n">
        <x:v>3</x:v>
      </x:c>
      <x:c r="I905" s="19" t="n">
        <x:v>6</x:v>
      </x:c>
      <x:c r="J905" s="19" t="n">
        <x:v>2</x:v>
      </x:c>
      <x:c r="K905" s="16" t="str">
        <x:v>3. Minor deterioration</x:v>
      </x:c>
      <x:c r="L905" s="16" t="str">
        <x:v>Unlikely</x:v>
      </x:c>
      <x:c r="M905" s="16" t="str">
        <x:v>Moderate</x:v>
      </x:c>
      <x:c r="N905" s="16" t="str">
        <x:v>Moderate</x:v>
      </x:c>
    </x:row>
    <x:row r="906" ht="37" customHeight="1">
      <x:c r="A906" s="16" t="str">
        <x:v>RAW-00900</x:v>
      </x:c>
      <x:c r="B906" s="16" t="str">
        <x:v>Recommendation</x:v>
      </x:c>
      <x:c r="C906" s="16" t="str">
        <x:v>– Clean, wire brush and repaint.</x:v>
      </x:c>
      <x:c r="D906" s="16" t="str">
        <x:v>Fencing posts</x:v>
      </x:c>
      <x:c r="E906" s="16" t="str">
        <x:v>SRC-054</x:v>
      </x:c>
      <x:c r="F906" s="16" t="str">
        <x:v>REC-0001</x:v>
      </x:c>
      <x:c r="G906" s="16" t="str">
        <x:v>正式报告</x:v>
      </x:c>
      <x:c r="H906" s="19" t="n">
        <x:v>3</x:v>
      </x:c>
      <x:c r="I906" s="19" t="n">
        <x:v>6</x:v>
      </x:c>
      <x:c r="J906" s="19" t="n">
        <x:v>2</x:v>
      </x:c>
      <x:c r="K906" s="16" t="str">
        <x:v>3. Minor deterioration</x:v>
      </x:c>
      <x:c r="L906" s="16" t="str">
        <x:v>Unlikely</x:v>
      </x:c>
      <x:c r="M906" s="16" t="str">
        <x:v>Moderate</x:v>
      </x:c>
      <x:c r="N906" s="16" t="str">
        <x:v>Moderate</x:v>
      </x:c>
    </x:row>
    <x:row r="907" ht="37" customHeight="1">
      <x:c r="A907" s="16" t="str">
        <x:v>RAW-00901</x:v>
      </x:c>
      <x:c r="B907" s="16" t="str">
        <x:v>Observation</x:v>
      </x:c>
      <x:c r="C907" s="16" t="str">
        <x:v>– Right hand side of property facing the front entrance. Minor corrosion of steel post.</x:v>
      </x:c>
      <x:c r="D907" s="16" t="str">
        <x:v>Fencing posts</x:v>
      </x:c>
      <x:c r="E907" s="16" t="str">
        <x:v>SRC-054</x:v>
      </x:c>
      <x:c r="F907" s="16" t="str">
        <x:v>OBS-0502</x:v>
      </x:c>
      <x:c r="G907" s="16" t="str">
        <x:v>正式报告</x:v>
      </x:c>
      <x:c r="H907" s="19" t="n">
        <x:v>3</x:v>
      </x:c>
      <x:c r="I907" s="19" t="n">
        <x:v>8</x:v>
      </x:c>
      <x:c r="J907" s="19" t="n">
        <x:v>2</x:v>
      </x:c>
      <x:c r="K907" s="16" t="str">
        <x:v>3. Minor deterioration</x:v>
      </x:c>
      <x:c r="L907" s="16" t="str">
        <x:v>Unlikely</x:v>
      </x:c>
      <x:c r="M907" s="16" t="str">
        <x:v>Moderate</x:v>
      </x:c>
      <x:c r="N907" s="16" t="str">
        <x:v>Moderate</x:v>
      </x:c>
    </x:row>
    <x:row r="908" ht="37" customHeight="1">
      <x:c r="A908" s="16" t="str">
        <x:v>RAW-00902</x:v>
      </x:c>
      <x:c r="B908" s="16" t="str">
        <x:v>Recommendation</x:v>
      </x:c>
      <x:c r="C908" s="16" t="str">
        <x:v>– Clean, wire brush and repaint.</x:v>
      </x:c>
      <x:c r="D908" s="16" t="str">
        <x:v>Fencing posts</x:v>
      </x:c>
      <x:c r="E908" s="16" t="str">
        <x:v>SRC-054</x:v>
      </x:c>
      <x:c r="F908" s="16" t="str">
        <x:v>REC-0001</x:v>
      </x:c>
      <x:c r="G908" s="16" t="str">
        <x:v>正式报告</x:v>
      </x:c>
      <x:c r="H908" s="19" t="n">
        <x:v>3</x:v>
      </x:c>
      <x:c r="I908" s="19" t="n">
        <x:v>8</x:v>
      </x:c>
      <x:c r="J908" s="19" t="n">
        <x:v>2</x:v>
      </x:c>
      <x:c r="K908" s="16" t="str">
        <x:v>3. Minor deterioration</x:v>
      </x:c>
      <x:c r="L908" s="16" t="str">
        <x:v>Unlikely</x:v>
      </x:c>
      <x:c r="M908" s="16" t="str">
        <x:v>Moderate</x:v>
      </x:c>
      <x:c r="N908" s="16" t="str">
        <x:v>Moderate</x:v>
      </x:c>
    </x:row>
    <x:row r="909" ht="37" customHeight="1">
      <x:c r="A909" s="16" t="str">
        <x:v>RAW-00903</x:v>
      </x:c>
      <x:c r="B909" s="16" t="str">
        <x:v>Observation</x:v>
      </x:c>
      <x:c r="C909" s="16" t="str">
        <x:v>– Carport verandah. Minor corrosion of purlins and rafters.</x:v>
      </x:c>
      <x:c r="D909" s="16" t="str">
        <x:v>Rafters and purlins</x:v>
      </x:c>
      <x:c r="E909" s="16" t="str">
        <x:v>SRC-054</x:v>
      </x:c>
      <x:c r="F909" s="16" t="str">
        <x:v>OBS-0175</x:v>
      </x:c>
      <x:c r="G909" s="16" t="str">
        <x:v>正式报告</x:v>
      </x:c>
      <x:c r="H909" s="19" t="n">
        <x:v>4</x:v>
      </x:c>
      <x:c r="I909" s="19" t="n">
        <x:v>6</x:v>
      </x:c>
      <x:c r="J909" s="19" t="n">
        <x:v>2</x:v>
      </x:c>
      <x:c r="K909" s="16" t="str">
        <x:v>2. New with slight deterioration</x:v>
      </x:c>
      <x:c r="L909" s="16" t="str">
        <x:v>Very unlikely</x:v>
      </x:c>
      <x:c r="M909" s="16" t="str">
        <x:v>Significant</x:v>
      </x:c>
      <x:c r="N909" s="16" t="str">
        <x:v>Low</x:v>
      </x:c>
    </x:row>
    <x:row r="910" ht="37" customHeight="1">
      <x:c r="A910" s="16" t="str">
        <x:v>RAW-00904</x:v>
      </x:c>
      <x:c r="B910" s="16" t="str">
        <x:v>Recommendation</x:v>
      </x:c>
      <x:c r="C910" s="16" t="str">
        <x:v>– Clean, wire brush and repaint.</x:v>
      </x:c>
      <x:c r="D910" s="16" t="str">
        <x:v>Rafters and purlins</x:v>
      </x:c>
      <x:c r="E910" s="16" t="str">
        <x:v>SRC-054</x:v>
      </x:c>
      <x:c r="F910" s="16" t="str">
        <x:v>REC-0001</x:v>
      </x:c>
      <x:c r="G910" s="16" t="str">
        <x:v>正式报告</x:v>
      </x:c>
      <x:c r="H910" s="19" t="n">
        <x:v>4</x:v>
      </x:c>
      <x:c r="I910" s="19" t="n">
        <x:v>6</x:v>
      </x:c>
      <x:c r="J910" s="19" t="n">
        <x:v>2</x:v>
      </x:c>
      <x:c r="K910" s="16" t="str">
        <x:v>2. New with slight deterioration</x:v>
      </x:c>
      <x:c r="L910" s="16" t="str">
        <x:v>Very unlikely</x:v>
      </x:c>
      <x:c r="M910" s="16" t="str">
        <x:v>Significant</x:v>
      </x:c>
      <x:c r="N910" s="16" t="str">
        <x:v>Low</x:v>
      </x:c>
    </x:row>
    <x:row r="911" ht="41" customHeight="1">
      <x:c r="A911" s="16" t="str">
        <x:v>RAW-00905</x:v>
      </x:c>
      <x:c r="B911" s="16" t="str">
        <x:v>Observation</x:v>
      </x:c>
      <x:c r="C911" s="16" t="str">
        <x:v>– Right hand side of property facing the front entrance. Paint deterioration and salt staining on purlins and rafters.</x:v>
      </x:c>
      <x:c r="D911" s="16" t="str">
        <x:v>Rafters and purlins</x:v>
      </x:c>
      <x:c r="E911" s="16" t="str">
        <x:v>SRC-054</x:v>
      </x:c>
      <x:c r="F911" s="16" t="str">
        <x:v>OBS-0503</x:v>
      </x:c>
      <x:c r="G911" s="16" t="str">
        <x:v>正式报告</x:v>
      </x:c>
      <x:c r="H911" s="19" t="n">
        <x:v>4</x:v>
      </x:c>
      <x:c r="I911" s="19" t="n">
        <x:v>8</x:v>
      </x:c>
      <x:c r="J911" s="19" t="n">
        <x:v>2</x:v>
      </x:c>
      <x:c r="K911" s="16" t="str">
        <x:v>2. New with slight deterioration</x:v>
      </x:c>
      <x:c r="L911" s="16" t="str">
        <x:v>Very unlikely</x:v>
      </x:c>
      <x:c r="M911" s="16" t="str">
        <x:v>Significant</x:v>
      </x:c>
      <x:c r="N911" s="16" t="str">
        <x:v>Low</x:v>
      </x:c>
    </x:row>
    <x:row r="912" ht="37" customHeight="1">
      <x:c r="A912" s="16" t="str">
        <x:v>RAW-00906</x:v>
      </x:c>
      <x:c r="B912" s="16" t="str">
        <x:v>Recommendation</x:v>
      </x:c>
      <x:c r="C912" s="16" t="str">
        <x:v>– Clean, wire brush and repaint.</x:v>
      </x:c>
      <x:c r="D912" s="16" t="str">
        <x:v>Rafters and purlins</x:v>
      </x:c>
      <x:c r="E912" s="16" t="str">
        <x:v>SRC-054</x:v>
      </x:c>
      <x:c r="F912" s="16" t="str">
        <x:v>REC-0001</x:v>
      </x:c>
      <x:c r="G912" s="16" t="str">
        <x:v>正式报告</x:v>
      </x:c>
      <x:c r="H912" s="19" t="n">
        <x:v>4</x:v>
      </x:c>
      <x:c r="I912" s="19" t="n">
        <x:v>8</x:v>
      </x:c>
      <x:c r="J912" s="19" t="n">
        <x:v>2</x:v>
      </x:c>
      <x:c r="K912" s="16" t="str">
        <x:v>2. New with slight deterioration</x:v>
      </x:c>
      <x:c r="L912" s="16" t="str">
        <x:v>Very unlikely</x:v>
      </x:c>
      <x:c r="M912" s="16" t="str">
        <x:v>Significant</x:v>
      </x:c>
      <x:c r="N912" s="16" t="str">
        <x:v>Low</x:v>
      </x:c>
    </x:row>
    <x:row r="913" ht="41" customHeight="1">
      <x:c r="A913" s="16" t="str">
        <x:v>RAW-00907</x:v>
      </x:c>
      <x:c r="B913" s="16" t="str">
        <x:v>Observation</x:v>
      </x:c>
      <x:c r="C913" s="16" t="str">
        <x:v>– Left hand side of house facing the entrance. Salt staining and paint deterioration on purlins and rafters.</x:v>
      </x:c>
      <x:c r="D913" s="16" t="str">
        <x:v>Rafters and purlins</x:v>
      </x:c>
      <x:c r="E913" s="16" t="str">
        <x:v>SRC-054</x:v>
      </x:c>
      <x:c r="F913" s="16" t="str">
        <x:v>OBS-0353</x:v>
      </x:c>
      <x:c r="G913" s="16" t="str">
        <x:v>正式报告</x:v>
      </x:c>
      <x:c r="H913" s="19" t="n">
        <x:v>4</x:v>
      </x:c>
      <x:c r="I913" s="19" t="n">
        <x:v>10</x:v>
      </x:c>
      <x:c r="J913" s="19" t="n">
        <x:v>1</x:v>
      </x:c>
      <x:c r="K913" s="16" t="str">
        <x:v>2. New with slight deterioration</x:v>
      </x:c>
      <x:c r="L913" s="16" t="str">
        <x:v>Very unlikely</x:v>
      </x:c>
      <x:c r="M913" s="16" t="str">
        <x:v>Significant</x:v>
      </x:c>
      <x:c r="N913" s="16" t="str">
        <x:v>Low</x:v>
      </x:c>
    </x:row>
    <x:row r="914" ht="37" customHeight="1">
      <x:c r="A914" s="16" t="str">
        <x:v>RAW-00908</x:v>
      </x:c>
      <x:c r="B914" s="16" t="str">
        <x:v>Recommendation</x:v>
      </x:c>
      <x:c r="C914" s="16" t="str">
        <x:v>– Clean, wire brush and repaint.</x:v>
      </x:c>
      <x:c r="D914" s="16" t="str">
        <x:v>Rafters and purlins</x:v>
      </x:c>
      <x:c r="E914" s="16" t="str">
        <x:v>SRC-054</x:v>
      </x:c>
      <x:c r="F914" s="16" t="str">
        <x:v>REC-0001</x:v>
      </x:c>
      <x:c r="G914" s="16" t="str">
        <x:v>正式报告</x:v>
      </x:c>
      <x:c r="H914" s="19" t="n">
        <x:v>4</x:v>
      </x:c>
      <x:c r="I914" s="19" t="n">
        <x:v>10</x:v>
      </x:c>
      <x:c r="J914" s="19" t="n">
        <x:v>1</x:v>
      </x:c>
      <x:c r="K914" s="16" t="str">
        <x:v>2. New with slight deterioration</x:v>
      </x:c>
      <x:c r="L914" s="16" t="str">
        <x:v>Very unlikely</x:v>
      </x:c>
      <x:c r="M914" s="16" t="str">
        <x:v>Significant</x:v>
      </x:c>
      <x:c r="N914" s="16" t="str">
        <x:v>Low</x:v>
      </x:c>
    </x:row>
    <x:row r="915" ht="37" customHeight="1">
      <x:c r="A915" s="16" t="str">
        <x:v>RAW-00909</x:v>
      </x:c>
      <x:c r="B915" s="16" t="str">
        <x:v>Observation</x:v>
      </x:c>
      <x:c r="C915" s="16" t="str">
        <x:v>– Front verandah columns.</x:v>
      </x:c>
      <x:c r="D915" s="16" t="str">
        <x:v>Columns</x:v>
      </x:c>
      <x:c r="E915" s="16" t="str">
        <x:v>SRC-054</x:v>
      </x:c>
      <x:c r="F915" s="16" t="str">
        <x:v>OBS-0294</x:v>
      </x:c>
      <x:c r="G915" s="16" t="str">
        <x:v>正式报告</x:v>
      </x:c>
      <x:c r="H915" s="19" t="n">
        <x:v>5</x:v>
      </x:c>
      <x:c r="I915" s="19" t="n">
        <x:v>6</x:v>
      </x:c>
      <x:c r="J915" s="19" t="n">
        <x:v>1</x:v>
      </x:c>
      <x:c r="K915" s="16" t="str">
        <x:v>2. New with slight deterioration</x:v>
      </x:c>
      <x:c r="L915" s="16" t="str">
        <x:v>Very likely</x:v>
      </x:c>
      <x:c r="M915" s="16" t="str">
        <x:v>Significant</x:v>
      </x:c>
      <x:c r="N915" s="16" t="str">
        <x:v>Low</x:v>
      </x:c>
    </x:row>
    <x:row r="916" ht="37" customHeight="1">
      <x:c r="A916" s="16" t="str">
        <x:v>RAW-00910</x:v>
      </x:c>
      <x:c r="B916" s="16" t="str">
        <x:v>Observation</x:v>
      </x:c>
      <x:c r="C916" s="16" t="str">
        <x:v>– Paint deterioration.</x:v>
      </x:c>
      <x:c r="D916" s="16" t="str">
        <x:v>Columns</x:v>
      </x:c>
      <x:c r="E916" s="16" t="str">
        <x:v>SRC-054</x:v>
      </x:c>
      <x:c r="F916" s="16" t="str">
        <x:v>OBS-0010</x:v>
      </x:c>
      <x:c r="G916" s="16" t="str">
        <x:v>正式报告</x:v>
      </x:c>
      <x:c r="H916" s="19" t="n">
        <x:v>5</x:v>
      </x:c>
      <x:c r="I916" s="19" t="n">
        <x:v>7</x:v>
      </x:c>
      <x:c r="J916" s="19" t="n">
        <x:v>1</x:v>
      </x:c>
      <x:c r="K916" s="16" t="str">
        <x:v>2. New with slight deterioration</x:v>
      </x:c>
      <x:c r="L916" s="16" t="str">
        <x:v>Very likely</x:v>
      </x:c>
      <x:c r="M916" s="16" t="str">
        <x:v>Significant</x:v>
      </x:c>
      <x:c r="N916" s="16" t="str">
        <x:v>Low</x:v>
      </x:c>
    </x:row>
    <x:row r="917" ht="37" customHeight="1">
      <x:c r="A917" s="16" t="str">
        <x:v>RAW-00911</x:v>
      </x:c>
      <x:c r="B917" s="16" t="str">
        <x:v>Observation</x:v>
      </x:c>
      <x:c r="C917" s="16" t="str">
        <x:v>– Paint deterioration.</x:v>
      </x:c>
      <x:c r="D917" s="16" t="str">
        <x:v>Columns</x:v>
      </x:c>
      <x:c r="E917" s="16" t="str">
        <x:v>SRC-054</x:v>
      </x:c>
      <x:c r="F917" s="16" t="str">
        <x:v>OBS-0010</x:v>
      </x:c>
      <x:c r="G917" s="16" t="str">
        <x:v>正式报告</x:v>
      </x:c>
      <x:c r="H917" s="19" t="n">
        <x:v>5</x:v>
      </x:c>
      <x:c r="I917" s="19" t="n">
        <x:v>8</x:v>
      </x:c>
      <x:c r="J917" s="19" t="n">
        <x:v>1</x:v>
      </x:c>
      <x:c r="K917" s="16" t="str">
        <x:v>2. New with slight deterioration</x:v>
      </x:c>
      <x:c r="L917" s="16" t="str">
        <x:v>Very likely</x:v>
      </x:c>
      <x:c r="M917" s="16" t="str">
        <x:v>Significant</x:v>
      </x:c>
      <x:c r="N917" s="16" t="str">
        <x:v>Low</x:v>
      </x:c>
    </x:row>
    <x:row r="918" ht="37" customHeight="1">
      <x:c r="A918" s="16" t="str">
        <x:v>RAW-00912</x:v>
      </x:c>
      <x:c r="B918" s="16" t="str">
        <x:v>Observation</x:v>
      </x:c>
      <x:c r="C918" s="16" t="str">
        <x:v>– Paint deterioration.</x:v>
      </x:c>
      <x:c r="D918" s="16" t="str">
        <x:v>Columns</x:v>
      </x:c>
      <x:c r="E918" s="16" t="str">
        <x:v>SRC-054</x:v>
      </x:c>
      <x:c r="F918" s="16" t="str">
        <x:v>OBS-0010</x:v>
      </x:c>
      <x:c r="G918" s="16" t="str">
        <x:v>正式报告</x:v>
      </x:c>
      <x:c r="H918" s="19" t="n">
        <x:v>5</x:v>
      </x:c>
      <x:c r="I918" s="19" t="n">
        <x:v>9</x:v>
      </x:c>
      <x:c r="J918" s="19" t="n">
        <x:v>1</x:v>
      </x:c>
      <x:c r="K918" s="16" t="str">
        <x:v>2. New with slight deterioration</x:v>
      </x:c>
      <x:c r="L918" s="16" t="str">
        <x:v>Very likely</x:v>
      </x:c>
      <x:c r="M918" s="16" t="str">
        <x:v>Significant</x:v>
      </x:c>
      <x:c r="N918" s="16" t="str">
        <x:v>Low</x:v>
      </x:c>
    </x:row>
    <x:row r="919" ht="37" customHeight="1">
      <x:c r="A919" s="16" t="str">
        <x:v>RAW-00913</x:v>
      </x:c>
      <x:c r="B919" s="16" t="str">
        <x:v>Recommendation</x:v>
      </x:c>
      <x:c r="C919" s="16" t="str">
        <x:v>– Clean and repaint.</x:v>
      </x:c>
      <x:c r="D919" s="16" t="str">
        <x:v>Columns</x:v>
      </x:c>
      <x:c r="E919" s="16" t="str">
        <x:v>SRC-054</x:v>
      </x:c>
      <x:c r="F919" s="16" t="str">
        <x:v>REC-0006</x:v>
      </x:c>
      <x:c r="G919" s="16" t="str">
        <x:v>正式报告</x:v>
      </x:c>
      <x:c r="H919" s="19" t="n">
        <x:v>5</x:v>
      </x:c>
      <x:c r="I919" s="19" t="n">
        <x:v>9</x:v>
      </x:c>
      <x:c r="J919" s="19" t="n">
        <x:v>1</x:v>
      </x:c>
      <x:c r="K919" s="16" t="str">
        <x:v>2. New with slight deterioration</x:v>
      </x:c>
      <x:c r="L919" s="16" t="str">
        <x:v>Very likely</x:v>
      </x:c>
      <x:c r="M919" s="16" t="str">
        <x:v>Significant</x:v>
      </x:c>
      <x:c r="N919" s="16" t="str">
        <x:v>Low</x:v>
      </x:c>
    </x:row>
    <x:row r="920" ht="37" customHeight="1">
      <x:c r="A920" s="16" t="str">
        <x:v>RAW-00914</x:v>
      </x:c>
      <x:c r="B920" s="16" t="str">
        <x:v>Observation</x:v>
      </x:c>
      <x:c r="C920" s="16" t="str">
        <x:v>– Front vernadah soffit. Minor corrosion of soffit cladding.</x:v>
      </x:c>
      <x:c r="D920" s="16" t="str">
        <x:v>Roof</x:v>
      </x:c>
      <x:c r="E920" s="16" t="str">
        <x:v>SRC-054</x:v>
      </x:c>
      <x:c r="F920" s="16" t="str">
        <x:v>OBS-0310</x:v>
      </x:c>
      <x:c r="G920" s="16" t="str">
        <x:v>正式报告</x:v>
      </x:c>
      <x:c r="H920" s="19" t="n">
        <x:v>6</x:v>
      </x:c>
      <x:c r="I920" s="19" t="n">
        <x:v>6</x:v>
      </x:c>
      <x:c r="J920" s="19" t="n">
        <x:v>1</x:v>
      </x:c>
      <x:c r="K920" s="16" t="str">
        <x:v>3. Minor deterioration</x:v>
      </x:c>
      <x:c r="L920" s="16" t="str">
        <x:v>Unlikely</x:v>
      </x:c>
      <x:c r="M920" s="16" t="str">
        <x:v>Minor</x:v>
      </x:c>
      <x:c r="N920" s="16" t="str">
        <x:v>Low</x:v>
      </x:c>
    </x:row>
    <x:row r="921" ht="37" customHeight="1">
      <x:c r="A921" s="16" t="str">
        <x:v>RAW-00915</x:v>
      </x:c>
      <x:c r="B921" s="16" t="str">
        <x:v>Recommendation</x:v>
      </x:c>
      <x:c r="C921" s="16" t="str">
        <x:v>– Clean, wire brush and repaint.</x:v>
      </x:c>
      <x:c r="D921" s="16" t="str">
        <x:v>Roof</x:v>
      </x:c>
      <x:c r="E921" s="16" t="str">
        <x:v>SRC-054</x:v>
      </x:c>
      <x:c r="F921" s="16" t="str">
        <x:v>REC-0001</x:v>
      </x:c>
      <x:c r="G921" s="16" t="str">
        <x:v>正式报告</x:v>
      </x:c>
      <x:c r="H921" s="19" t="n">
        <x:v>6</x:v>
      </x:c>
      <x:c r="I921" s="19" t="n">
        <x:v>6</x:v>
      </x:c>
      <x:c r="J921" s="19" t="n">
        <x:v>1</x:v>
      </x:c>
      <x:c r="K921" s="16" t="str">
        <x:v>3. Minor deterioration</x:v>
      </x:c>
      <x:c r="L921" s="16" t="str">
        <x:v>Unlikely</x:v>
      </x:c>
      <x:c r="M921" s="16" t="str">
        <x:v>Minor</x:v>
      </x:c>
      <x:c r="N921" s="16" t="str">
        <x:v>Low</x:v>
      </x:c>
    </x:row>
    <x:row r="922" ht="37" customHeight="1">
      <x:c r="A922" s="16" t="str">
        <x:v>RAW-00916</x:v>
      </x:c>
      <x:c r="B922" s="16" t="str">
        <x:v>Observation</x:v>
      </x:c>
      <x:c r="C922" s="16" t="str">
        <x:v>– Front right hand side corner. Soffit flashing has minor corrosion.</x:v>
      </x:c>
      <x:c r="D922" s="16" t="str">
        <x:v>Roof</x:v>
      </x:c>
      <x:c r="E922" s="16" t="str">
        <x:v>SRC-054</x:v>
      </x:c>
      <x:c r="F922" s="16" t="str">
        <x:v>OBS-0283</x:v>
      </x:c>
      <x:c r="G922" s="16" t="str">
        <x:v>正式报告</x:v>
      </x:c>
      <x:c r="H922" s="19" t="n">
        <x:v>6</x:v>
      </x:c>
      <x:c r="I922" s="19" t="n">
        <x:v>7</x:v>
      </x:c>
      <x:c r="J922" s="19" t="n">
        <x:v>1</x:v>
      </x:c>
      <x:c r="K922" s="16" t="str">
        <x:v>3. Minor deterioration</x:v>
      </x:c>
      <x:c r="L922" s="16" t="str">
        <x:v>Unlikely</x:v>
      </x:c>
      <x:c r="M922" s="16" t="str">
        <x:v>Minor</x:v>
      </x:c>
      <x:c r="N922" s="16" t="str">
        <x:v>Low</x:v>
      </x:c>
    </x:row>
    <x:row r="923" ht="37" customHeight="1">
      <x:c r="A923" s="16" t="str">
        <x:v>RAW-00917</x:v>
      </x:c>
      <x:c r="B923" s="16" t="str">
        <x:v>Recommendation</x:v>
      </x:c>
      <x:c r="C923" s="16" t="str">
        <x:v>– Clean, wire brush and repaint.</x:v>
      </x:c>
      <x:c r="D923" s="16" t="str">
        <x:v>Roof</x:v>
      </x:c>
      <x:c r="E923" s="16" t="str">
        <x:v>SRC-054</x:v>
      </x:c>
      <x:c r="F923" s="16" t="str">
        <x:v>REC-0001</x:v>
      </x:c>
      <x:c r="G923" s="16" t="str">
        <x:v>正式报告</x:v>
      </x:c>
      <x:c r="H923" s="19" t="n">
        <x:v>6</x:v>
      </x:c>
      <x:c r="I923" s="19" t="n">
        <x:v>7</x:v>
      </x:c>
      <x:c r="J923" s="19" t="n">
        <x:v>1</x:v>
      </x:c>
      <x:c r="K923" s="16" t="str">
        <x:v>3. Minor deterioration</x:v>
      </x:c>
      <x:c r="L923" s="16" t="str">
        <x:v>Unlikely</x:v>
      </x:c>
      <x:c r="M923" s="16" t="str">
        <x:v>Minor</x:v>
      </x:c>
      <x:c r="N923" s="16" t="str">
        <x:v>Low</x:v>
      </x:c>
    </x:row>
    <x:row r="924" ht="37" customHeight="1">
      <x:c r="A924" s="16" t="str">
        <x:v>RAW-00918</x:v>
      </x:c>
      <x:c r="B924" s="16" t="str">
        <x:v>Observation</x:v>
      </x:c>
      <x:c r="C924" s="16" t="str">
        <x:v>– Carport. Soffit flashing has minor corrosion.</x:v>
      </x:c>
      <x:c r="D924" s="16" t="str">
        <x:v>Roof</x:v>
      </x:c>
      <x:c r="E924" s="16" t="str">
        <x:v>SRC-054</x:v>
      </x:c>
      <x:c r="F924" s="16" t="str">
        <x:v>OBS-0181</x:v>
      </x:c>
      <x:c r="G924" s="16" t="str">
        <x:v>正式报告</x:v>
      </x:c>
      <x:c r="H924" s="19" t="n">
        <x:v>6</x:v>
      </x:c>
      <x:c r="I924" s="19" t="n">
        <x:v>8</x:v>
      </x:c>
      <x:c r="J924" s="19" t="n">
        <x:v>2</x:v>
      </x:c>
      <x:c r="K924" s="16" t="str">
        <x:v>3. Minor deterioration</x:v>
      </x:c>
      <x:c r="L924" s="16" t="str">
        <x:v>Unlikely</x:v>
      </x:c>
      <x:c r="M924" s="16" t="str">
        <x:v>Minor</x:v>
      </x:c>
      <x:c r="N924" s="16" t="str">
        <x:v>Low</x:v>
      </x:c>
    </x:row>
    <x:row r="925" ht="37" customHeight="1">
      <x:c r="A925" s="16" t="str">
        <x:v>RAW-00919</x:v>
      </x:c>
      <x:c r="B925" s="16" t="str">
        <x:v>Recommendation</x:v>
      </x:c>
      <x:c r="C925" s="16" t="str">
        <x:v>– Clean, wire brush and repaint.</x:v>
      </x:c>
      <x:c r="D925" s="16" t="str">
        <x:v>Roof</x:v>
      </x:c>
      <x:c r="E925" s="16" t="str">
        <x:v>SRC-054</x:v>
      </x:c>
      <x:c r="F925" s="16" t="str">
        <x:v>REC-0001</x:v>
      </x:c>
      <x:c r="G925" s="16" t="str">
        <x:v>正式报告</x:v>
      </x:c>
      <x:c r="H925" s="19" t="n">
        <x:v>6</x:v>
      </x:c>
      <x:c r="I925" s="19" t="n">
        <x:v>8</x:v>
      </x:c>
      <x:c r="J925" s="19" t="n">
        <x:v>2</x:v>
      </x:c>
      <x:c r="K925" s="16" t="str">
        <x:v>3. Minor deterioration</x:v>
      </x:c>
      <x:c r="L925" s="16" t="str">
        <x:v>Unlikely</x:v>
      </x:c>
      <x:c r="M925" s="16" t="str">
        <x:v>Minor</x:v>
      </x:c>
      <x:c r="N925" s="16" t="str">
        <x:v>Low</x:v>
      </x:c>
    </x:row>
    <x:row r="926" ht="37" customHeight="1">
      <x:c r="A926" s="16" t="str">
        <x:v>RAW-00920</x:v>
      </x:c>
      <x:c r="B926" s="16" t="str">
        <x:v>Observation</x:v>
      </x:c>
      <x:c r="C926" s="16" t="str">
        <x:v>– Left hand side of house facing front entrance. Roof sheeting has minor corrosion.</x:v>
      </x:c>
      <x:c r="D926" s="16" t="str">
        <x:v>Roof</x:v>
      </x:c>
      <x:c r="E926" s="16" t="str">
        <x:v>SRC-054</x:v>
      </x:c>
      <x:c r="F926" s="16" t="str">
        <x:v>OBS-0347</x:v>
      </x:c>
      <x:c r="G926" s="16" t="str">
        <x:v>正式报告</x:v>
      </x:c>
      <x:c r="H926" s="19" t="n">
        <x:v>6</x:v>
      </x:c>
      <x:c r="I926" s="19" t="n">
        <x:v>10</x:v>
      </x:c>
      <x:c r="J926" s="19" t="n">
        <x:v>1</x:v>
      </x:c>
      <x:c r="K926" s="16" t="str">
        <x:v>3. Minor deterioration</x:v>
      </x:c>
      <x:c r="L926" s="16" t="str">
        <x:v>Unlikely</x:v>
      </x:c>
      <x:c r="M926" s="16" t="str">
        <x:v>Minor</x:v>
      </x:c>
      <x:c r="N926" s="16" t="str">
        <x:v>Low</x:v>
      </x:c>
    </x:row>
    <x:row r="927" ht="37" customHeight="1">
      <x:c r="A927" s="16" t="str">
        <x:v>RAW-00921</x:v>
      </x:c>
      <x:c r="B927" s="16" t="str">
        <x:v>Recommendation</x:v>
      </x:c>
      <x:c r="C927" s="16" t="str">
        <x:v>– Clean, wire brush and repaint.</x:v>
      </x:c>
      <x:c r="D927" s="16" t="str">
        <x:v>Roof</x:v>
      </x:c>
      <x:c r="E927" s="16" t="str">
        <x:v>SRC-054</x:v>
      </x:c>
      <x:c r="F927" s="16" t="str">
        <x:v>REC-0001</x:v>
      </x:c>
      <x:c r="G927" s="16" t="str">
        <x:v>正式报告</x:v>
      </x:c>
      <x:c r="H927" s="19" t="n">
        <x:v>6</x:v>
      </x:c>
      <x:c r="I927" s="19" t="n">
        <x:v>10</x:v>
      </x:c>
      <x:c r="J927" s="19" t="n">
        <x:v>1</x:v>
      </x:c>
      <x:c r="K927" s="16" t="str">
        <x:v>3. Minor deterioration</x:v>
      </x:c>
      <x:c r="L927" s="16" t="str">
        <x:v>Unlikely</x:v>
      </x:c>
      <x:c r="M927" s="16" t="str">
        <x:v>Minor</x:v>
      </x:c>
      <x:c r="N927" s="16" t="str">
        <x:v>Low</x:v>
      </x:c>
    </x:row>
    <x:row r="928" ht="37" customHeight="1">
      <x:c r="A928" s="16" t="str">
        <x:v>RAW-00922</x:v>
      </x:c>
      <x:c r="B928" s="16" t="str">
        <x:v>Observation</x:v>
      </x:c>
      <x:c r="C928" s="16" t="str">
        <x:v>– Minor surface corrosion and salt staining on bolts.</x:v>
      </x:c>
      <x:c r="D928" s="16" t="str">
        <x:v>Cladding and framing</x:v>
      </x:c>
      <x:c r="E928" s="16" t="str">
        <x:v>SRC-054</x:v>
      </x:c>
      <x:c r="F928" s="16" t="str">
        <x:v>OBS-0405</x:v>
      </x:c>
      <x:c r="G928" s="16" t="str">
        <x:v>正式报告</x:v>
      </x:c>
      <x:c r="H928" s="19" t="n">
        <x:v>7</x:v>
      </x:c>
      <x:c r="I928" s="19" t="n">
        <x:v>6</x:v>
      </x:c>
      <x:c r="J928" s="19" t="n">
        <x:v>1</x:v>
      </x:c>
      <x:c r="K928" s="16" t="str">
        <x:v>3. Minor deterioration</x:v>
      </x:c>
      <x:c r="L928" s="16" t="str">
        <x:v>Unlikely</x:v>
      </x:c>
      <x:c r="M928" s="16" t="str">
        <x:v>Negligible</x:v>
      </x:c>
      <x:c r="N928" s="16" t="str">
        <x:v>Low</x:v>
      </x:c>
    </x:row>
    <x:row r="929" ht="37" customHeight="1">
      <x:c r="A929" s="16" t="str">
        <x:v>RAW-00923</x:v>
      </x:c>
      <x:c r="B929" s="16" t="str">
        <x:v>Recommendation</x:v>
      </x:c>
      <x:c r="C929" s="16" t="str">
        <x:v>– Clean, wire brush and repaint.</x:v>
      </x:c>
      <x:c r="D929" s="16" t="str">
        <x:v>Cladding and framing</x:v>
      </x:c>
      <x:c r="E929" s="16" t="str">
        <x:v>SRC-054</x:v>
      </x:c>
      <x:c r="F929" s="16" t="str">
        <x:v>REC-0001</x:v>
      </x:c>
      <x:c r="G929" s="16" t="str">
        <x:v>正式报告</x:v>
      </x:c>
      <x:c r="H929" s="19" t="n">
        <x:v>7</x:v>
      </x:c>
      <x:c r="I929" s="19" t="n">
        <x:v>6</x:v>
      </x:c>
      <x:c r="J929" s="19" t="n">
        <x:v>1</x:v>
      </x:c>
      <x:c r="K929" s="16" t="str">
        <x:v>3. Minor deterioration</x:v>
      </x:c>
      <x:c r="L929" s="16" t="str">
        <x:v>Unlikely</x:v>
      </x:c>
      <x:c r="M929" s="16" t="str">
        <x:v>Negligible</x:v>
      </x:c>
      <x:c r="N929" s="16" t="str">
        <x:v>Low</x:v>
      </x:c>
    </x:row>
    <x:row r="930" ht="37" customHeight="1">
      <x:c r="A930" s="16" t="str">
        <x:v>RAW-00924</x:v>
      </x:c>
      <x:c r="B930" s="16" t="str">
        <x:v>Observation</x:v>
      </x:c>
      <x:c r="C930" s="16" t="str">
        <x:v>– Minor surface corrosion of window framing</x:v>
      </x:c>
      <x:c r="D930" s="16" t="str">
        <x:v>Cladding and framing</x:v>
      </x:c>
      <x:c r="E930" s="16" t="str">
        <x:v>SRC-054</x:v>
      </x:c>
      <x:c r="F930" s="16" t="str">
        <x:v>OBS-0409</x:v>
      </x:c>
      <x:c r="G930" s="16" t="str">
        <x:v>正式报告</x:v>
      </x:c>
      <x:c r="H930" s="19" t="n">
        <x:v>7</x:v>
      </x:c>
      <x:c r="I930" s="19" t="n">
        <x:v>7</x:v>
      </x:c>
      <x:c r="J930" s="19" t="n">
        <x:v>2</x:v>
      </x:c>
      <x:c r="K930" s="16" t="str">
        <x:v>3. Minor deterioration</x:v>
      </x:c>
      <x:c r="L930" s="16" t="str">
        <x:v>Unlikely</x:v>
      </x:c>
      <x:c r="M930" s="16" t="str">
        <x:v>Negligible</x:v>
      </x:c>
      <x:c r="N930" s="16" t="str">
        <x:v>Low</x:v>
      </x:c>
    </x:row>
    <x:row r="931" ht="37" customHeight="1">
      <x:c r="A931" s="16" t="str">
        <x:v>RAW-00925</x:v>
      </x:c>
      <x:c r="B931" s="16" t="str">
        <x:v>Recommendation</x:v>
      </x:c>
      <x:c r="C931" s="16" t="str">
        <x:v>– Clean, wire brush and repaint.</x:v>
      </x:c>
      <x:c r="D931" s="16" t="str">
        <x:v>Cladding and framing</x:v>
      </x:c>
      <x:c r="E931" s="16" t="str">
        <x:v>SRC-054</x:v>
      </x:c>
      <x:c r="F931" s="16" t="str">
        <x:v>REC-0001</x:v>
      </x:c>
      <x:c r="G931" s="16" t="str">
        <x:v>正式报告</x:v>
      </x:c>
      <x:c r="H931" s="19" t="n">
        <x:v>7</x:v>
      </x:c>
      <x:c r="I931" s="19" t="n">
        <x:v>7</x:v>
      </x:c>
      <x:c r="J931" s="19" t="n">
        <x:v>2</x:v>
      </x:c>
      <x:c r="K931" s="16" t="str">
        <x:v>3. Minor deterioration</x:v>
      </x:c>
      <x:c r="L931" s="16" t="str">
        <x:v>Unlikely</x:v>
      </x:c>
      <x:c r="M931" s="16" t="str">
        <x:v>Negligible</x:v>
      </x:c>
      <x:c r="N931" s="16" t="str">
        <x:v>Low</x:v>
      </x:c>
    </x:row>
    <x:row r="932" ht="41" customHeight="1">
      <x:c r="A932" s="16" t="str">
        <x:v>RAW-00926</x:v>
      </x:c>
      <x:c r="B932" s="16" t="str">
        <x:v>Observation</x:v>
      </x:c>
      <x:c r="C932" s="16" t="str">
        <x:v>– Right hand side of property facing the front entrance. Water pooling at low point causing fence to corrode.</x:v>
      </x:c>
      <x:c r="D932" s="16" t="str">
        <x:v>Fencing</x:v>
      </x:c>
      <x:c r="E932" s="16" t="str">
        <x:v>SRC-054</x:v>
      </x:c>
      <x:c r="F932" s="16" t="str">
        <x:v>OBS-0504</x:v>
      </x:c>
      <x:c r="G932" s="16" t="str">
        <x:v>正式报告</x:v>
      </x:c>
      <x:c r="H932" s="19" t="n">
        <x:v>8</x:v>
      </x:c>
      <x:c r="I932" s="19" t="n">
        <x:v>6</x:v>
      </x:c>
      <x:c r="J932" s="19" t="n">
        <x:v>3</x:v>
      </x:c>
      <x:c r="K932" s="16" t="str">
        <x:v>3. Minor deterioration</x:v>
      </x:c>
      <x:c r="L932" s="16" t="str">
        <x:v>Unlikely</x:v>
      </x:c>
      <x:c r="M932" s="16" t="str">
        <x:v>Minor</x:v>
      </x:c>
      <x:c r="N932" s="16" t="str">
        <x:v>Low</x:v>
      </x:c>
    </x:row>
    <x:row r="933" ht="37" customHeight="1">
      <x:c r="A933" s="16" t="str">
        <x:v>RAW-00927</x:v>
      </x:c>
      <x:c r="B933" s="16" t="str">
        <x:v>Recommendation</x:v>
      </x:c>
      <x:c r="C933" s="16" t="str">
        <x:v>– Clean, wire brush and repaint.</x:v>
      </x:c>
      <x:c r="D933" s="16" t="str">
        <x:v>Fencing</x:v>
      </x:c>
      <x:c r="E933" s="16" t="str">
        <x:v>SRC-054</x:v>
      </x:c>
      <x:c r="F933" s="16" t="str">
        <x:v>REC-0001</x:v>
      </x:c>
      <x:c r="G933" s="16" t="str">
        <x:v>正式报告</x:v>
      </x:c>
      <x:c r="H933" s="19" t="n">
        <x:v>8</x:v>
      </x:c>
      <x:c r="I933" s="19" t="n">
        <x:v>6</x:v>
      </x:c>
      <x:c r="J933" s="19" t="n">
        <x:v>3</x:v>
      </x:c>
      <x:c r="K933" s="16" t="str">
        <x:v>3. Minor deterioration</x:v>
      </x:c>
      <x:c r="L933" s="16" t="str">
        <x:v>Unlikely</x:v>
      </x:c>
      <x:c r="M933" s="16" t="str">
        <x:v>Minor</x:v>
      </x:c>
      <x:c r="N933" s="16" t="str">
        <x:v>Low</x:v>
      </x:c>
    </x:row>
    <x:row r="934" ht="37" customHeight="1">
      <x:c r="A934" s="16" t="str">
        <x:v>RAW-00928</x:v>
      </x:c>
      <x:c r="B934" s="16" t="str">
        <x:v>Observation</x:v>
      </x:c>
      <x:c r="C934" s="16" t="str">
        <x:v>– Carport overview.</x:v>
      </x:c>
      <x:c r="D934" s="16" t="str">
        <x:v>Purlins and rafters</x:v>
      </x:c>
      <x:c r="E934" s="16" t="str">
        <x:v>SRC-055</x:v>
      </x:c>
      <x:c r="F934" s="16" t="str">
        <x:v>OBS-0008</x:v>
      </x:c>
      <x:c r="G934" s="16" t="str">
        <x:v>正式报告</x:v>
      </x:c>
      <x:c r="H934" s="19" t="n">
        <x:v>3</x:v>
      </x:c>
      <x:c r="I934" s="19" t="n">
        <x:v>6</x:v>
      </x:c>
      <x:c r="J934" s="19" t="n">
        <x:v>1</x:v>
      </x:c>
      <x:c r="K934" s="16" t="str">
        <x:v>3. Minor deterioration</x:v>
      </x:c>
      <x:c r="L934" s="16" t="str">
        <x:v>Unlikely</x:v>
      </x:c>
      <x:c r="M934" s="16" t="str">
        <x:v>Significant</x:v>
      </x:c>
      <x:c r="N934" s="16" t="str">
        <x:v>Moderate</x:v>
      </x:c>
    </x:row>
    <x:row r="935" ht="41" customHeight="1">
      <x:c r="A935" s="16" t="str">
        <x:v>RAW-00929</x:v>
      </x:c>
      <x:c r="B935" s="16" t="str">
        <x:v>Observation</x:v>
      </x:c>
      <x:c r="C935" s="16" t="str">
        <x:v>– Left hand side of house facing the entrance. Minor corrosion to rafters and purlins. Salt staining on purlins.</x:v>
      </x:c>
      <x:c r="D935" s="16" t="str">
        <x:v>Purlins and rafters</x:v>
      </x:c>
      <x:c r="E935" s="16" t="str">
        <x:v>SRC-055</x:v>
      </x:c>
      <x:c r="F935" s="16" t="str">
        <x:v>OBS-0015</x:v>
      </x:c>
      <x:c r="G935" s="16" t="str">
        <x:v>正式报告</x:v>
      </x:c>
      <x:c r="H935" s="19" t="n">
        <x:v>3</x:v>
      </x:c>
      <x:c r="I935" s="19" t="n">
        <x:v>7</x:v>
      </x:c>
      <x:c r="J935" s="19" t="n">
        <x:v>1</x:v>
      </x:c>
      <x:c r="K935" s="16" t="str">
        <x:v>3. Minor deterioration</x:v>
      </x:c>
      <x:c r="L935" s="16" t="str">
        <x:v>Unlikely</x:v>
      </x:c>
      <x:c r="M935" s="16" t="str">
        <x:v>Significant</x:v>
      </x:c>
      <x:c r="N935" s="16" t="str">
        <x:v>Moderate</x:v>
      </x:c>
    </x:row>
    <x:row r="936" ht="37" customHeight="1">
      <x:c r="A936" s="16" t="str">
        <x:v>RAW-00930</x:v>
      </x:c>
      <x:c r="B936" s="16" t="str">
        <x:v>Recommendation</x:v>
      </x:c>
      <x:c r="C936" s="16" t="str">
        <x:v>– Clean, wire brush and repaint.</x:v>
      </x:c>
      <x:c r="D936" s="16" t="str">
        <x:v>Purlins and rafters</x:v>
      </x:c>
      <x:c r="E936" s="16" t="str">
        <x:v>SRC-055</x:v>
      </x:c>
      <x:c r="F936" s="16" t="str">
        <x:v>REC-0001</x:v>
      </x:c>
      <x:c r="G936" s="16" t="str">
        <x:v>正式报告</x:v>
      </x:c>
      <x:c r="H936" s="19" t="n">
        <x:v>3</x:v>
      </x:c>
      <x:c r="I936" s="19" t="n">
        <x:v>7</x:v>
      </x:c>
      <x:c r="J936" s="19" t="n">
        <x:v>1</x:v>
      </x:c>
      <x:c r="K936" s="16" t="str">
        <x:v>3. Minor deterioration</x:v>
      </x:c>
      <x:c r="L936" s="16" t="str">
        <x:v>Unlikely</x:v>
      </x:c>
      <x:c r="M936" s="16" t="str">
        <x:v>Significant</x:v>
      </x:c>
      <x:c r="N936" s="16" t="str">
        <x:v>Moderate</x:v>
      </x:c>
    </x:row>
    <x:row r="937" ht="37" customHeight="1">
      <x:c r="A937" s="16" t="str">
        <x:v>RAW-00931</x:v>
      </x:c>
      <x:c r="B937" s="16" t="str">
        <x:v>Observation</x:v>
      </x:c>
      <x:c r="C937" s="16" t="str">
        <x:v>– Front and right hand side of house facing the entrance. Minor corrosion of verandah beam.</x:v>
      </x:c>
      <x:c r="D937" s="16" t="str">
        <x:v>Purlins and rafters</x:v>
      </x:c>
      <x:c r="E937" s="16" t="str">
        <x:v>SRC-055</x:v>
      </x:c>
      <x:c r="F937" s="16" t="str">
        <x:v>OBS-0268</x:v>
      </x:c>
      <x:c r="G937" s="16" t="str">
        <x:v>正式报告</x:v>
      </x:c>
      <x:c r="H937" s="19" t="n">
        <x:v>3</x:v>
      </x:c>
      <x:c r="I937" s="19" t="n">
        <x:v>8</x:v>
      </x:c>
      <x:c r="J937" s="19" t="n">
        <x:v>2</x:v>
      </x:c>
      <x:c r="K937" s="16" t="str">
        <x:v>3. Minor deterioration</x:v>
      </x:c>
      <x:c r="L937" s="16" t="str">
        <x:v>Unlikely</x:v>
      </x:c>
      <x:c r="M937" s="16" t="str">
        <x:v>Significant</x:v>
      </x:c>
      <x:c r="N937" s="16" t="str">
        <x:v>Moderate</x:v>
      </x:c>
    </x:row>
    <x:row r="938" ht="37" customHeight="1">
      <x:c r="A938" s="16" t="str">
        <x:v>RAW-00932</x:v>
      </x:c>
      <x:c r="B938" s="16" t="str">
        <x:v>Recommendation</x:v>
      </x:c>
      <x:c r="C938" s="16" t="str">
        <x:v>– Clean, wire brush and repaint.</x:v>
      </x:c>
      <x:c r="D938" s="16" t="str">
        <x:v>Purlins and rafters</x:v>
      </x:c>
      <x:c r="E938" s="16" t="str">
        <x:v>SRC-055</x:v>
      </x:c>
      <x:c r="F938" s="16" t="str">
        <x:v>REC-0001</x:v>
      </x:c>
      <x:c r="G938" s="16" t="str">
        <x:v>正式报告</x:v>
      </x:c>
      <x:c r="H938" s="19" t="n">
        <x:v>3</x:v>
      </x:c>
      <x:c r="I938" s="19" t="n">
        <x:v>8</x:v>
      </x:c>
      <x:c r="J938" s="19" t="n">
        <x:v>2</x:v>
      </x:c>
      <x:c r="K938" s="16" t="str">
        <x:v>3. Minor deterioration</x:v>
      </x:c>
      <x:c r="L938" s="16" t="str">
        <x:v>Unlikely</x:v>
      </x:c>
      <x:c r="M938" s="16" t="str">
        <x:v>Significant</x:v>
      </x:c>
      <x:c r="N938" s="16" t="str">
        <x:v>Moderate</x:v>
      </x:c>
    </x:row>
    <x:row r="939" ht="37" customHeight="1">
      <x:c r="A939" s="16" t="str">
        <x:v>RAW-00933</x:v>
      </x:c>
      <x:c r="B939" s="16" t="str">
        <x:v>Observation</x:v>
      </x:c>
      <x:c r="C939" s="16" t="str">
        <x:v>– Left hand side columns facing front of house.</x:v>
      </x:c>
      <x:c r="D939" s="16" t="str">
        <x:v>Columns</x:v>
      </x:c>
      <x:c r="E939" s="16" t="str">
        <x:v>SRC-055</x:v>
      </x:c>
      <x:c r="F939" s="16" t="str">
        <x:v>OBS-0055</x:v>
      </x:c>
      <x:c r="G939" s="16" t="str">
        <x:v>正式报告</x:v>
      </x:c>
      <x:c r="H939" s="19" t="n">
        <x:v>4</x:v>
      </x:c>
      <x:c r="I939" s="19" t="n">
        <x:v>6</x:v>
      </x:c>
      <x:c r="J939" s="19" t="n">
        <x:v>1</x:v>
      </x:c>
      <x:c r="K939" s="16" t="str">
        <x:v>3. Minor deterioration</x:v>
      </x:c>
      <x:c r="L939" s="16" t="str">
        <x:v>Unlikely</x:v>
      </x:c>
      <x:c r="M939" s="16" t="str">
        <x:v>Significant</x:v>
      </x:c>
      <x:c r="N939" s="16" t="str">
        <x:v>Moderate</x:v>
      </x:c>
    </x:row>
    <x:row r="940" ht="37" customHeight="1">
      <x:c r="A940" s="16" t="str">
        <x:v>RAW-00934</x:v>
      </x:c>
      <x:c r="B940" s="16" t="str">
        <x:v>Observation</x:v>
      </x:c>
      <x:c r="C940" s="16" t="str">
        <x:v>– Row 1 Column 1. Column in good condition.</x:v>
      </x:c>
      <x:c r="D940" s="16" t="str">
        <x:v>Columns</x:v>
      </x:c>
      <x:c r="E940" s="16" t="str">
        <x:v>SRC-055</x:v>
      </x:c>
      <x:c r="F940" s="16" t="str">
        <x:v>OBS-0519</x:v>
      </x:c>
      <x:c r="G940" s="16" t="str">
        <x:v>正式报告</x:v>
      </x:c>
      <x:c r="H940" s="19" t="n">
        <x:v>4</x:v>
      </x:c>
      <x:c r="I940" s="19" t="n">
        <x:v>7</x:v>
      </x:c>
      <x:c r="J940" s="19" t="n">
        <x:v>1</x:v>
      </x:c>
      <x:c r="K940" s="16" t="str">
        <x:v>3. Minor deterioration</x:v>
      </x:c>
      <x:c r="L940" s="16" t="str">
        <x:v>Unlikely</x:v>
      </x:c>
      <x:c r="M940" s="16" t="str">
        <x:v>Significant</x:v>
      </x:c>
      <x:c r="N940" s="16" t="str">
        <x:v>Moderate</x:v>
      </x:c>
    </x:row>
    <x:row r="941" ht="37" customHeight="1">
      <x:c r="A941" s="16" t="str">
        <x:v>RAW-00935</x:v>
      </x:c>
      <x:c r="B941" s="16" t="str">
        <x:v>Observation</x:v>
      </x:c>
      <x:c r="C941" s="16" t="str">
        <x:v>– Row 1 Column 2. Minor corrosion at lower portion of column.</x:v>
      </x:c>
      <x:c r="D941" s="16" t="str">
        <x:v>Columns</x:v>
      </x:c>
      <x:c r="E941" s="16" t="str">
        <x:v>SRC-055</x:v>
      </x:c>
      <x:c r="F941" s="16" t="str">
        <x:v>OBS-0524</x:v>
      </x:c>
      <x:c r="G941" s="16" t="str">
        <x:v>正式报告</x:v>
      </x:c>
      <x:c r="H941" s="19" t="n">
        <x:v>4</x:v>
      </x:c>
      <x:c r="I941" s="19" t="n">
        <x:v>8</x:v>
      </x:c>
      <x:c r="J941" s="19" t="n">
        <x:v>1</x:v>
      </x:c>
      <x:c r="K941" s="16" t="str">
        <x:v>3. Minor deterioration</x:v>
      </x:c>
      <x:c r="L941" s="16" t="str">
        <x:v>Unlikely</x:v>
      </x:c>
      <x:c r="M941" s="16" t="str">
        <x:v>Significant</x:v>
      </x:c>
      <x:c r="N941" s="16" t="str">
        <x:v>Moderate</x:v>
      </x:c>
    </x:row>
    <x:row r="942" ht="37" customHeight="1">
      <x:c r="A942" s="16" t="str">
        <x:v>RAW-00936</x:v>
      </x:c>
      <x:c r="B942" s="16" t="str">
        <x:v>Recommendation</x:v>
      </x:c>
      <x:c r="C942" s="16" t="str">
        <x:v>– Clean, wire brush and repaint.</x:v>
      </x:c>
      <x:c r="D942" s="16" t="str">
        <x:v>Columns</x:v>
      </x:c>
      <x:c r="E942" s="16" t="str">
        <x:v>SRC-055</x:v>
      </x:c>
      <x:c r="F942" s="16" t="str">
        <x:v>REC-0001</x:v>
      </x:c>
      <x:c r="G942" s="16" t="str">
        <x:v>正式报告</x:v>
      </x:c>
      <x:c r="H942" s="19" t="n">
        <x:v>4</x:v>
      </x:c>
      <x:c r="I942" s="19" t="n">
        <x:v>8</x:v>
      </x:c>
      <x:c r="J942" s="19" t="n">
        <x:v>1</x:v>
      </x:c>
      <x:c r="K942" s="16" t="str">
        <x:v>3. Minor deterioration</x:v>
      </x:c>
      <x:c r="L942" s="16" t="str">
        <x:v>Unlikely</x:v>
      </x:c>
      <x:c r="M942" s="16" t="str">
        <x:v>Significant</x:v>
      </x:c>
      <x:c r="N942" s="16" t="str">
        <x:v>Moderate</x:v>
      </x:c>
    </x:row>
    <x:row r="943" ht="37" customHeight="1">
      <x:c r="A943" s="16" t="str">
        <x:v>RAW-00937</x:v>
      </x:c>
      <x:c r="B943" s="16" t="str">
        <x:v>Observation</x:v>
      </x:c>
      <x:c r="C943" s="16" t="str">
        <x:v>– Row 2 Column 2. Minor corrosion and salt staining at lower portion of column.</x:v>
      </x:c>
      <x:c r="D943" s="16" t="str">
        <x:v>Columns</x:v>
      </x:c>
      <x:c r="E943" s="16" t="str">
        <x:v>SRC-055</x:v>
      </x:c>
      <x:c r="F943" s="16" t="str">
        <x:v>OBS-0529</x:v>
      </x:c>
      <x:c r="G943" s="16" t="str">
        <x:v>正式报告</x:v>
      </x:c>
      <x:c r="H943" s="19" t="n">
        <x:v>4</x:v>
      </x:c>
      <x:c r="I943" s="19" t="n">
        <x:v>9</x:v>
      </x:c>
      <x:c r="J943" s="19" t="n">
        <x:v>1</x:v>
      </x:c>
      <x:c r="K943" s="16" t="str">
        <x:v>3. Minor deterioration</x:v>
      </x:c>
      <x:c r="L943" s="16" t="str">
        <x:v>Unlikely</x:v>
      </x:c>
      <x:c r="M943" s="16" t="str">
        <x:v>Significant</x:v>
      </x:c>
      <x:c r="N943" s="16" t="str">
        <x:v>Moderate</x:v>
      </x:c>
    </x:row>
    <x:row r="944" ht="37" customHeight="1">
      <x:c r="A944" s="16" t="str">
        <x:v>RAW-00938</x:v>
      </x:c>
      <x:c r="B944" s="16" t="str">
        <x:v>Recommendation</x:v>
      </x:c>
      <x:c r="C944" s="16" t="str">
        <x:v>– Clean, wire brush and repaint.</x:v>
      </x:c>
      <x:c r="D944" s="16" t="str">
        <x:v>Columns</x:v>
      </x:c>
      <x:c r="E944" s="16" t="str">
        <x:v>SRC-055</x:v>
      </x:c>
      <x:c r="F944" s="16" t="str">
        <x:v>REC-0001</x:v>
      </x:c>
      <x:c r="G944" s="16" t="str">
        <x:v>正式报告</x:v>
      </x:c>
      <x:c r="H944" s="19" t="n">
        <x:v>4</x:v>
      </x:c>
      <x:c r="I944" s="19" t="n">
        <x:v>9</x:v>
      </x:c>
      <x:c r="J944" s="19" t="n">
        <x:v>1</x:v>
      </x:c>
      <x:c r="K944" s="16" t="str">
        <x:v>3. Minor deterioration</x:v>
      </x:c>
      <x:c r="L944" s="16" t="str">
        <x:v>Unlikely</x:v>
      </x:c>
      <x:c r="M944" s="16" t="str">
        <x:v>Significant</x:v>
      </x:c>
      <x:c r="N944" s="16" t="str">
        <x:v>Moderate</x:v>
      </x:c>
    </x:row>
    <x:row r="945" ht="37" customHeight="1">
      <x:c r="A945" s="16" t="str">
        <x:v>RAW-00939</x:v>
      </x:c>
      <x:c r="B945" s="16" t="str">
        <x:v>Observation</x:v>
      </x:c>
      <x:c r="C945" s="16" t="str">
        <x:v>– Right hand side columns facing front of house.</x:v>
      </x:c>
      <x:c r="D945" s="16" t="str">
        <x:v>Columns</x:v>
      </x:c>
      <x:c r="E945" s="16" t="str">
        <x:v>SRC-055</x:v>
      </x:c>
      <x:c r="F945" s="16" t="str">
        <x:v>OBS-0478</x:v>
      </x:c>
      <x:c r="G945" s="16" t="str">
        <x:v>正式报告</x:v>
      </x:c>
      <x:c r="H945" s="19" t="n">
        <x:v>4</x:v>
      </x:c>
      <x:c r="I945" s="19" t="n">
        <x:v>10</x:v>
      </x:c>
      <x:c r="J945" s="19" t="n">
        <x:v>1</x:v>
      </x:c>
      <x:c r="K945" s="16" t="str">
        <x:v>3. Minor deterioration</x:v>
      </x:c>
      <x:c r="L945" s="16" t="str">
        <x:v>Unlikely</x:v>
      </x:c>
      <x:c r="M945" s="16" t="str">
        <x:v>Significant</x:v>
      </x:c>
      <x:c r="N945" s="16" t="str">
        <x:v>Moderate</x:v>
      </x:c>
    </x:row>
    <x:row r="946" ht="37" customHeight="1">
      <x:c r="A946" s="16" t="str">
        <x:v>RAW-00940</x:v>
      </x:c>
      <x:c r="B946" s="16" t="str">
        <x:v>Observation</x:v>
      </x:c>
      <x:c r="C946" s="16" t="str">
        <x:v>– Row 2 Column 2. Minor surface corrosion of column.</x:v>
      </x:c>
      <x:c r="D946" s="16" t="str">
        <x:v>Columns</x:v>
      </x:c>
      <x:c r="E946" s="16" t="str">
        <x:v>SRC-055</x:v>
      </x:c>
      <x:c r="F946" s="16" t="str">
        <x:v>OBS-0530</x:v>
      </x:c>
      <x:c r="G946" s="16" t="str">
        <x:v>正式报告</x:v>
      </x:c>
      <x:c r="H946" s="19" t="n">
        <x:v>4</x:v>
      </x:c>
      <x:c r="I946" s="19" t="n">
        <x:v>11</x:v>
      </x:c>
      <x:c r="J946" s="19" t="n">
        <x:v>1</x:v>
      </x:c>
      <x:c r="K946" s="16" t="str">
        <x:v>3. Minor deterioration</x:v>
      </x:c>
      <x:c r="L946" s="16" t="str">
        <x:v>Unlikely</x:v>
      </x:c>
      <x:c r="M946" s="16" t="str">
        <x:v>Significant</x:v>
      </x:c>
      <x:c r="N946" s="16" t="str">
        <x:v>Moderate</x:v>
      </x:c>
    </x:row>
    <x:row r="947" ht="37" customHeight="1">
      <x:c r="A947" s="16" t="str">
        <x:v>RAW-00941</x:v>
      </x:c>
      <x:c r="B947" s="16" t="str">
        <x:v>Recommendation</x:v>
      </x:c>
      <x:c r="C947" s="16" t="str">
        <x:v>– Clean, wire brush and repaint.</x:v>
      </x:c>
      <x:c r="D947" s="16" t="str">
        <x:v>Columns</x:v>
      </x:c>
      <x:c r="E947" s="16" t="str">
        <x:v>SRC-055</x:v>
      </x:c>
      <x:c r="F947" s="16" t="str">
        <x:v>REC-0001</x:v>
      </x:c>
      <x:c r="G947" s="16" t="str">
        <x:v>正式报告</x:v>
      </x:c>
      <x:c r="H947" s="19" t="n">
        <x:v>4</x:v>
      </x:c>
      <x:c r="I947" s="19" t="n">
        <x:v>11</x:v>
      </x:c>
      <x:c r="J947" s="19" t="n">
        <x:v>1</x:v>
      </x:c>
      <x:c r="K947" s="16" t="str">
        <x:v>3. Minor deterioration</x:v>
      </x:c>
      <x:c r="L947" s="16" t="str">
        <x:v>Unlikely</x:v>
      </x:c>
      <x:c r="M947" s="16" t="str">
        <x:v>Significant</x:v>
      </x:c>
      <x:c r="N947" s="16" t="str">
        <x:v>Moderate</x:v>
      </x:c>
    </x:row>
    <x:row r="948" ht="37" customHeight="1">
      <x:c r="A948" s="16" t="str">
        <x:v>RAW-00942</x:v>
      </x:c>
      <x:c r="B948" s="16" t="str">
        <x:v>Observation</x:v>
      </x:c>
      <x:c r="C948" s="16" t="str">
        <x:v>– Fencing posts on left hand side of property facing the front entrance. Bitumen paint deterioration.</x:v>
      </x:c>
      <x:c r="D948" s="16" t="str">
        <x:v>Fencing posts</x:v>
      </x:c>
      <x:c r="E948" s="16" t="str">
        <x:v>SRC-055</x:v>
      </x:c>
      <x:c r="F948" s="16" t="str">
        <x:v>OBS-0005</x:v>
      </x:c>
      <x:c r="G948" s="16" t="str">
        <x:v>正式报告</x:v>
      </x:c>
      <x:c r="H948" s="19" t="n">
        <x:v>5</x:v>
      </x:c>
      <x:c r="I948" s="19" t="n">
        <x:v>6</x:v>
      </x:c>
      <x:c r="J948" s="19" t="n">
        <x:v>1</x:v>
      </x:c>
      <x:c r="K948" s="16" t="str">
        <x:v>2. New with slight deterioration</x:v>
      </x:c>
      <x:c r="L948" s="16" t="str">
        <x:v>Very unlikely</x:v>
      </x:c>
      <x:c r="M948" s="16" t="str">
        <x:v>Moderate</x:v>
      </x:c>
      <x:c r="N948" s="16" t="str">
        <x:v>Low</x:v>
      </x:c>
    </x:row>
    <x:row r="949" ht="41" customHeight="1">
      <x:c r="A949" s="16" t="str">
        <x:v>RAW-00943</x:v>
      </x:c>
      <x:c r="B949" s="16" t="str">
        <x:v>Observation</x:v>
      </x:c>
      <x:c r="C949" s="16" t="str">
        <x:v>– Fencing posts on left hand side of property facing the front entrance. Minor corrosion around cap plate.</x:v>
      </x:c>
      <x:c r="D949" s="16" t="str">
        <x:v>Fencing posts</x:v>
      </x:c>
      <x:c r="E949" s="16" t="str">
        <x:v>SRC-055</x:v>
      </x:c>
      <x:c r="F949" s="16" t="str">
        <x:v>OBS-0266</x:v>
      </x:c>
      <x:c r="G949" s="16" t="str">
        <x:v>正式报告</x:v>
      </x:c>
      <x:c r="H949" s="19" t="n">
        <x:v>5</x:v>
      </x:c>
      <x:c r="I949" s="19" t="n">
        <x:v>7</x:v>
      </x:c>
      <x:c r="J949" s="19" t="n">
        <x:v>1</x:v>
      </x:c>
      <x:c r="K949" s="16" t="str">
        <x:v>2. New with slight deterioration</x:v>
      </x:c>
      <x:c r="L949" s="16" t="str">
        <x:v>Very unlikely</x:v>
      </x:c>
      <x:c r="M949" s="16" t="str">
        <x:v>Moderate</x:v>
      </x:c>
      <x:c r="N949" s="16" t="str">
        <x:v>Low</x:v>
      </x:c>
    </x:row>
    <x:row r="950" ht="37" customHeight="1">
      <x:c r="A950" s="16" t="str">
        <x:v>RAW-00944</x:v>
      </x:c>
      <x:c r="B950" s="16" t="str">
        <x:v>Recommendation</x:v>
      </x:c>
      <x:c r="C950" s="16" t="str">
        <x:v>– Clean, wire brush and repaint cap plate.</x:v>
      </x:c>
      <x:c r="D950" s="16" t="str">
        <x:v>Fencing posts</x:v>
      </x:c>
      <x:c r="E950" s="16" t="str">
        <x:v>SRC-055</x:v>
      </x:c>
      <x:c r="F950" s="16" t="str">
        <x:v>REC-0074</x:v>
      </x:c>
      <x:c r="G950" s="16" t="str">
        <x:v>正式报告</x:v>
      </x:c>
      <x:c r="H950" s="19" t="n">
        <x:v>5</x:v>
      </x:c>
      <x:c r="I950" s="19" t="n">
        <x:v>7</x:v>
      </x:c>
      <x:c r="J950" s="19" t="n">
        <x:v>1</x:v>
      </x:c>
      <x:c r="K950" s="16" t="str">
        <x:v>2. New with slight deterioration</x:v>
      </x:c>
      <x:c r="L950" s="16" t="str">
        <x:v>Very unlikely</x:v>
      </x:c>
      <x:c r="M950" s="16" t="str">
        <x:v>Moderate</x:v>
      </x:c>
      <x:c r="N950" s="16" t="str">
        <x:v>Low</x:v>
      </x:c>
    </x:row>
    <x:row r="951" ht="37" customHeight="1">
      <x:c r="A951" s="16" t="str">
        <x:v>RAW-00945</x:v>
      </x:c>
      <x:c r="B951" s="16" t="str">
        <x:v>Observation</x:v>
      </x:c>
      <x:c r="C951" s="16" t="str">
        <x:v>– Fencing posts on left hand side of property facing the front entrance. Bitumen paint deterioration.</x:v>
      </x:c>
      <x:c r="D951" s="16" t="str">
        <x:v>Fencing posts</x:v>
      </x:c>
      <x:c r="E951" s="16" t="str">
        <x:v>SRC-055</x:v>
      </x:c>
      <x:c r="F951" s="16" t="str">
        <x:v>OBS-0005</x:v>
      </x:c>
      <x:c r="G951" s="16" t="str">
        <x:v>正式报告</x:v>
      </x:c>
      <x:c r="H951" s="19" t="n">
        <x:v>5</x:v>
      </x:c>
      <x:c r="I951" s="19" t="n">
        <x:v>8</x:v>
      </x:c>
      <x:c r="J951" s="19" t="n">
        <x:v>1</x:v>
      </x:c>
      <x:c r="K951" s="16" t="str">
        <x:v>2. New with slight deterioration</x:v>
      </x:c>
      <x:c r="L951" s="16" t="str">
        <x:v>Very unlikely</x:v>
      </x:c>
      <x:c r="M951" s="16" t="str">
        <x:v>Moderate</x:v>
      </x:c>
      <x:c r="N951" s="16" t="str">
        <x:v>Low</x:v>
      </x:c>
    </x:row>
    <x:row r="952" ht="41" customHeight="1">
      <x:c r="A952" s="16" t="str">
        <x:v>RAW-00946</x:v>
      </x:c>
      <x:c r="B952" s="16" t="str">
        <x:v>Recommendation</x:v>
      </x:c>
      <x:c r="C952" s="16" t="str">
        <x:v>– Clean and repaint. Expose posts’ base and investigate the condition. Undertake appropriate repair stated within Section 3.</x:v>
      </x:c>
      <x:c r="D952" s="16" t="str">
        <x:v>Fencing posts</x:v>
      </x:c>
      <x:c r="E952" s="16" t="str">
        <x:v>SRC-055</x:v>
      </x:c>
      <x:c r="F952" s="16" t="str">
        <x:v>REC-0055</x:v>
      </x:c>
      <x:c r="G952" s="16" t="str">
        <x:v>正式报告</x:v>
      </x:c>
      <x:c r="H952" s="19" t="n">
        <x:v>5</x:v>
      </x:c>
      <x:c r="I952" s="19" t="n">
        <x:v>8</x:v>
      </x:c>
      <x:c r="J952" s="19" t="n">
        <x:v>1</x:v>
      </x:c>
      <x:c r="K952" s="16" t="str">
        <x:v>2. New with slight deterioration</x:v>
      </x:c>
      <x:c r="L952" s="16" t="str">
        <x:v>Very unlikely</x:v>
      </x:c>
      <x:c r="M952" s="16" t="str">
        <x:v>Moderate</x:v>
      </x:c>
      <x:c r="N952" s="16" t="str">
        <x:v>Low</x:v>
      </x:c>
    </x:row>
    <x:row r="953" ht="37" customHeight="1">
      <x:c r="A953" s="16" t="str">
        <x:v>RAW-00947</x:v>
      </x:c>
      <x:c r="B953" s="16" t="str">
        <x:v>Observation</x:v>
      </x:c>
      <x:c r="C953" s="16" t="str">
        <x:v>– Carport front window. Salt staining and minor corrosion.</x:v>
      </x:c>
      <x:c r="D953" s="16" t="str">
        <x:v>Cladding and framing</x:v>
      </x:c>
      <x:c r="E953" s="16" t="str">
        <x:v>SRC-055</x:v>
      </x:c>
      <x:c r="F953" s="16" t="str">
        <x:v>OBS-0036</x:v>
      </x:c>
      <x:c r="G953" s="16" t="str">
        <x:v>正式报告</x:v>
      </x:c>
      <x:c r="H953" s="19" t="n">
        <x:v>6</x:v>
      </x:c>
      <x:c r="I953" s="19" t="n">
        <x:v>6</x:v>
      </x:c>
      <x:c r="J953" s="19" t="n">
        <x:v>2</x:v>
      </x:c>
      <x:c r="K953" s="16" t="str">
        <x:v>3. Minor deterioration</x:v>
      </x:c>
      <x:c r="L953" s="16" t="str">
        <x:v>Unlikely</x:v>
      </x:c>
      <x:c r="M953" s="16" t="str">
        <x:v>Negligible</x:v>
      </x:c>
      <x:c r="N953" s="16" t="str">
        <x:v>Low</x:v>
      </x:c>
    </x:row>
    <x:row r="954" ht="37" customHeight="1">
      <x:c r="A954" s="16" t="str">
        <x:v>RAW-00948</x:v>
      </x:c>
      <x:c r="B954" s="16" t="str">
        <x:v>Recommendation</x:v>
      </x:c>
      <x:c r="C954" s="16" t="str">
        <x:v>– Clean, remove corrosion and repaint.</x:v>
      </x:c>
      <x:c r="D954" s="16" t="str">
        <x:v>Cladding and framing</x:v>
      </x:c>
      <x:c r="E954" s="16" t="str">
        <x:v>SRC-055</x:v>
      </x:c>
      <x:c r="F954" s="16" t="str">
        <x:v>REC-0002</x:v>
      </x:c>
      <x:c r="G954" s="16" t="str">
        <x:v>正式报告</x:v>
      </x:c>
      <x:c r="H954" s="19" t="n">
        <x:v>6</x:v>
      </x:c>
      <x:c r="I954" s="19" t="n">
        <x:v>6</x:v>
      </x:c>
      <x:c r="J954" s="19" t="n">
        <x:v>2</x:v>
      </x:c>
      <x:c r="K954" s="16" t="str">
        <x:v>3. Minor deterioration</x:v>
      </x:c>
      <x:c r="L954" s="16" t="str">
        <x:v>Unlikely</x:v>
      </x:c>
      <x:c r="M954" s="16" t="str">
        <x:v>Negligible</x:v>
      </x:c>
      <x:c r="N954" s="16" t="str">
        <x:v>Low</x:v>
      </x:c>
    </x:row>
    <x:row r="955" ht="37" customHeight="1">
      <x:c r="A955" s="16" t="str">
        <x:v>RAW-00949</x:v>
      </x:c>
      <x:c r="B955" s="16" t="str">
        <x:v>Observation</x:v>
      </x:c>
      <x:c r="C955" s="16" t="str">
        <x:v>– Salt staining to back wall cladding at bolted connections.</x:v>
      </x:c>
      <x:c r="D955" s="16" t="str">
        <x:v>Cladding and framing</x:v>
      </x:c>
      <x:c r="E955" s="16" t="str">
        <x:v>SRC-055</x:v>
      </x:c>
      <x:c r="F955" s="16" t="str">
        <x:v>OBS-0082</x:v>
      </x:c>
      <x:c r="G955" s="16" t="str">
        <x:v>正式报告</x:v>
      </x:c>
      <x:c r="H955" s="19" t="n">
        <x:v>6</x:v>
      </x:c>
      <x:c r="I955" s="19" t="n">
        <x:v>8</x:v>
      </x:c>
      <x:c r="J955" s="19" t="n">
        <x:v>1</x:v>
      </x:c>
      <x:c r="K955" s="16" t="str">
        <x:v>3. Minor deterioration</x:v>
      </x:c>
      <x:c r="L955" s="16" t="str">
        <x:v>Unlikely</x:v>
      </x:c>
      <x:c r="M955" s="16" t="str">
        <x:v>Negligible</x:v>
      </x:c>
      <x:c r="N955" s="16" t="str">
        <x:v>Low</x:v>
      </x:c>
    </x:row>
    <x:row r="956" ht="37" customHeight="1">
      <x:c r="A956" s="16" t="str">
        <x:v>RAW-00950</x:v>
      </x:c>
      <x:c r="B956" s="16" t="str">
        <x:v>Recommendation</x:v>
      </x:c>
      <x:c r="C956" s="16" t="str">
        <x:v>– Clean and repaint.</x:v>
      </x:c>
      <x:c r="D956" s="16" t="str">
        <x:v>Cladding and framing</x:v>
      </x:c>
      <x:c r="E956" s="16" t="str">
        <x:v>SRC-055</x:v>
      </x:c>
      <x:c r="F956" s="16" t="str">
        <x:v>REC-0006</x:v>
      </x:c>
      <x:c r="G956" s="16" t="str">
        <x:v>正式报告</x:v>
      </x:c>
      <x:c r="H956" s="19" t="n">
        <x:v>6</x:v>
      </x:c>
      <x:c r="I956" s="19" t="n">
        <x:v>8</x:v>
      </x:c>
      <x:c r="J956" s="19" t="n">
        <x:v>1</x:v>
      </x:c>
      <x:c r="K956" s="16" t="str">
        <x:v>3. Minor deterioration</x:v>
      </x:c>
      <x:c r="L956" s="16" t="str">
        <x:v>Unlikely</x:v>
      </x:c>
      <x:c r="M956" s="16" t="str">
        <x:v>Negligible</x:v>
      </x:c>
      <x:c r="N956" s="16" t="str">
        <x:v>Low</x:v>
      </x:c>
    </x:row>
    <x:row r="957" ht="37" customHeight="1">
      <x:c r="A957" s="16" t="str">
        <x:v>RAW-00951</x:v>
      </x:c>
      <x:c r="B957" s="16" t="str">
        <x:v>Observation</x:v>
      </x:c>
      <x:c r="C957" s="16" t="str">
        <x:v>– Carport fencing posts.</x:v>
      </x:c>
      <x:c r="D957" s="16" t="str">
        <x:v>Fencing posts</x:v>
      </x:c>
      <x:c r="E957" s="16" t="str">
        <x:v>SRC-056</x:v>
      </x:c>
      <x:c r="F957" s="16" t="str">
        <x:v>OBS-0159</x:v>
      </x:c>
      <x:c r="G957" s="16" t="str">
        <x:v>正式报告</x:v>
      </x:c>
      <x:c r="H957" s="19" t="n">
        <x:v>3</x:v>
      </x:c>
      <x:c r="I957" s="19" t="n">
        <x:v>6</x:v>
      </x:c>
      <x:c r="J957" s="19" t="n">
        <x:v>1</x:v>
      </x:c>
      <x:c r="K957" s="16" t="str">
        <x:v>5. Major deterioration</x:v>
      </x:c>
      <x:c r="L957" s="16" t="str">
        <x:v>Likely</x:v>
      </x:c>
      <x:c r="M957" s="16" t="str">
        <x:v>Moderate</x:v>
      </x:c>
      <x:c r="N957" s="16" t="str">
        <x:v>High</x:v>
      </x:c>
    </x:row>
    <x:row r="958" ht="37" customHeight="1">
      <x:c r="A958" s="16" t="str">
        <x:v>RAW-00952</x:v>
      </x:c>
      <x:c r="B958" s="16" t="str">
        <x:v>Observation</x:v>
      </x:c>
      <x:c r="C958" s="16" t="str">
        <x:v>– Carport corner fencing post. Paint deterioration.</x:v>
      </x:c>
      <x:c r="D958" s="16" t="str">
        <x:v>Fencing posts</x:v>
      </x:c>
      <x:c r="E958" s="16" t="str">
        <x:v>SRC-056</x:v>
      </x:c>
      <x:c r="F958" s="16" t="str">
        <x:v>OBS-0156</x:v>
      </x:c>
      <x:c r="G958" s="16" t="str">
        <x:v>正式报告</x:v>
      </x:c>
      <x:c r="H958" s="19" t="n">
        <x:v>3</x:v>
      </x:c>
      <x:c r="I958" s="19" t="n">
        <x:v>7</x:v>
      </x:c>
      <x:c r="J958" s="19" t="n">
        <x:v>1</x:v>
      </x:c>
      <x:c r="K958" s="16" t="str">
        <x:v>5. Major deterioration</x:v>
      </x:c>
      <x:c r="L958" s="16" t="str">
        <x:v>Likely</x:v>
      </x:c>
      <x:c r="M958" s="16" t="str">
        <x:v>Moderate</x:v>
      </x:c>
      <x:c r="N958" s="16" t="str">
        <x:v>High</x:v>
      </x:c>
    </x:row>
    <x:row r="959" ht="37" customHeight="1">
      <x:c r="A959" s="16" t="str">
        <x:v>RAW-00953</x:v>
      </x:c>
      <x:c r="B959" s="16" t="str">
        <x:v>Recommendation</x:v>
      </x:c>
      <x:c r="C959" s="16" t="str">
        <x:v>– Clean and repaint.</x:v>
      </x:c>
      <x:c r="D959" s="16" t="str">
        <x:v>Fencing posts</x:v>
      </x:c>
      <x:c r="E959" s="16" t="str">
        <x:v>SRC-056</x:v>
      </x:c>
      <x:c r="F959" s="16" t="str">
        <x:v>REC-0006</x:v>
      </x:c>
      <x:c r="G959" s="16" t="str">
        <x:v>正式报告</x:v>
      </x:c>
      <x:c r="H959" s="19" t="n">
        <x:v>3</x:v>
      </x:c>
      <x:c r="I959" s="19" t="n">
        <x:v>7</x:v>
      </x:c>
      <x:c r="J959" s="19" t="n">
        <x:v>1</x:v>
      </x:c>
      <x:c r="K959" s="16" t="str">
        <x:v>5. Major deterioration</x:v>
      </x:c>
      <x:c r="L959" s="16" t="str">
        <x:v>Likely</x:v>
      </x:c>
      <x:c r="M959" s="16" t="str">
        <x:v>Moderate</x:v>
      </x:c>
      <x:c r="N959" s="16" t="str">
        <x:v>High</x:v>
      </x:c>
    </x:row>
    <x:row r="960" ht="37" customHeight="1">
      <x:c r="A960" s="16" t="str">
        <x:v>RAW-00954</x:v>
      </x:c>
      <x:c r="B960" s="16" t="str">
        <x:v>Observation</x:v>
      </x:c>
      <x:c r="C960" s="16" t="str">
        <x:v>– Severe corrosion and bitumen paint deterioration.</x:v>
      </x:c>
      <x:c r="D960" s="16" t="str">
        <x:v>Fencing posts</x:v>
      </x:c>
      <x:c r="E960" s="16" t="str">
        <x:v>SRC-056</x:v>
      </x:c>
      <x:c r="F960" s="16" t="str">
        <x:v>OBS-0557</x:v>
      </x:c>
      <x:c r="G960" s="16" t="str">
        <x:v>正式报告</x:v>
      </x:c>
      <x:c r="H960" s="19" t="n">
        <x:v>3</x:v>
      </x:c>
      <x:c r="I960" s="19" t="n">
        <x:v>8</x:v>
      </x:c>
      <x:c r="J960" s="19" t="n">
        <x:v>3</x:v>
      </x:c>
      <x:c r="K960" s="16" t="str">
        <x:v>5. Major deterioration</x:v>
      </x:c>
      <x:c r="L960" s="16" t="str">
        <x:v>Likely</x:v>
      </x:c>
      <x:c r="M960" s="16" t="str">
        <x:v>Moderate</x:v>
      </x:c>
      <x:c r="N960" s="16" t="str">
        <x:v>High</x:v>
      </x:c>
    </x:row>
    <x:row r="961" ht="41" customHeight="1">
      <x:c r="A961" s="16" t="str">
        <x:v>RAW-00955</x:v>
      </x:c>
      <x:c r="B961" s="16" t="str">
        <x:v>Recommendation</x:v>
      </x:c>
      <x:c r="C961" s="16" t="str">
        <x:v>– Clean, wire brush and repaint. Excavate and expose fencing posts and investigate the condition. Undertake appropriate repair stated within Section 3.</x:v>
      </x:c>
      <x:c r="D961" s="16" t="str">
        <x:v>Fencing posts</x:v>
      </x:c>
      <x:c r="E961" s="16" t="str">
        <x:v>SRC-056</x:v>
      </x:c>
      <x:c r="F961" s="16" t="str">
        <x:v>REC-0079</x:v>
      </x:c>
      <x:c r="G961" s="16" t="str">
        <x:v>正式报告</x:v>
      </x:c>
      <x:c r="H961" s="19" t="n">
        <x:v>3</x:v>
      </x:c>
      <x:c r="I961" s="19" t="n">
        <x:v>8</x:v>
      </x:c>
      <x:c r="J961" s="19" t="n">
        <x:v>3</x:v>
      </x:c>
      <x:c r="K961" s="16" t="str">
        <x:v>5. Major deterioration</x:v>
      </x:c>
      <x:c r="L961" s="16" t="str">
        <x:v>Likely</x:v>
      </x:c>
      <x:c r="M961" s="16" t="str">
        <x:v>Moderate</x:v>
      </x:c>
      <x:c r="N961" s="16" t="str">
        <x:v>High</x:v>
      </x:c>
    </x:row>
    <x:row r="962" ht="37" customHeight="1">
      <x:c r="A962" s="16" t="str">
        <x:v>RAW-00956</x:v>
      </x:c>
      <x:c r="B962" s="16" t="str">
        <x:v>Recommendation</x:v>
      </x:c>
      <x:c r="C962" s="16" t="str">
        <x:v>– Clean, wire brush and repaint corroded areas.</x:v>
      </x:c>
      <x:c r="D962" s="16" t="str">
        <x:v>Columns</x:v>
      </x:c>
      <x:c r="E962" s="16" t="str">
        <x:v>SRC-056</x:v>
      </x:c>
      <x:c r="F962" s="16" t="str">
        <x:v>REC-0005</x:v>
      </x:c>
      <x:c r="G962" s="16" t="str">
        <x:v>正式报告</x:v>
      </x:c>
      <x:c r="H962" s="19" t="n">
        <x:v>4</x:v>
      </x:c>
      <x:c r="I962" s="19" t="n">
        <x:v>6</x:v>
      </x:c>
      <x:c r="J962" s="19" t="n">
        <x:v>3</x:v>
      </x:c>
      <x:c r="K962" s="16" t="str">
        <x:v>3. Minor deterioration</x:v>
      </x:c>
      <x:c r="L962" s="16" t="str">
        <x:v>Unlikely</x:v>
      </x:c>
      <x:c r="M962" s="16" t="str">
        <x:v>Significant</x:v>
      </x:c>
      <x:c r="N962" s="16" t="str">
        <x:v>Moderate</x:v>
      </x:c>
    </x:row>
    <x:row r="963" ht="41" customHeight="1">
      <x:c r="A963" s="16" t="str">
        <x:v>RAW-00957</x:v>
      </x:c>
      <x:c r="B963" s="16" t="str">
        <x:v>Observation</x:v>
      </x:c>
      <x:c r="C963" s="16" t="str">
        <x:v>– Back verandah column with tap attached. Column is more likely to corrode due to the direct flow of water from tap.</x:v>
      </x:c>
      <x:c r="D963" s="16" t="str">
        <x:v>Columns</x:v>
      </x:c>
      <x:c r="E963" s="16" t="str">
        <x:v>SRC-056</x:v>
      </x:c>
      <x:c r="F963" s="16" t="str">
        <x:v>OBS-0110</x:v>
      </x:c>
      <x:c r="G963" s="16" t="str">
        <x:v>正式报告</x:v>
      </x:c>
      <x:c r="H963" s="19" t="n">
        <x:v>4</x:v>
      </x:c>
      <x:c r="I963" s="19" t="n">
        <x:v>9</x:v>
      </x:c>
      <x:c r="J963" s="19" t="n">
        <x:v>3</x:v>
      </x:c>
      <x:c r="K963" s="16" t="str">
        <x:v>3. Minor deterioration</x:v>
      </x:c>
      <x:c r="L963" s="16" t="str">
        <x:v>Unlikely</x:v>
      </x:c>
      <x:c r="M963" s="16" t="str">
        <x:v>Significant</x:v>
      </x:c>
      <x:c r="N963" s="16" t="str">
        <x:v>Moderate</x:v>
      </x:c>
    </x:row>
    <x:row r="964" ht="37" customHeight="1">
      <x:c r="A964" s="16" t="str">
        <x:v>RAW-00958</x:v>
      </x:c>
      <x:c r="B964" s="16" t="str">
        <x:v>Recommendation</x:v>
      </x:c>
      <x:c r="C964" s="16" t="str">
        <x:v>– Clean, wire brush and repaint corroded areas.</x:v>
      </x:c>
      <x:c r="D964" s="16" t="str">
        <x:v>Columns</x:v>
      </x:c>
      <x:c r="E964" s="16" t="str">
        <x:v>SRC-056</x:v>
      </x:c>
      <x:c r="F964" s="16" t="str">
        <x:v>REC-0005</x:v>
      </x:c>
      <x:c r="G964" s="16" t="str">
        <x:v>正式报告</x:v>
      </x:c>
      <x:c r="H964" s="19" t="n">
        <x:v>4</x:v>
      </x:c>
      <x:c r="I964" s="19" t="n">
        <x:v>9</x:v>
      </x:c>
      <x:c r="J964" s="19" t="n">
        <x:v>3</x:v>
      </x:c>
      <x:c r="K964" s="16" t="str">
        <x:v>3. Minor deterioration</x:v>
      </x:c>
      <x:c r="L964" s="16" t="str">
        <x:v>Unlikely</x:v>
      </x:c>
      <x:c r="M964" s="16" t="str">
        <x:v>Significant</x:v>
      </x:c>
      <x:c r="N964" s="16" t="str">
        <x:v>Moderate</x:v>
      </x:c>
    </x:row>
    <x:row r="965" ht="41" customHeight="1">
      <x:c r="A965" s="16" t="str">
        <x:v>RAW-00959</x:v>
      </x:c>
      <x:c r="B965" s="16" t="str">
        <x:v>Observation</x:v>
      </x:c>
      <x:c r="C965" s="16" t="str">
        <x:v>– Front verandah.
– Front verandah. Staining on verandah beam.</x:v>
      </x:c>
      <x:c r="D965" s="16" t="str">
        <x:v>Rafters and purlins</x:v>
      </x:c>
      <x:c r="E965" s="16" t="str">
        <x:v>SRC-056</x:v>
      </x:c>
      <x:c r="F965" s="16" t="str">
        <x:v>OBS-0303</x:v>
      </x:c>
      <x:c r="G965" s="16" t="str">
        <x:v>正式报告</x:v>
      </x:c>
      <x:c r="H965" s="19" t="n">
        <x:v>5</x:v>
      </x:c>
      <x:c r="I965" s="19" t="n">
        <x:v>6</x:v>
      </x:c>
      <x:c r="J965" s="19" t="n">
        <x:v>2</x:v>
      </x:c>
      <x:c r="K965" s="16" t="str">
        <x:v>2. New with slight deterioration</x:v>
      </x:c>
      <x:c r="L965" s="16" t="str">
        <x:v>Very unlikely</x:v>
      </x:c>
      <x:c r="M965" s="16" t="str">
        <x:v>Significant</x:v>
      </x:c>
      <x:c r="N965" s="16" t="str">
        <x:v>Low</x:v>
      </x:c>
    </x:row>
    <x:row r="966" ht="37" customHeight="1">
      <x:c r="A966" s="16" t="str">
        <x:v>RAW-00960</x:v>
      </x:c>
      <x:c r="B966" s="16" t="str">
        <x:v>Observation</x:v>
      </x:c>
      <x:c r="C966" s="16" t="str">
        <x:v>– Salt staining on rafters and purlins supporting roof overhang.</x:v>
      </x:c>
      <x:c r="D966" s="16" t="str">
        <x:v>Rafters and purlins</x:v>
      </x:c>
      <x:c r="E966" s="16" t="str">
        <x:v>SRC-056</x:v>
      </x:c>
      <x:c r="F966" s="16" t="str">
        <x:v>OBS-0006</x:v>
      </x:c>
      <x:c r="G966" s="16" t="str">
        <x:v>正式报告</x:v>
      </x:c>
      <x:c r="H966" s="19" t="n">
        <x:v>5</x:v>
      </x:c>
      <x:c r="I966" s="19" t="n">
        <x:v>8</x:v>
      </x:c>
      <x:c r="J966" s="19" t="n">
        <x:v>2</x:v>
      </x:c>
      <x:c r="K966" s="16" t="str">
        <x:v>2. New with slight deterioration</x:v>
      </x:c>
      <x:c r="L966" s="16" t="str">
        <x:v>Very unlikely</x:v>
      </x:c>
      <x:c r="M966" s="16" t="str">
        <x:v>Significant</x:v>
      </x:c>
      <x:c r="N966" s="16" t="str">
        <x:v>Low</x:v>
      </x:c>
    </x:row>
    <x:row r="967" ht="37" customHeight="1">
      <x:c r="A967" s="16" t="str">
        <x:v>RAW-00961</x:v>
      </x:c>
      <x:c r="B967" s="16" t="str">
        <x:v>Recommendation</x:v>
      </x:c>
      <x:c r="C967" s="16" t="str">
        <x:v>– Clean off salt staining.</x:v>
      </x:c>
      <x:c r="D967" s="16" t="str">
        <x:v>Rafters and purlins</x:v>
      </x:c>
      <x:c r="E967" s="16" t="str">
        <x:v>SRC-056</x:v>
      </x:c>
      <x:c r="F967" s="16" t="str">
        <x:v>REC-0008</x:v>
      </x:c>
      <x:c r="G967" s="16" t="str">
        <x:v>正式报告</x:v>
      </x:c>
      <x:c r="H967" s="19" t="n">
        <x:v>5</x:v>
      </x:c>
      <x:c r="I967" s="19" t="n">
        <x:v>8</x:v>
      </x:c>
      <x:c r="J967" s="19" t="n">
        <x:v>2</x:v>
      </x:c>
      <x:c r="K967" s="16" t="str">
        <x:v>2. New with slight deterioration</x:v>
      </x:c>
      <x:c r="L967" s="16" t="str">
        <x:v>Very unlikely</x:v>
      </x:c>
      <x:c r="M967" s="16" t="str">
        <x:v>Significant</x:v>
      </x:c>
      <x:c r="N967" s="16" t="str">
        <x:v>Low</x:v>
      </x:c>
    </x:row>
    <x:row r="968" ht="37" customHeight="1">
      <x:c r="A968" s="16" t="str">
        <x:v>RAW-00962</x:v>
      </x:c>
      <x:c r="B968" s="16" t="str">
        <x:v>Observation</x:v>
      </x:c>
      <x:c r="C968" s="16" t="str">
        <x:v>– Front of property. Cladding and framing in good condition.</x:v>
      </x:c>
      <x:c r="D968" s="16" t="str">
        <x:v>Cladding and framing</x:v>
      </x:c>
      <x:c r="E968" s="16" t="str">
        <x:v>SRC-056</x:v>
      </x:c>
      <x:c r="F968" s="16" t="str">
        <x:v>OBS-0004</x:v>
      </x:c>
      <x:c r="G968" s="16" t="str">
        <x:v>正式报告</x:v>
      </x:c>
      <x:c r="H968" s="19" t="n">
        <x:v>6</x:v>
      </x:c>
      <x:c r="I968" s="19" t="n">
        <x:v>6</x:v>
      </x:c>
      <x:c r="J968" s="19" t="n">
        <x:v>1</x:v>
      </x:c>
      <x:c r="K968" s="16" t="str">
        <x:v>3. Minor deterioration</x:v>
      </x:c>
      <x:c r="L968" s="16" t="str">
        <x:v>Unlikely</x:v>
      </x:c>
      <x:c r="M968" s="16" t="str">
        <x:v>Negligible</x:v>
      </x:c>
      <x:c r="N968" s="16" t="str">
        <x:v>Low</x:v>
      </x:c>
    </x:row>
    <x:row r="969" ht="37" customHeight="1">
      <x:c r="A969" s="16" t="str">
        <x:v>RAW-00963</x:v>
      </x:c>
      <x:c r="B969" s="16" t="str">
        <x:v>Observation</x:v>
      </x:c>
      <x:c r="C969" s="16" t="str">
        <x:v>– Left hand side of property facing front entrance. Corrosion around outlet pipe.</x:v>
      </x:c>
      <x:c r="D969" s="16" t="str">
        <x:v>Cladding and framing</x:v>
      </x:c>
      <x:c r="E969" s="16" t="str">
        <x:v>SRC-056</x:v>
      </x:c>
      <x:c r="F969" s="16" t="str">
        <x:v>OBS-0355</x:v>
      </x:c>
      <x:c r="G969" s="16" t="str">
        <x:v>正式报告</x:v>
      </x:c>
      <x:c r="H969" s="19" t="n">
        <x:v>6</x:v>
      </x:c>
      <x:c r="I969" s="19" t="n">
        <x:v>7</x:v>
      </x:c>
      <x:c r="J969" s="19" t="n">
        <x:v>2</x:v>
      </x:c>
      <x:c r="K969" s="16" t="str">
        <x:v>3. Minor deterioration</x:v>
      </x:c>
      <x:c r="L969" s="16" t="str">
        <x:v>Unlikely</x:v>
      </x:c>
      <x:c r="M969" s="16" t="str">
        <x:v>Negligible</x:v>
      </x:c>
      <x:c r="N969" s="16" t="str">
        <x:v>Low</x:v>
      </x:c>
    </x:row>
    <x:row r="970" ht="37" customHeight="1">
      <x:c r="A970" s="16" t="str">
        <x:v>RAW-00964</x:v>
      </x:c>
      <x:c r="B970" s="16" t="str">
        <x:v>Recommendation</x:v>
      </x:c>
      <x:c r="C970" s="16" t="str">
        <x:v>– Clean, wire brush and repaint corroded areas.</x:v>
      </x:c>
      <x:c r="D970" s="16" t="str">
        <x:v>Cladding and framing</x:v>
      </x:c>
      <x:c r="E970" s="16" t="str">
        <x:v>SRC-056</x:v>
      </x:c>
      <x:c r="F970" s="16" t="str">
        <x:v>REC-0005</x:v>
      </x:c>
      <x:c r="G970" s="16" t="str">
        <x:v>正式报告</x:v>
      </x:c>
      <x:c r="H970" s="19" t="n">
        <x:v>6</x:v>
      </x:c>
      <x:c r="I970" s="19" t="n">
        <x:v>7</x:v>
      </x:c>
      <x:c r="J970" s="19" t="n">
        <x:v>2</x:v>
      </x:c>
      <x:c r="K970" s="16" t="str">
        <x:v>3. Minor deterioration</x:v>
      </x:c>
      <x:c r="L970" s="16" t="str">
        <x:v>Unlikely</x:v>
      </x:c>
      <x:c r="M970" s="16" t="str">
        <x:v>Negligible</x:v>
      </x:c>
      <x:c r="N970" s="16" t="str">
        <x:v>Low</x:v>
      </x:c>
    </x:row>
    <x:row r="971" ht="37" customHeight="1">
      <x:c r="A971" s="16" t="str">
        <x:v>RAW-00965</x:v>
      </x:c>
      <x:c r="B971" s="16" t="str">
        <x:v>Observation</x:v>
      </x:c>
      <x:c r="C971" s="16" t="str">
        <x:v>– Overview of backyard verandah.</x:v>
      </x:c>
      <x:c r="D971" s="16" t="str">
        <x:v>Verandah tie downs and joists</x:v>
      </x:c>
      <x:c r="E971" s="16" t="str">
        <x:v>SRC-057</x:v>
      </x:c>
      <x:c r="F971" s="16" t="str">
        <x:v>OBS-0071</x:v>
      </x:c>
      <x:c r="G971" s="16" t="str">
        <x:v>正式报告</x:v>
      </x:c>
      <x:c r="H971" s="19" t="n">
        <x:v>3</x:v>
      </x:c>
      <x:c r="I971" s="19" t="n">
        <x:v>6</x:v>
      </x:c>
      <x:c r="J971" s="19" t="n">
        <x:v>1</x:v>
      </x:c>
      <x:c r="K971" s="16" t="str">
        <x:v>6. Severe deterioration</x:v>
      </x:c>
      <x:c r="L971" s="16" t="str">
        <x:v>Very likely</x:v>
      </x:c>
      <x:c r="M971" s="16" t="str">
        <x:v>Significant</x:v>
      </x:c>
      <x:c r="N971" s="16" t="str">
        <x:v>Urgent</x:v>
      </x:c>
    </x:row>
    <x:row r="972" ht="37" customHeight="1">
      <x:c r="A972" s="16" t="str">
        <x:v>RAW-00966</x:v>
      </x:c>
      <x:c r="B972" s="16" t="str">
        <x:v>Observation</x:v>
      </x:c>
      <x:c r="C972" s="16" t="str">
        <x:v>– All tie downs are corroded.</x:v>
      </x:c>
      <x:c r="D972" s="16" t="str">
        <x:v>Verandah tie downs and joists</x:v>
      </x:c>
      <x:c r="E972" s="16" t="str">
        <x:v>SRC-057</x:v>
      </x:c>
      <x:c r="F972" s="16" t="str">
        <x:v>OBS-0095</x:v>
      </x:c>
      <x:c r="G972" s="16" t="str">
        <x:v>正式报告</x:v>
      </x:c>
      <x:c r="H972" s="19" t="n">
        <x:v>3</x:v>
      </x:c>
      <x:c r="I972" s="19" t="n">
        <x:v>7</x:v>
      </x:c>
      <x:c r="J972" s="19" t="n">
        <x:v>1</x:v>
      </x:c>
      <x:c r="K972" s="16" t="str">
        <x:v>6. Severe deterioration</x:v>
      </x:c>
      <x:c r="L972" s="16" t="str">
        <x:v>Very likely</x:v>
      </x:c>
      <x:c r="M972" s="16" t="str">
        <x:v>Significant</x:v>
      </x:c>
      <x:c r="N972" s="16" t="str">
        <x:v>Urgent</x:v>
      </x:c>
    </x:row>
    <x:row r="973" ht="37" customHeight="1">
      <x:c r="A973" s="16" t="str">
        <x:v>RAW-00967</x:v>
      </x:c>
      <x:c r="B973" s="16" t="str">
        <x:v>Recommendation</x:v>
      </x:c>
      <x:c r="C973" s="16" t="str">
        <x:v>– Replace all corroded tie downs.</x:v>
      </x:c>
      <x:c r="D973" s="16" t="str">
        <x:v>Verandah tie downs and joists</x:v>
      </x:c>
      <x:c r="E973" s="16" t="str">
        <x:v>SRC-057</x:v>
      </x:c>
      <x:c r="F973" s="16" t="str">
        <x:v>REC-0140</x:v>
      </x:c>
      <x:c r="G973" s="16" t="str">
        <x:v>正式报告</x:v>
      </x:c>
      <x:c r="H973" s="19" t="n">
        <x:v>3</x:v>
      </x:c>
      <x:c r="I973" s="19" t="n">
        <x:v>7</x:v>
      </x:c>
      <x:c r="J973" s="19" t="n">
        <x:v>1</x:v>
      </x:c>
      <x:c r="K973" s="16" t="str">
        <x:v>6. Severe deterioration</x:v>
      </x:c>
      <x:c r="L973" s="16" t="str">
        <x:v>Very likely</x:v>
      </x:c>
      <x:c r="M973" s="16" t="str">
        <x:v>Significant</x:v>
      </x:c>
      <x:c r="N973" s="16" t="str">
        <x:v>Urgent</x:v>
      </x:c>
    </x:row>
    <x:row r="974" ht="37" customHeight="1">
      <x:c r="A974" s="16" t="str">
        <x:v>RAW-00968</x:v>
      </x:c>
      <x:c r="B974" s="16" t="str">
        <x:v>Observation</x:v>
      </x:c>
      <x:c r="C974" s="16" t="str">
        <x:v>– Timber splitting.</x:v>
      </x:c>
      <x:c r="D974" s="16" t="str">
        <x:v>Verandah tie downs and joists</x:v>
      </x:c>
      <x:c r="E974" s="16" t="str">
        <x:v>SRC-057</x:v>
      </x:c>
      <x:c r="F974" s="16" t="str">
        <x:v>OBS-0598</x:v>
      </x:c>
      <x:c r="G974" s="16" t="str">
        <x:v>正式报告</x:v>
      </x:c>
      <x:c r="H974" s="19" t="n">
        <x:v>3</x:v>
      </x:c>
      <x:c r="I974" s="19" t="n">
        <x:v>8</x:v>
      </x:c>
      <x:c r="J974" s="19" t="n">
        <x:v>2</x:v>
      </x:c>
      <x:c r="K974" s="16" t="str">
        <x:v>6. Severe deterioration</x:v>
      </x:c>
      <x:c r="L974" s="16" t="str">
        <x:v>Very likely</x:v>
      </x:c>
      <x:c r="M974" s="16" t="str">
        <x:v>Significant</x:v>
      </x:c>
      <x:c r="N974" s="16" t="str">
        <x:v>Urgent</x:v>
      </x:c>
    </x:row>
    <x:row r="975" ht="41" customHeight="1">
      <x:c r="A975" s="16" t="str">
        <x:v>RAW-00969</x:v>
      </x:c>
      <x:c r="B975" s="16" t="str">
        <x:v>Recommendation</x:v>
      </x:c>
      <x:c r="C975" s="16" t="str">
        <x:v>– Investigate splitting timber beam by removing any weak sections of timber. If majority of section is lost, full beam replacement is required.</x:v>
      </x:c>
      <x:c r="D975" s="16" t="str">
        <x:v>Verandah tie downs and joists</x:v>
      </x:c>
      <x:c r="E975" s="16" t="str">
        <x:v>SRC-057</x:v>
      </x:c>
      <x:c r="F975" s="16" t="str">
        <x:v>REC-0105</x:v>
      </x:c>
      <x:c r="G975" s="16" t="str">
        <x:v>正式报告</x:v>
      </x:c>
      <x:c r="H975" s="19" t="n">
        <x:v>3</x:v>
      </x:c>
      <x:c r="I975" s="19" t="n">
        <x:v>8</x:v>
      </x:c>
      <x:c r="J975" s="19" t="n">
        <x:v>2</x:v>
      </x:c>
      <x:c r="K975" s="16" t="str">
        <x:v>6. Severe deterioration</x:v>
      </x:c>
      <x:c r="L975" s="16" t="str">
        <x:v>Very likely</x:v>
      </x:c>
      <x:c r="M975" s="16" t="str">
        <x:v>Significant</x:v>
      </x:c>
      <x:c r="N975" s="16" t="str">
        <x:v>Urgent</x:v>
      </x:c>
    </x:row>
    <x:row r="976" ht="37" customHeight="1">
      <x:c r="A976" s="16" t="str">
        <x:v>RAW-00970</x:v>
      </x:c>
      <x:c r="B976" s="16" t="str">
        <x:v>Observation</x:v>
      </x:c>
      <x:c r="C976" s="16" t="str">
        <x:v>– Overview of front verandah. Delamination and severe loss of section.</x:v>
      </x:c>
      <x:c r="D976" s="16" t="str">
        <x:v>Front verandah beams</x:v>
      </x:c>
      <x:c r="E976" s="16" t="str">
        <x:v>SRC-057</x:v>
      </x:c>
      <x:c r="F976" s="16" t="str">
        <x:v>OBS-0430</x:v>
      </x:c>
      <x:c r="G976" s="16" t="str">
        <x:v>正式报告</x:v>
      </x:c>
      <x:c r="H976" s="19" t="n">
        <x:v>4</x:v>
      </x:c>
      <x:c r="I976" s="19" t="n">
        <x:v>6</x:v>
      </x:c>
      <x:c r="J976" s="19" t="n">
        <x:v>3</x:v>
      </x:c>
      <x:c r="K976" s="16" t="str">
        <x:v>6. Severe deterioration</x:v>
      </x:c>
      <x:c r="L976" s="16" t="str">
        <x:v>Very likely</x:v>
      </x:c>
      <x:c r="M976" s="16" t="str">
        <x:v>Significant</x:v>
      </x:c>
      <x:c r="N976" s="16" t="str">
        <x:v>Urgent</x:v>
      </x:c>
    </x:row>
    <x:row r="977" ht="37" customHeight="1">
      <x:c r="A977" s="16" t="str">
        <x:v>RAW-00971</x:v>
      </x:c>
      <x:c r="B977" s="16" t="str">
        <x:v>Recommendation</x:v>
      </x:c>
      <x:c r="C977" s="16" t="str">
        <x:v>– Clean, wire brush and repaint.</x:v>
      </x:c>
      <x:c r="D977" s="16" t="str">
        <x:v>Front verandah beams</x:v>
      </x:c>
      <x:c r="E977" s="16" t="str">
        <x:v>SRC-057</x:v>
      </x:c>
      <x:c r="F977" s="16" t="str">
        <x:v>REC-0001</x:v>
      </x:c>
      <x:c r="G977" s="16" t="str">
        <x:v>正式报告</x:v>
      </x:c>
      <x:c r="H977" s="19" t="n">
        <x:v>4</x:v>
      </x:c>
      <x:c r="I977" s="19" t="n">
        <x:v>6</x:v>
      </x:c>
      <x:c r="J977" s="19" t="n">
        <x:v>3</x:v>
      </x:c>
      <x:c r="K977" s="16" t="str">
        <x:v>6. Severe deterioration</x:v>
      </x:c>
      <x:c r="L977" s="16" t="str">
        <x:v>Very likely</x:v>
      </x:c>
      <x:c r="M977" s="16" t="str">
        <x:v>Significant</x:v>
      </x:c>
      <x:c r="N977" s="16" t="str">
        <x:v>Urgent</x:v>
      </x:c>
    </x:row>
    <x:row r="978" ht="37" customHeight="1">
      <x:c r="A978" s="16" t="str">
        <x:v>RAW-00972</x:v>
      </x:c>
      <x:c r="B978" s="16" t="str">
        <x:v>Observation</x:v>
      </x:c>
      <x:c r="C978" s="16" t="str">
        <x:v>– Right hand side of property facing entrance. Delamination of column due to corrosion.</x:v>
      </x:c>
      <x:c r="D978" s="16" t="str">
        <x:v>Internal column</x:v>
      </x:c>
      <x:c r="E978" s="16" t="str">
        <x:v>SRC-057</x:v>
      </x:c>
      <x:c r="F978" s="16" t="str">
        <x:v>OBS-0501</x:v>
      </x:c>
      <x:c r="G978" s="16" t="str">
        <x:v>正式报告</x:v>
      </x:c>
      <x:c r="H978" s="19" t="n">
        <x:v>5</x:v>
      </x:c>
      <x:c r="I978" s="19" t="n">
        <x:v>6</x:v>
      </x:c>
      <x:c r="J978" s="19" t="n">
        <x:v>2</x:v>
      </x:c>
      <x:c r="K978" s="16" t="str">
        <x:v>5. Major deterioration</x:v>
      </x:c>
      <x:c r="L978" s="16" t="str">
        <x:v>Likely</x:v>
      </x:c>
      <x:c r="M978" s="16" t="str">
        <x:v>Moderate</x:v>
      </x:c>
      <x:c r="N978" s="16" t="str">
        <x:v>High</x:v>
      </x:c>
    </x:row>
    <x:row r="979" ht="37" customHeight="1">
      <x:c r="A979" s="16" t="str">
        <x:v>RAW-00973</x:v>
      </x:c>
      <x:c r="B979" s="16" t="str">
        <x:v>Recommendation</x:v>
      </x:c>
      <x:c r="C979" s="16" t="str">
        <x:v>– Clean, wire brush and repaint.</x:v>
      </x:c>
      <x:c r="D979" s="16" t="str">
        <x:v>Internal column</x:v>
      </x:c>
      <x:c r="E979" s="16" t="str">
        <x:v>SRC-057</x:v>
      </x:c>
      <x:c r="F979" s="16" t="str">
        <x:v>REC-0001</x:v>
      </x:c>
      <x:c r="G979" s="16" t="str">
        <x:v>正式报告</x:v>
      </x:c>
      <x:c r="H979" s="19" t="n">
        <x:v>5</x:v>
      </x:c>
      <x:c r="I979" s="19" t="n">
        <x:v>6</x:v>
      </x:c>
      <x:c r="J979" s="19" t="n">
        <x:v>2</x:v>
      </x:c>
      <x:c r="K979" s="16" t="str">
        <x:v>5. Major deterioration</x:v>
      </x:c>
      <x:c r="L979" s="16" t="str">
        <x:v>Likely</x:v>
      </x:c>
      <x:c r="M979" s="16" t="str">
        <x:v>Moderate</x:v>
      </x:c>
      <x:c r="N979" s="16" t="str">
        <x:v>High</x:v>
      </x:c>
    </x:row>
    <x:row r="980" ht="37" customHeight="1">
      <x:c r="A980" s="16" t="str">
        <x:v>RAW-00974</x:v>
      </x:c>
      <x:c r="B980" s="16" t="str">
        <x:v>Observation</x:v>
      </x:c>
      <x:c r="C980" s="16" t="str">
        <x:v>– Minor corrosion of verandah columns</x:v>
      </x:c>
      <x:c r="D980" s="16" t="str">
        <x:v>Columns</x:v>
      </x:c>
      <x:c r="E980" s="16" t="str">
        <x:v>SRC-057</x:v>
      </x:c>
      <x:c r="F980" s="16" t="str">
        <x:v>OBS-0026</x:v>
      </x:c>
      <x:c r="G980" s="16" t="str">
        <x:v>正式报告</x:v>
      </x:c>
      <x:c r="H980" s="19" t="n">
        <x:v>6</x:v>
      </x:c>
      <x:c r="I980" s="19" t="n">
        <x:v>6</x:v>
      </x:c>
      <x:c r="J980" s="19" t="n">
        <x:v>1</x:v>
      </x:c>
      <x:c r="K980" s="16" t="str">
        <x:v>3. Minor deterioration</x:v>
      </x:c>
      <x:c r="L980" s="16" t="str">
        <x:v>Unlikely</x:v>
      </x:c>
      <x:c r="M980" s="16" t="str">
        <x:v>Significant</x:v>
      </x:c>
      <x:c r="N980" s="16" t="str">
        <x:v>Moderate</x:v>
      </x:c>
    </x:row>
    <x:row r="981" ht="37" customHeight="1">
      <x:c r="A981" s="16" t="str">
        <x:v>RAW-00975</x:v>
      </x:c>
      <x:c r="B981" s="16" t="str">
        <x:v>Observation</x:v>
      </x:c>
      <x:c r="C981" s="16" t="str">
        <x:v>– Column 1 baseplate has blistering corrosion.</x:v>
      </x:c>
      <x:c r="D981" s="16" t="str">
        <x:v>Columns</x:v>
      </x:c>
      <x:c r="E981" s="16" t="str">
        <x:v>SRC-057</x:v>
      </x:c>
      <x:c r="F981" s="16" t="str">
        <x:v>OBS-0188</x:v>
      </x:c>
      <x:c r="G981" s="16" t="str">
        <x:v>正式报告</x:v>
      </x:c>
      <x:c r="H981" s="19" t="n">
        <x:v>6</x:v>
      </x:c>
      <x:c r="I981" s="19" t="n">
        <x:v>7</x:v>
      </x:c>
      <x:c r="J981" s="19" t="n">
        <x:v>1</x:v>
      </x:c>
      <x:c r="K981" s="16" t="str">
        <x:v>3. Minor deterioration</x:v>
      </x:c>
      <x:c r="L981" s="16" t="str">
        <x:v>Unlikely</x:v>
      </x:c>
      <x:c r="M981" s="16" t="str">
        <x:v>Significant</x:v>
      </x:c>
      <x:c r="N981" s="16" t="str">
        <x:v>Moderate</x:v>
      </x:c>
    </x:row>
    <x:row r="982" ht="37" customHeight="1">
      <x:c r="A982" s="16" t="str">
        <x:v>RAW-00976</x:v>
      </x:c>
      <x:c r="B982" s="16" t="str">
        <x:v>Recommendation</x:v>
      </x:c>
      <x:c r="C982" s="16" t="str">
        <x:v>– Clean, wire brush and repaint.</x:v>
      </x:c>
      <x:c r="D982" s="16" t="str">
        <x:v>Columns</x:v>
      </x:c>
      <x:c r="E982" s="16" t="str">
        <x:v>SRC-057</x:v>
      </x:c>
      <x:c r="F982" s="16" t="str">
        <x:v>REC-0001</x:v>
      </x:c>
      <x:c r="G982" s="16" t="str">
        <x:v>正式报告</x:v>
      </x:c>
      <x:c r="H982" s="19" t="n">
        <x:v>6</x:v>
      </x:c>
      <x:c r="I982" s="19" t="n">
        <x:v>7</x:v>
      </x:c>
      <x:c r="J982" s="19" t="n">
        <x:v>1</x:v>
      </x:c>
      <x:c r="K982" s="16" t="str">
        <x:v>3. Minor deterioration</x:v>
      </x:c>
      <x:c r="L982" s="16" t="str">
        <x:v>Unlikely</x:v>
      </x:c>
      <x:c r="M982" s="16" t="str">
        <x:v>Significant</x:v>
      </x:c>
      <x:c r="N982" s="16" t="str">
        <x:v>Moderate</x:v>
      </x:c>
    </x:row>
    <x:row r="983" ht="37" customHeight="1">
      <x:c r="A983" s="16" t="str">
        <x:v>RAW-00977</x:v>
      </x:c>
      <x:c r="B983" s="16" t="str">
        <x:v>Observation</x:v>
      </x:c>
      <x:c r="C983" s="16" t="str">
        <x:v>– Column 4 baseplate has blistering corrosion.</x:v>
      </x:c>
      <x:c r="D983" s="16" t="str">
        <x:v>Columns</x:v>
      </x:c>
      <x:c r="E983" s="16" t="str">
        <x:v>SRC-057</x:v>
      </x:c>
      <x:c r="F983" s="16" t="str">
        <x:v>OBS-0201</x:v>
      </x:c>
      <x:c r="G983" s="16" t="str">
        <x:v>正式报告</x:v>
      </x:c>
      <x:c r="H983" s="19" t="n">
        <x:v>6</x:v>
      </x:c>
      <x:c r="I983" s="19" t="n">
        <x:v>8</x:v>
      </x:c>
      <x:c r="J983" s="19" t="n">
        <x:v>1</x:v>
      </x:c>
      <x:c r="K983" s="16" t="str">
        <x:v>3. Minor deterioration</x:v>
      </x:c>
      <x:c r="L983" s="16" t="str">
        <x:v>Unlikely</x:v>
      </x:c>
      <x:c r="M983" s="16" t="str">
        <x:v>Significant</x:v>
      </x:c>
      <x:c r="N983" s="16" t="str">
        <x:v>Moderate</x:v>
      </x:c>
    </x:row>
    <x:row r="984" ht="37" customHeight="1">
      <x:c r="A984" s="16" t="str">
        <x:v>RAW-00978</x:v>
      </x:c>
      <x:c r="B984" s="16" t="str">
        <x:v>Recommendation</x:v>
      </x:c>
      <x:c r="C984" s="16" t="str">
        <x:v>– Clean, wire brush and repaint.</x:v>
      </x:c>
      <x:c r="D984" s="16" t="str">
        <x:v>Columns</x:v>
      </x:c>
      <x:c r="E984" s="16" t="str">
        <x:v>SRC-057</x:v>
      </x:c>
      <x:c r="F984" s="16" t="str">
        <x:v>REC-0001</x:v>
      </x:c>
      <x:c r="G984" s="16" t="str">
        <x:v>正式报告</x:v>
      </x:c>
      <x:c r="H984" s="19" t="n">
        <x:v>6</x:v>
      </x:c>
      <x:c r="I984" s="19" t="n">
        <x:v>8</x:v>
      </x:c>
      <x:c r="J984" s="19" t="n">
        <x:v>1</x:v>
      </x:c>
      <x:c r="K984" s="16" t="str">
        <x:v>3. Minor deterioration</x:v>
      </x:c>
      <x:c r="L984" s="16" t="str">
        <x:v>Unlikely</x:v>
      </x:c>
      <x:c r="M984" s="16" t="str">
        <x:v>Significant</x:v>
      </x:c>
      <x:c r="N984" s="16" t="str">
        <x:v>Moderate</x:v>
      </x:c>
    </x:row>
    <x:row r="985" ht="37" customHeight="1">
      <x:c r="A985" s="16" t="str">
        <x:v>RAW-00979</x:v>
      </x:c>
      <x:c r="B985" s="16" t="str">
        <x:v>Observation</x:v>
      </x:c>
      <x:c r="C985" s="16" t="str">
        <x:v>– Minor corrosion of verandah columns.</x:v>
      </x:c>
      <x:c r="D985" s="16" t="str">
        <x:v>Columns</x:v>
      </x:c>
      <x:c r="E985" s="16" t="str">
        <x:v>SRC-057</x:v>
      </x:c>
      <x:c r="F985" s="16" t="str">
        <x:v>OBS-0026</x:v>
      </x:c>
      <x:c r="G985" s="16" t="str">
        <x:v>正式报告</x:v>
      </x:c>
      <x:c r="H985" s="19" t="n">
        <x:v>6</x:v>
      </x:c>
      <x:c r="I985" s="19" t="n">
        <x:v>9</x:v>
      </x:c>
      <x:c r="J985" s="19" t="n">
        <x:v>1</x:v>
      </x:c>
      <x:c r="K985" s="16" t="str">
        <x:v>3. Minor deterioration</x:v>
      </x:c>
      <x:c r="L985" s="16" t="str">
        <x:v>Unlikely</x:v>
      </x:c>
      <x:c r="M985" s="16" t="str">
        <x:v>Significant</x:v>
      </x:c>
      <x:c r="N985" s="16" t="str">
        <x:v>Moderate</x:v>
      </x:c>
    </x:row>
    <x:row r="986" ht="37" customHeight="1">
      <x:c r="A986" s="16" t="str">
        <x:v>RAW-00980</x:v>
      </x:c>
      <x:c r="B986" s="16" t="str">
        <x:v>Recommendation</x:v>
      </x:c>
      <x:c r="C986" s="16" t="str">
        <x:v>– Clean, wire brush and repaint.</x:v>
      </x:c>
      <x:c r="D986" s="16" t="str">
        <x:v>Columns</x:v>
      </x:c>
      <x:c r="E986" s="16" t="str">
        <x:v>SRC-057</x:v>
      </x:c>
      <x:c r="F986" s="16" t="str">
        <x:v>REC-0001</x:v>
      </x:c>
      <x:c r="G986" s="16" t="str">
        <x:v>正式报告</x:v>
      </x:c>
      <x:c r="H986" s="19" t="n">
        <x:v>6</x:v>
      </x:c>
      <x:c r="I986" s="19" t="n">
        <x:v>9</x:v>
      </x:c>
      <x:c r="J986" s="19" t="n">
        <x:v>1</x:v>
      </x:c>
      <x:c r="K986" s="16" t="str">
        <x:v>3. Minor deterioration</x:v>
      </x:c>
      <x:c r="L986" s="16" t="str">
        <x:v>Unlikely</x:v>
      </x:c>
      <x:c r="M986" s="16" t="str">
        <x:v>Significant</x:v>
      </x:c>
      <x:c r="N986" s="16" t="str">
        <x:v>Moderate</x:v>
      </x:c>
    </x:row>
    <x:row r="987" ht="37" customHeight="1">
      <x:c r="A987" s="16" t="str">
        <x:v>RAW-00981</x:v>
      </x:c>
      <x:c r="B987" s="16" t="str">
        <x:v>Observation</x:v>
      </x:c>
      <x:c r="C987" s="16" t="str">
        <x:v>– Minor corrosion of verandah columns.</x:v>
      </x:c>
      <x:c r="D987" s="16" t="str">
        <x:v>Columns</x:v>
      </x:c>
      <x:c r="E987" s="16" t="str">
        <x:v>SRC-057</x:v>
      </x:c>
      <x:c r="F987" s="16" t="str">
        <x:v>OBS-0026</x:v>
      </x:c>
      <x:c r="G987" s="16" t="str">
        <x:v>正式报告</x:v>
      </x:c>
      <x:c r="H987" s="19" t="n">
        <x:v>6</x:v>
      </x:c>
      <x:c r="I987" s="19" t="n">
        <x:v>10</x:v>
      </x:c>
      <x:c r="J987" s="19" t="n">
        <x:v>1</x:v>
      </x:c>
      <x:c r="K987" s="16" t="str">
        <x:v>3. Minor deterioration</x:v>
      </x:c>
      <x:c r="L987" s="16" t="str">
        <x:v>Unlikely</x:v>
      </x:c>
      <x:c r="M987" s="16" t="str">
        <x:v>Significant</x:v>
      </x:c>
      <x:c r="N987" s="16" t="str">
        <x:v>Moderate</x:v>
      </x:c>
    </x:row>
    <x:row r="988" ht="37" customHeight="1">
      <x:c r="A988" s="16" t="str">
        <x:v>RAW-00982</x:v>
      </x:c>
      <x:c r="B988" s="16" t="str">
        <x:v>Recommendation</x:v>
      </x:c>
      <x:c r="C988" s="16" t="str">
        <x:v>– Clean, wire brush and repaint.</x:v>
      </x:c>
      <x:c r="D988" s="16" t="str">
        <x:v>Columns</x:v>
      </x:c>
      <x:c r="E988" s="16" t="str">
        <x:v>SRC-057</x:v>
      </x:c>
      <x:c r="F988" s="16" t="str">
        <x:v>REC-0001</x:v>
      </x:c>
      <x:c r="G988" s="16" t="str">
        <x:v>正式报告</x:v>
      </x:c>
      <x:c r="H988" s="19" t="n">
        <x:v>6</x:v>
      </x:c>
      <x:c r="I988" s="19" t="n">
        <x:v>10</x:v>
      </x:c>
      <x:c r="J988" s="19" t="n">
        <x:v>1</x:v>
      </x:c>
      <x:c r="K988" s="16" t="str">
        <x:v>3. Minor deterioration</x:v>
      </x:c>
      <x:c r="L988" s="16" t="str">
        <x:v>Unlikely</x:v>
      </x:c>
      <x:c r="M988" s="16" t="str">
        <x:v>Significant</x:v>
      </x:c>
      <x:c r="N988" s="16" t="str">
        <x:v>Moderate</x:v>
      </x:c>
    </x:row>
    <x:row r="989" ht="37" customHeight="1">
      <x:c r="A989" s="16" t="str">
        <x:v>RAW-00983</x:v>
      </x:c>
      <x:c r="B989" s="16" t="str">
        <x:v>Observation</x:v>
      </x:c>
      <x:c r="C989" s="16" t="str">
        <x:v>– Overview of backyard verandah.</x:v>
      </x:c>
      <x:c r="D989" s="16" t="str">
        <x:v>Columns</x:v>
      </x:c>
      <x:c r="E989" s="16" t="str">
        <x:v>SRC-057</x:v>
      </x:c>
      <x:c r="F989" s="16" t="str">
        <x:v>OBS-0071</x:v>
      </x:c>
      <x:c r="G989" s="16" t="str">
        <x:v>正式报告</x:v>
      </x:c>
      <x:c r="H989" s="19" t="n">
        <x:v>6</x:v>
      </x:c>
      <x:c r="I989" s="19" t="n">
        <x:v>11</x:v>
      </x:c>
      <x:c r="J989" s="19" t="n">
        <x:v>1</x:v>
      </x:c>
      <x:c r="K989" s="16" t="str">
        <x:v>3. Minor deterioration</x:v>
      </x:c>
      <x:c r="L989" s="16" t="str">
        <x:v>Unlikely</x:v>
      </x:c>
      <x:c r="M989" s="16" t="str">
        <x:v>Significant</x:v>
      </x:c>
      <x:c r="N989" s="16" t="str">
        <x:v>Moderate</x:v>
      </x:c>
    </x:row>
    <x:row r="990" ht="37" customHeight="1">
      <x:c r="A990" s="16" t="str">
        <x:v>RAW-00984</x:v>
      </x:c>
      <x:c r="B990" s="16" t="str">
        <x:v>Observation</x:v>
      </x:c>
      <x:c r="C990" s="16" t="str">
        <x:v>– Row 1 Column 2. Minor delamination at lower section of column.</x:v>
      </x:c>
      <x:c r="D990" s="16" t="str">
        <x:v>Columns</x:v>
      </x:c>
      <x:c r="E990" s="16" t="str">
        <x:v>SRC-057</x:v>
      </x:c>
      <x:c r="F990" s="16" t="str">
        <x:v>OBS-0525</x:v>
      </x:c>
      <x:c r="G990" s="16" t="str">
        <x:v>正式报告</x:v>
      </x:c>
      <x:c r="H990" s="19" t="n">
        <x:v>6</x:v>
      </x:c>
      <x:c r="I990" s="19" t="n">
        <x:v>12</x:v>
      </x:c>
      <x:c r="J990" s="19" t="n">
        <x:v>2</x:v>
      </x:c>
      <x:c r="K990" s="16" t="str">
        <x:v>3. Minor deterioration</x:v>
      </x:c>
      <x:c r="L990" s="16" t="str">
        <x:v>Unlikely</x:v>
      </x:c>
      <x:c r="M990" s="16" t="str">
        <x:v>Significant</x:v>
      </x:c>
      <x:c r="N990" s="16" t="str">
        <x:v>Moderate</x:v>
      </x:c>
    </x:row>
    <x:row r="991" ht="37" customHeight="1">
      <x:c r="A991" s="16" t="str">
        <x:v>RAW-00985</x:v>
      </x:c>
      <x:c r="B991" s="16" t="str">
        <x:v>Recommendation</x:v>
      </x:c>
      <x:c r="C991" s="16" t="str">
        <x:v>– Clean, wire brush and repaint.</x:v>
      </x:c>
      <x:c r="D991" s="16" t="str">
        <x:v>Columns</x:v>
      </x:c>
      <x:c r="E991" s="16" t="str">
        <x:v>SRC-057</x:v>
      </x:c>
      <x:c r="F991" s="16" t="str">
        <x:v>REC-0001</x:v>
      </x:c>
      <x:c r="G991" s="16" t="str">
        <x:v>正式报告</x:v>
      </x:c>
      <x:c r="H991" s="19" t="n">
        <x:v>6</x:v>
      </x:c>
      <x:c r="I991" s="19" t="n">
        <x:v>12</x:v>
      </x:c>
      <x:c r="J991" s="19" t="n">
        <x:v>2</x:v>
      </x:c>
      <x:c r="K991" s="16" t="str">
        <x:v>3. Minor deterioration</x:v>
      </x:c>
      <x:c r="L991" s="16" t="str">
        <x:v>Unlikely</x:v>
      </x:c>
      <x:c r="M991" s="16" t="str">
        <x:v>Significant</x:v>
      </x:c>
      <x:c r="N991" s="16" t="str">
        <x:v>Moderate</x:v>
      </x:c>
    </x:row>
    <x:row r="992" ht="37" customHeight="1">
      <x:c r="A992" s="16" t="str">
        <x:v>RAW-00986</x:v>
      </x:c>
      <x:c r="B992" s="16" t="str">
        <x:v>Observation</x:v>
      </x:c>
      <x:c r="C992" s="16" t="str">
        <x:v>– Row 2 Column 2. Hole in column.</x:v>
      </x:c>
      <x:c r="D992" s="16" t="str">
        <x:v>Columns</x:v>
      </x:c>
      <x:c r="E992" s="16" t="str">
        <x:v>SRC-057</x:v>
      </x:c>
      <x:c r="F992" s="16" t="str">
        <x:v>OBS-0528</x:v>
      </x:c>
      <x:c r="G992" s="16" t="str">
        <x:v>正式报告</x:v>
      </x:c>
      <x:c r="H992" s="19" t="n">
        <x:v>6</x:v>
      </x:c>
      <x:c r="I992" s="19" t="n">
        <x:v>14</x:v>
      </x:c>
      <x:c r="J992" s="19" t="n">
        <x:v>1</x:v>
      </x:c>
      <x:c r="K992" s="16" t="str">
        <x:v>3. Minor deterioration</x:v>
      </x:c>
      <x:c r="L992" s="16" t="str">
        <x:v>Unlikely</x:v>
      </x:c>
      <x:c r="M992" s="16" t="str">
        <x:v>Significant</x:v>
      </x:c>
      <x:c r="N992" s="16" t="str">
        <x:v>Moderate</x:v>
      </x:c>
    </x:row>
    <x:row r="993" ht="37" customHeight="1">
      <x:c r="A993" s="16" t="str">
        <x:v>RAW-00987</x:v>
      </x:c>
      <x:c r="B993" s="16" t="str">
        <x:v>Recommendation</x:v>
      </x:c>
      <x:c r="C993" s="16" t="str">
        <x:v>– Cover hole to prevent water ingress.</x:v>
      </x:c>
      <x:c r="D993" s="16" t="str">
        <x:v>Columns</x:v>
      </x:c>
      <x:c r="E993" s="16" t="str">
        <x:v>SRC-057</x:v>
      </x:c>
      <x:c r="F993" s="16" t="str">
        <x:v>REC-0085</x:v>
      </x:c>
      <x:c r="G993" s="16" t="str">
        <x:v>正式报告</x:v>
      </x:c>
      <x:c r="H993" s="19" t="n">
        <x:v>6</x:v>
      </x:c>
      <x:c r="I993" s="19" t="n">
        <x:v>14</x:v>
      </x:c>
      <x:c r="J993" s="19" t="n">
        <x:v>1</x:v>
      </x:c>
      <x:c r="K993" s="16" t="str">
        <x:v>3. Minor deterioration</x:v>
      </x:c>
      <x:c r="L993" s="16" t="str">
        <x:v>Unlikely</x:v>
      </x:c>
      <x:c r="M993" s="16" t="str">
        <x:v>Significant</x:v>
      </x:c>
      <x:c r="N993" s="16" t="str">
        <x:v>Moderate</x:v>
      </x:c>
    </x:row>
    <x:row r="994" ht="41" customHeight="1">
      <x:c r="A994" s="16" t="str">
        <x:v>RAW-00988</x:v>
      </x:c>
      <x:c r="B994" s="16" t="str">
        <x:v>Observation</x:v>
      </x:c>
      <x:c r="C994" s="16" t="str">
        <x:v>– Left hand side corner of property facing entrance. Diagonal crack through brickwork and mortar. Exposed masonry wall ties that have corroded.</x:v>
      </x:c>
      <x:c r="D994" s="16" t="str">
        <x:v>Brickwork and framing</x:v>
      </x:c>
      <x:c r="E994" s="16" t="str">
        <x:v>SRC-057</x:v>
      </x:c>
      <x:c r="F994" s="16" t="str">
        <x:v>OBS-0340</x:v>
      </x:c>
      <x:c r="G994" s="16" t="str">
        <x:v>正式报告</x:v>
      </x:c>
      <x:c r="H994" s="19" t="n">
        <x:v>7</x:v>
      </x:c>
      <x:c r="I994" s="19" t="n">
        <x:v>6</x:v>
      </x:c>
      <x:c r="J994" s="19" t="n">
        <x:v>3</x:v>
      </x:c>
      <x:c r="K994" s="16" t="str">
        <x:v>4. Moderate deterioration</x:v>
      </x:c>
      <x:c r="L994" s="16" t="str">
        <x:v>Possible</x:v>
      </x:c>
      <x:c r="M994" s="16" t="str">
        <x:v>Minor</x:v>
      </x:c>
      <x:c r="N994" s="16" t="str">
        <x:v>Moderate</x:v>
      </x:c>
    </x:row>
    <x:row r="995" ht="37" customHeight="1">
      <x:c r="A995" s="16" t="str">
        <x:v>RAW-00989</x:v>
      </x:c>
      <x:c r="B995" s="16" t="str">
        <x:v>Recommendation</x:v>
      </x:c>
      <x:c r="C995" s="16" t="str">
        <x:v>– Remove corroded wall ties and replace cracked bricks. Install Helifix.and fill up the cracks</x:v>
      </x:c>
      <x:c r="D995" s="16" t="str">
        <x:v>Brickwork and framing</x:v>
      </x:c>
      <x:c r="E995" s="16" t="str">
        <x:v>SRC-057</x:v>
      </x:c>
      <x:c r="F995" s="16" t="str">
        <x:v>REC-0127</x:v>
      </x:c>
      <x:c r="G995" s="16" t="str">
        <x:v>正式报告</x:v>
      </x:c>
      <x:c r="H995" s="19" t="n">
        <x:v>7</x:v>
      </x:c>
      <x:c r="I995" s="19" t="n">
        <x:v>6</x:v>
      </x:c>
      <x:c r="J995" s="19" t="n">
        <x:v>3</x:v>
      </x:c>
      <x:c r="K995" s="16" t="str">
        <x:v>4. Moderate deterioration</x:v>
      </x:c>
      <x:c r="L995" s="16" t="str">
        <x:v>Possible</x:v>
      </x:c>
      <x:c r="M995" s="16" t="str">
        <x:v>Minor</x:v>
      </x:c>
      <x:c r="N995" s="16" t="str">
        <x:v>Moderate</x:v>
      </x:c>
    </x:row>
    <x:row r="996" ht="37" customHeight="1">
      <x:c r="A996" s="16" t="str">
        <x:v>RAW-00990</x:v>
      </x:c>
      <x:c r="B996" s="16" t="str">
        <x:v>Observation</x:v>
      </x:c>
      <x:c r="C996" s="16" t="str">
        <x:v>– Back of property. Cracking above door.</x:v>
      </x:c>
      <x:c r="D996" s="16" t="str">
        <x:v>Brickwork and framing</x:v>
      </x:c>
      <x:c r="E996" s="16" t="str">
        <x:v>SRC-057</x:v>
      </x:c>
      <x:c r="F996" s="16" t="str">
        <x:v>OBS-0103</x:v>
      </x:c>
      <x:c r="G996" s="16" t="str">
        <x:v>正式报告</x:v>
      </x:c>
      <x:c r="H996" s="19" t="n">
        <x:v>7</x:v>
      </x:c>
      <x:c r="I996" s="19" t="n">
        <x:v>9</x:v>
      </x:c>
      <x:c r="J996" s="19" t="n">
        <x:v>1</x:v>
      </x:c>
      <x:c r="K996" s="16" t="str">
        <x:v>4. Moderate deterioration</x:v>
      </x:c>
      <x:c r="L996" s="16" t="str">
        <x:v>Possible</x:v>
      </x:c>
      <x:c r="M996" s="16" t="str">
        <x:v>Minor</x:v>
      </x:c>
      <x:c r="N996" s="16" t="str">
        <x:v>Moderate</x:v>
      </x:c>
    </x:row>
    <x:row r="997" ht="37" customHeight="1">
      <x:c r="A997" s="16" t="str">
        <x:v>RAW-00991</x:v>
      </x:c>
      <x:c r="B997" s="16" t="str">
        <x:v>Recommendation</x:v>
      </x:c>
      <x:c r="C997" s="16" t="str">
        <x:v>– Repoint mortar.</x:v>
      </x:c>
      <x:c r="D997" s="16" t="str">
        <x:v>Brickwork and framing</x:v>
      </x:c>
      <x:c r="E997" s="16" t="str">
        <x:v>SRC-057</x:v>
      </x:c>
      <x:c r="F997" s="16" t="str">
        <x:v>REC-0162</x:v>
      </x:c>
      <x:c r="G997" s="16" t="str">
        <x:v>正式报告</x:v>
      </x:c>
      <x:c r="H997" s="19" t="n">
        <x:v>7</x:v>
      </x:c>
      <x:c r="I997" s="19" t="n">
        <x:v>9</x:v>
      </x:c>
      <x:c r="J997" s="19" t="n">
        <x:v>1</x:v>
      </x:c>
      <x:c r="K997" s="16" t="str">
        <x:v>4. Moderate deterioration</x:v>
      </x:c>
      <x:c r="L997" s="16" t="str">
        <x:v>Possible</x:v>
      </x:c>
      <x:c r="M997" s="16" t="str">
        <x:v>Minor</x:v>
      </x:c>
      <x:c r="N997" s="16" t="str">
        <x:v>Moderate</x:v>
      </x:c>
    </x:row>
    <x:row r="998" ht="37" customHeight="1">
      <x:c r="A998" s="16" t="str">
        <x:v>RAW-00992</x:v>
      </x:c>
      <x:c r="B998" s="16" t="str">
        <x:v>Observation</x:v>
      </x:c>
      <x:c r="C998" s="16" t="str">
        <x:v>– Right hand side of property facing entrance. Corroded nail.</x:v>
      </x:c>
      <x:c r="D998" s="16" t="str">
        <x:v>Brickwork and framing</x:v>
      </x:c>
      <x:c r="E998" s="16" t="str">
        <x:v>SRC-057</x:v>
      </x:c>
      <x:c r="F998" s="16" t="str">
        <x:v>OBS-0500</x:v>
      </x:c>
      <x:c r="G998" s="16" t="str">
        <x:v>正式报告</x:v>
      </x:c>
      <x:c r="H998" s="19" t="n">
        <x:v>7</x:v>
      </x:c>
      <x:c r="I998" s="19" t="n">
        <x:v>10</x:v>
      </x:c>
      <x:c r="J998" s="19" t="n">
        <x:v>2</x:v>
      </x:c>
      <x:c r="K998" s="16" t="str">
        <x:v>4. Moderate deterioration</x:v>
      </x:c>
      <x:c r="L998" s="16" t="str">
        <x:v>Possible</x:v>
      </x:c>
      <x:c r="M998" s="16" t="str">
        <x:v>Minor</x:v>
      </x:c>
      <x:c r="N998" s="16" t="str">
        <x:v>Moderate</x:v>
      </x:c>
    </x:row>
    <x:row r="999" ht="37" customHeight="1">
      <x:c r="A999" s="16" t="str">
        <x:v>RAW-00993</x:v>
      </x:c>
      <x:c r="B999" s="16" t="str">
        <x:v>Recommendation</x:v>
      </x:c>
      <x:c r="C999" s="16" t="str">
        <x:v>– Remove nail and repoint.</x:v>
      </x:c>
      <x:c r="D999" s="16" t="str">
        <x:v>Brickwork and framing</x:v>
      </x:c>
      <x:c r="E999" s="16" t="str">
        <x:v>SRC-057</x:v>
      </x:c>
      <x:c r="F999" s="16" t="str">
        <x:v>REC-0131</x:v>
      </x:c>
      <x:c r="G999" s="16" t="str">
        <x:v>正式报告</x:v>
      </x:c>
      <x:c r="H999" s="19" t="n">
        <x:v>7</x:v>
      </x:c>
      <x:c r="I999" s="19" t="n">
        <x:v>10</x:v>
      </x:c>
      <x:c r="J999" s="19" t="n">
        <x:v>2</x:v>
      </x:c>
      <x:c r="K999" s="16" t="str">
        <x:v>4. Moderate deterioration</x:v>
      </x:c>
      <x:c r="L999" s="16" t="str">
        <x:v>Possible</x:v>
      </x:c>
      <x:c r="M999" s="16" t="str">
        <x:v>Minor</x:v>
      </x:c>
      <x:c r="N999" s="16" t="str">
        <x:v>Moderate</x:v>
      </x:c>
    </x:row>
    <x:row r="1000" ht="37" customHeight="1">
      <x:c r="A1000" s="16" t="str">
        <x:v>RAW-00994</x:v>
      </x:c>
      <x:c r="B1000" s="16" t="str">
        <x:v>Observation</x:v>
      </x:c>
      <x:c r="C1000" s="16" t="str">
        <x:v>– Backyard entry gate. Minor corrosion on fencing post.</x:v>
      </x:c>
      <x:c r="D1000" s="16" t="str">
        <x:v>Fencing post</x:v>
      </x:c>
      <x:c r="E1000" s="16" t="str">
        <x:v>SRC-057</x:v>
      </x:c>
      <x:c r="F1000" s="16" t="str">
        <x:v>OBS-0124</x:v>
      </x:c>
      <x:c r="G1000" s="16" t="str">
        <x:v>正式报告</x:v>
      </x:c>
      <x:c r="H1000" s="19" t="n">
        <x:v>8</x:v>
      </x:c>
      <x:c r="I1000" s="19" t="n">
        <x:v>6</x:v>
      </x:c>
      <x:c r="J1000" s="19" t="n">
        <x:v>2</x:v>
      </x:c>
      <x:c r="K1000" s="16" t="str">
        <x:v>3. Minor corrosion</x:v>
      </x:c>
      <x:c r="L1000" s="16" t="str">
        <x:v>Unlikely</x:v>
      </x:c>
      <x:c r="M1000" s="16" t="str">
        <x:v>Moderate</x:v>
      </x:c>
      <x:c r="N1000" s="16" t="str">
        <x:v>Moderate</x:v>
      </x:c>
    </x:row>
    <x:row r="1001" ht="41" customHeight="1">
      <x:c r="A1001" s="16" t="str">
        <x:v>RAW-00995</x:v>
      </x:c>
      <x:c r="B1001" s="16" t="str">
        <x:v>Recommendation</x:v>
      </x:c>
      <x:c r="C1001" s="16" t="str">
        <x:v>– Excavate all fencing posts to the base and investigate the condition. Undertake appropriate repair stated within Section 3.</x:v>
      </x:c>
      <x:c r="D1001" s="16" t="str">
        <x:v>Fencing post</x:v>
      </x:c>
      <x:c r="E1001" s="16" t="str">
        <x:v>SRC-057</x:v>
      </x:c>
      <x:c r="F1001" s="16" t="str">
        <x:v>REC-0091</x:v>
      </x:c>
      <x:c r="G1001" s="16" t="str">
        <x:v>正式报告</x:v>
      </x:c>
      <x:c r="H1001" s="19" t="n">
        <x:v>8</x:v>
      </x:c>
      <x:c r="I1001" s="19" t="n">
        <x:v>6</x:v>
      </x:c>
      <x:c r="J1001" s="19" t="n">
        <x:v>2</x:v>
      </x:c>
      <x:c r="K1001" s="16" t="str">
        <x:v>3. Minor corrosion</x:v>
      </x:c>
      <x:c r="L1001" s="16" t="str">
        <x:v>Unlikely</x:v>
      </x:c>
      <x:c r="M1001" s="16" t="str">
        <x:v>Moderate</x:v>
      </x:c>
      <x:c r="N1001" s="16" t="str">
        <x:v>Moderate</x:v>
      </x:c>
    </x:row>
    <x:row r="1002" ht="37" customHeight="1">
      <x:c r="A1002" s="16" t="str">
        <x:v>RAW-00996</x:v>
      </x:c>
      <x:c r="B1002" s="16" t="str">
        <x:v>Observation</x:v>
      </x:c>
      <x:c r="C1002" s="16" t="str">
        <x:v>– Front of property. Minor corrosion of lintel.</x:v>
      </x:c>
      <x:c r="D1002" s="16" t="str">
        <x:v>Lintel</x:v>
      </x:c>
      <x:c r="E1002" s="16" t="str">
        <x:v>SRC-057</x:v>
      </x:c>
      <x:c r="F1002" s="16" t="str">
        <x:v>OBS-0280</x:v>
      </x:c>
      <x:c r="G1002" s="16" t="str">
        <x:v>正式报告</x:v>
      </x:c>
      <x:c r="H1002" s="19" t="n">
        <x:v>9</x:v>
      </x:c>
      <x:c r="I1002" s="19" t="n">
        <x:v>6</x:v>
      </x:c>
      <x:c r="J1002" s="19" t="n">
        <x:v>2</x:v>
      </x:c>
      <x:c r="K1002" s="16" t="str">
        <x:v>2. New with slight deterioration</x:v>
      </x:c>
      <x:c r="L1002" s="16" t="str">
        <x:v>Very unlikely</x:v>
      </x:c>
      <x:c r="M1002" s="16" t="str">
        <x:v>Moderate</x:v>
      </x:c>
      <x:c r="N1002" s="16" t="str">
        <x:v>Low</x:v>
      </x:c>
    </x:row>
    <x:row r="1003" ht="37" customHeight="1">
      <x:c r="A1003" s="16" t="str">
        <x:v>RAW-00997</x:v>
      </x:c>
      <x:c r="B1003" s="16" t="str">
        <x:v>Recommendation</x:v>
      </x:c>
      <x:c r="C1003" s="16" t="str">
        <x:v>– Clean, wire brush and repaint.</x:v>
      </x:c>
      <x:c r="D1003" s="16" t="str">
        <x:v>Lintel</x:v>
      </x:c>
      <x:c r="E1003" s="16" t="str">
        <x:v>SRC-057</x:v>
      </x:c>
      <x:c r="F1003" s="16" t="str">
        <x:v>REC-0001</x:v>
      </x:c>
      <x:c r="G1003" s="16" t="str">
        <x:v>正式报告</x:v>
      </x:c>
      <x:c r="H1003" s="19" t="n">
        <x:v>9</x:v>
      </x:c>
      <x:c r="I1003" s="19" t="n">
        <x:v>6</x:v>
      </x:c>
      <x:c r="J1003" s="19" t="n">
        <x:v>2</x:v>
      </x:c>
      <x:c r="K1003" s="16" t="str">
        <x:v>2. New with slight deterioration</x:v>
      </x:c>
      <x:c r="L1003" s="16" t="str">
        <x:v>Very unlikely</x:v>
      </x:c>
      <x:c r="M1003" s="16" t="str">
        <x:v>Moderate</x:v>
      </x:c>
      <x:c r="N1003" s="16" t="str">
        <x:v>Low</x:v>
      </x:c>
    </x:row>
    <x:row r="1004" ht="37" customHeight="1">
      <x:c r="A1004" s="16" t="str">
        <x:v>RAW-00998</x:v>
      </x:c>
      <x:c r="B1004" s="16" t="str">
        <x:v>Observation</x:v>
      </x:c>
      <x:c r="C1004" s="16" t="str">
        <x:v>– Minor corrosion of lintel</x:v>
      </x:c>
      <x:c r="D1004" s="16" t="str">
        <x:v>Lintel</x:v>
      </x:c>
      <x:c r="E1004" s="16" t="str">
        <x:v>SRC-057</x:v>
      </x:c>
      <x:c r="F1004" s="16" t="str">
        <x:v>OBS-0390</x:v>
      </x:c>
      <x:c r="G1004" s="16" t="str">
        <x:v>正式报告</x:v>
      </x:c>
      <x:c r="H1004" s="19" t="n">
        <x:v>9</x:v>
      </x:c>
      <x:c r="I1004" s="19" t="n">
        <x:v>8</x:v>
      </x:c>
      <x:c r="J1004" s="19" t="n">
        <x:v>1</x:v>
      </x:c>
      <x:c r="K1004" s="16" t="str">
        <x:v>2. New with slight deterioration</x:v>
      </x:c>
      <x:c r="L1004" s="16" t="str">
        <x:v>Very unlikely</x:v>
      </x:c>
      <x:c r="M1004" s="16" t="str">
        <x:v>Moderate</x:v>
      </x:c>
      <x:c r="N1004" s="16" t="str">
        <x:v>Low</x:v>
      </x:c>
    </x:row>
    <x:row r="1005" ht="37" customHeight="1">
      <x:c r="A1005" s="16" t="str">
        <x:v>RAW-00999</x:v>
      </x:c>
      <x:c r="B1005" s="16" t="str">
        <x:v>Observation</x:v>
      </x:c>
      <x:c r="C1005" s="16" t="str">
        <x:v>– Window 1. Minor corrosion of lintel.</x:v>
      </x:c>
      <x:c r="D1005" s="16" t="str">
        <x:v>Lintel</x:v>
      </x:c>
      <x:c r="E1005" s="16" t="str">
        <x:v>SRC-057</x:v>
      </x:c>
      <x:c r="F1005" s="16" t="str">
        <x:v>OBS-0607</x:v>
      </x:c>
      <x:c r="G1005" s="16" t="str">
        <x:v>正式报告</x:v>
      </x:c>
      <x:c r="H1005" s="19" t="n">
        <x:v>9</x:v>
      </x:c>
      <x:c r="I1005" s="19" t="n">
        <x:v>9</x:v>
      </x:c>
      <x:c r="J1005" s="19" t="n">
        <x:v>1</x:v>
      </x:c>
      <x:c r="K1005" s="16" t="str">
        <x:v>2. New with slight deterioration</x:v>
      </x:c>
      <x:c r="L1005" s="16" t="str">
        <x:v>Very unlikely</x:v>
      </x:c>
      <x:c r="M1005" s="16" t="str">
        <x:v>Moderate</x:v>
      </x:c>
      <x:c r="N1005" s="16" t="str">
        <x:v>Low</x:v>
      </x:c>
    </x:row>
    <x:row r="1006" ht="37" customHeight="1">
      <x:c r="A1006" s="16" t="str">
        <x:v>RAW-01000</x:v>
      </x:c>
      <x:c r="B1006" s="16" t="str">
        <x:v>Recommendation</x:v>
      </x:c>
      <x:c r="C1006" s="16" t="str">
        <x:v>– Clean, wire brush and repaint.</x:v>
      </x:c>
      <x:c r="D1006" s="16" t="str">
        <x:v>Lintel</x:v>
      </x:c>
      <x:c r="E1006" s="16" t="str">
        <x:v>SRC-057</x:v>
      </x:c>
      <x:c r="F1006" s="16" t="str">
        <x:v>REC-0001</x:v>
      </x:c>
      <x:c r="G1006" s="16" t="str">
        <x:v>正式报告</x:v>
      </x:c>
      <x:c r="H1006" s="19" t="n">
        <x:v>9</x:v>
      </x:c>
      <x:c r="I1006" s="19" t="n">
        <x:v>9</x:v>
      </x:c>
      <x:c r="J1006" s="19" t="n">
        <x:v>1</x:v>
      </x:c>
      <x:c r="K1006" s="16" t="str">
        <x:v>2. New with slight deterioration</x:v>
      </x:c>
      <x:c r="L1006" s="16" t="str">
        <x:v>Very unlikely</x:v>
      </x:c>
      <x:c r="M1006" s="16" t="str">
        <x:v>Moderate</x:v>
      </x:c>
      <x:c r="N1006" s="16" t="str">
        <x:v>Low</x:v>
      </x:c>
    </x:row>
    <x:row r="1007" ht="37" customHeight="1">
      <x:c r="A1007" s="16" t="str">
        <x:v>RAW-01001</x:v>
      </x:c>
      <x:c r="B1007" s="16" t="str">
        <x:v>Observation</x:v>
      </x:c>
      <x:c r="C1007" s="16" t="str">
        <x:v>– Window 2. Minor corrosion of lintel.</x:v>
      </x:c>
      <x:c r="D1007" s="16" t="str">
        <x:v>Lintel</x:v>
      </x:c>
      <x:c r="E1007" s="16" t="str">
        <x:v>SRC-057</x:v>
      </x:c>
      <x:c r="F1007" s="16" t="str">
        <x:v>OBS-0608</x:v>
      </x:c>
      <x:c r="G1007" s="16" t="str">
        <x:v>正式报告</x:v>
      </x:c>
      <x:c r="H1007" s="19" t="n">
        <x:v>9</x:v>
      </x:c>
      <x:c r="I1007" s="19" t="n">
        <x:v>10</x:v>
      </x:c>
      <x:c r="J1007" s="19" t="n">
        <x:v>1</x:v>
      </x:c>
      <x:c r="K1007" s="16" t="str">
        <x:v>2. New with slight deterioration</x:v>
      </x:c>
      <x:c r="L1007" s="16" t="str">
        <x:v>Very unlikely</x:v>
      </x:c>
      <x:c r="M1007" s="16" t="str">
        <x:v>Moderate</x:v>
      </x:c>
      <x:c r="N1007" s="16" t="str">
        <x:v>Low</x:v>
      </x:c>
    </x:row>
    <x:row r="1008" ht="37" customHeight="1">
      <x:c r="A1008" s="16" t="str">
        <x:v>RAW-01002</x:v>
      </x:c>
      <x:c r="B1008" s="16" t="str">
        <x:v>Recommendation</x:v>
      </x:c>
      <x:c r="C1008" s="16" t="str">
        <x:v>– Clean, wire brush and repaint.</x:v>
      </x:c>
      <x:c r="D1008" s="16" t="str">
        <x:v>Lintel</x:v>
      </x:c>
      <x:c r="E1008" s="16" t="str">
        <x:v>SRC-057</x:v>
      </x:c>
      <x:c r="F1008" s="16" t="str">
        <x:v>REC-0001</x:v>
      </x:c>
      <x:c r="G1008" s="16" t="str">
        <x:v>正式报告</x:v>
      </x:c>
      <x:c r="H1008" s="19" t="n">
        <x:v>9</x:v>
      </x:c>
      <x:c r="I1008" s="19" t="n">
        <x:v>10</x:v>
      </x:c>
      <x:c r="J1008" s="19" t="n">
        <x:v>1</x:v>
      </x:c>
      <x:c r="K1008" s="16" t="str">
        <x:v>2. New with slight deterioration</x:v>
      </x:c>
      <x:c r="L1008" s="16" t="str">
        <x:v>Very unlikely</x:v>
      </x:c>
      <x:c r="M1008" s="16" t="str">
        <x:v>Moderate</x:v>
      </x:c>
      <x:c r="N1008" s="16" t="str">
        <x:v>Low</x:v>
      </x:c>
    </x:row>
    <x:row r="1009" ht="37" customHeight="1">
      <x:c r="A1009" s="16" t="str">
        <x:v>RAW-01003</x:v>
      </x:c>
      <x:c r="B1009" s="16" t="str">
        <x:v>Observation</x:v>
      </x:c>
      <x:c r="C1009" s="16" t="str">
        <x:v>– Front verandah has salt staining.</x:v>
      </x:c>
      <x:c r="D1009" s="16" t="str">
        <x:v>Rafters and purlins</x:v>
      </x:c>
      <x:c r="E1009" s="16" t="str">
        <x:v>SRC-058</x:v>
      </x:c>
      <x:c r="F1009" s="16" t="str">
        <x:v>OBS-0296</x:v>
      </x:c>
      <x:c r="G1009" s="16" t="str">
        <x:v>正式报告</x:v>
      </x:c>
      <x:c r="H1009" s="19" t="n">
        <x:v>3</x:v>
      </x:c>
      <x:c r="I1009" s="19" t="n">
        <x:v>6</x:v>
      </x:c>
      <x:c r="J1009" s="19" t="n">
        <x:v>2</x:v>
      </x:c>
      <x:c r="K1009" s="16" t="str">
        <x:v>2. New with slight deterioration</x:v>
      </x:c>
      <x:c r="L1009" s="16" t="str">
        <x:v>Very unlikely</x:v>
      </x:c>
      <x:c r="M1009" s="16" t="str">
        <x:v>Significant</x:v>
      </x:c>
      <x:c r="N1009" s="16" t="str">
        <x:v>Low</x:v>
      </x:c>
    </x:row>
    <x:row r="1010" ht="37" customHeight="1">
      <x:c r="A1010" s="16" t="str">
        <x:v>RAW-01004</x:v>
      </x:c>
      <x:c r="B1010" s="16" t="str">
        <x:v>Recommendation</x:v>
      </x:c>
      <x:c r="C1010" s="16" t="str">
        <x:v>– Remove salt staining.</x:v>
      </x:c>
      <x:c r="D1010" s="16" t="str">
        <x:v>Rafters and purlins</x:v>
      </x:c>
      <x:c r="E1010" s="16" t="str">
        <x:v>SRC-058</x:v>
      </x:c>
      <x:c r="F1010" s="16" t="str">
        <x:v>REC-0004</x:v>
      </x:c>
      <x:c r="G1010" s="16" t="str">
        <x:v>正式报告</x:v>
      </x:c>
      <x:c r="H1010" s="19" t="n">
        <x:v>3</x:v>
      </x:c>
      <x:c r="I1010" s="19" t="n">
        <x:v>6</x:v>
      </x:c>
      <x:c r="J1010" s="19" t="n">
        <x:v>2</x:v>
      </x:c>
      <x:c r="K1010" s="16" t="str">
        <x:v>2. New with slight deterioration</x:v>
      </x:c>
      <x:c r="L1010" s="16" t="str">
        <x:v>Very unlikely</x:v>
      </x:c>
      <x:c r="M1010" s="16" t="str">
        <x:v>Significant</x:v>
      </x:c>
      <x:c r="N1010" s="16" t="str">
        <x:v>Low</x:v>
      </x:c>
    </x:row>
    <x:row r="1011" ht="37" customHeight="1">
      <x:c r="A1011" s="16" t="str">
        <x:v>RAW-01005</x:v>
      </x:c>
      <x:c r="B1011" s="16" t="str">
        <x:v>Observation</x:v>
      </x:c>
      <x:c r="C1011" s="16" t="str">
        <x:v>– Backyard roof overhang has salt staining on purlins.</x:v>
      </x:c>
      <x:c r="D1011" s="16" t="str">
        <x:v>Rafters and purlins</x:v>
      </x:c>
      <x:c r="E1011" s="16" t="str">
        <x:v>SRC-058</x:v>
      </x:c>
      <x:c r="F1011" s="16" t="str">
        <x:v>OBS-0136</x:v>
      </x:c>
      <x:c r="G1011" s="16" t="str">
        <x:v>正式报告</x:v>
      </x:c>
      <x:c r="H1011" s="19" t="n">
        <x:v>3</x:v>
      </x:c>
      <x:c r="I1011" s="19" t="n">
        <x:v>8</x:v>
      </x:c>
      <x:c r="J1011" s="19" t="n">
        <x:v>1</x:v>
      </x:c>
      <x:c r="K1011" s="16" t="str">
        <x:v>2. New with slight deterioration</x:v>
      </x:c>
      <x:c r="L1011" s="16" t="str">
        <x:v>Very unlikely</x:v>
      </x:c>
      <x:c r="M1011" s="16" t="str">
        <x:v>Significant</x:v>
      </x:c>
      <x:c r="N1011" s="16" t="str">
        <x:v>Low</x:v>
      </x:c>
    </x:row>
    <x:row r="1012" ht="37" customHeight="1">
      <x:c r="A1012" s="16" t="str">
        <x:v>RAW-01006</x:v>
      </x:c>
      <x:c r="B1012" s="16" t="str">
        <x:v>Recommendation</x:v>
      </x:c>
      <x:c r="C1012" s="16" t="str">
        <x:v>– Remove salt staining.</x:v>
      </x:c>
      <x:c r="D1012" s="16" t="str">
        <x:v>Rafters and purlins</x:v>
      </x:c>
      <x:c r="E1012" s="16" t="str">
        <x:v>SRC-058</x:v>
      </x:c>
      <x:c r="F1012" s="16" t="str">
        <x:v>REC-0004</x:v>
      </x:c>
      <x:c r="G1012" s="16" t="str">
        <x:v>正式报告</x:v>
      </x:c>
      <x:c r="H1012" s="19" t="n">
        <x:v>3</x:v>
      </x:c>
      <x:c r="I1012" s="19" t="n">
        <x:v>8</x:v>
      </x:c>
      <x:c r="J1012" s="19" t="n">
        <x:v>1</x:v>
      </x:c>
      <x:c r="K1012" s="16" t="str">
        <x:v>2. New with slight deterioration</x:v>
      </x:c>
      <x:c r="L1012" s="16" t="str">
        <x:v>Very unlikely</x:v>
      </x:c>
      <x:c r="M1012" s="16" t="str">
        <x:v>Significant</x:v>
      </x:c>
      <x:c r="N1012" s="16" t="str">
        <x:v>Low</x:v>
      </x:c>
    </x:row>
    <x:row r="1013" ht="37" customHeight="1">
      <x:c r="A1013" s="16" t="str">
        <x:v>RAW-01007</x:v>
      </x:c>
      <x:c r="B1013" s="16" t="str">
        <x:v>Observation</x:v>
      </x:c>
      <x:c r="C1013" s="16" t="str">
        <x:v>– Front roof overhang has salt staining and minor corrosion on purlins and rafters.</x:v>
      </x:c>
      <x:c r="D1013" s="16" t="str">
        <x:v>Rafters and purlins</x:v>
      </x:c>
      <x:c r="E1013" s="16" t="str">
        <x:v>SRC-058</x:v>
      </x:c>
      <x:c r="F1013" s="16" t="str">
        <x:v>OBS-0285</x:v>
      </x:c>
      <x:c r="G1013" s="16" t="str">
        <x:v>正式报告</x:v>
      </x:c>
      <x:c r="H1013" s="19" t="n">
        <x:v>3</x:v>
      </x:c>
      <x:c r="I1013" s="19" t="n">
        <x:v>9</x:v>
      </x:c>
      <x:c r="J1013" s="19" t="n">
        <x:v>3</x:v>
      </x:c>
      <x:c r="K1013" s="16" t="str">
        <x:v>2. New with slight deterioration</x:v>
      </x:c>
      <x:c r="L1013" s="16" t="str">
        <x:v>Very unlikely</x:v>
      </x:c>
      <x:c r="M1013" s="16" t="str">
        <x:v>Significant</x:v>
      </x:c>
      <x:c r="N1013" s="16" t="str">
        <x:v>Low</x:v>
      </x:c>
    </x:row>
    <x:row r="1014" ht="37" customHeight="1">
      <x:c r="A1014" s="16" t="str">
        <x:v>RAW-01008</x:v>
      </x:c>
      <x:c r="B1014" s="16" t="str">
        <x:v>Recommendation</x:v>
      </x:c>
      <x:c r="C1014" s="16" t="str">
        <x:v>– Clean, wire brush and repaint.</x:v>
      </x:c>
      <x:c r="D1014" s="16" t="str">
        <x:v>Rafters and purlins</x:v>
      </x:c>
      <x:c r="E1014" s="16" t="str">
        <x:v>SRC-058</x:v>
      </x:c>
      <x:c r="F1014" s="16" t="str">
        <x:v>REC-0001</x:v>
      </x:c>
      <x:c r="G1014" s="16" t="str">
        <x:v>正式报告</x:v>
      </x:c>
      <x:c r="H1014" s="19" t="n">
        <x:v>3</x:v>
      </x:c>
      <x:c r="I1014" s="19" t="n">
        <x:v>9</x:v>
      </x:c>
      <x:c r="J1014" s="19" t="n">
        <x:v>3</x:v>
      </x:c>
      <x:c r="K1014" s="16" t="str">
        <x:v>2. New with slight deterioration</x:v>
      </x:c>
      <x:c r="L1014" s="16" t="str">
        <x:v>Very unlikely</x:v>
      </x:c>
      <x:c r="M1014" s="16" t="str">
        <x:v>Significant</x:v>
      </x:c>
      <x:c r="N1014" s="16" t="str">
        <x:v>Low</x:v>
      </x:c>
    </x:row>
    <x:row r="1015" ht="37" customHeight="1">
      <x:c r="A1015" s="16" t="str">
        <x:v>RAW-01009</x:v>
      </x:c>
      <x:c r="B1015" s="16" t="str">
        <x:v>Observation</x:v>
      </x:c>
      <x:c r="C1015" s="16" t="str">
        <x:v>– Front yard verandah purlins and rafters in good condition.</x:v>
      </x:c>
      <x:c r="D1015" s="16" t="str">
        <x:v>Rafters and purlins</x:v>
      </x:c>
      <x:c r="E1015" s="16" t="str">
        <x:v>SRC-058</x:v>
      </x:c>
      <x:c r="F1015" s="16" t="str">
        <x:v>OBS-0314</x:v>
      </x:c>
      <x:c r="G1015" s="16" t="str">
        <x:v>正式报告</x:v>
      </x:c>
      <x:c r="H1015" s="19" t="n">
        <x:v>3</x:v>
      </x:c>
      <x:c r="I1015" s="19" t="n">
        <x:v>12</x:v>
      </x:c>
      <x:c r="J1015" s="19" t="n">
        <x:v>1</x:v>
      </x:c>
      <x:c r="K1015" s="16" t="str">
        <x:v>2. New with slight deterioration</x:v>
      </x:c>
      <x:c r="L1015" s="16" t="str">
        <x:v>Very unlikely</x:v>
      </x:c>
      <x:c r="M1015" s="16" t="str">
        <x:v>Significant</x:v>
      </x:c>
      <x:c r="N1015" s="16" t="str">
        <x:v>Low</x:v>
      </x:c>
    </x:row>
    <x:row r="1016" ht="37" customHeight="1">
      <x:c r="A1016" s="16" t="str">
        <x:v>RAW-01010</x:v>
      </x:c>
      <x:c r="B1016" s="16" t="str">
        <x:v>Recommendation</x:v>
      </x:c>
      <x:c r="C1016" s="16" t="str">
        <x:v>– Clean, wire brush and repaint.</x:v>
      </x:c>
      <x:c r="D1016" s="16" t="str">
        <x:v>Rafters and purlins</x:v>
      </x:c>
      <x:c r="E1016" s="16" t="str">
        <x:v>SRC-058</x:v>
      </x:c>
      <x:c r="F1016" s="16" t="str">
        <x:v>REC-0001</x:v>
      </x:c>
      <x:c r="G1016" s="16" t="str">
        <x:v>正式报告</x:v>
      </x:c>
      <x:c r="H1016" s="19" t="n">
        <x:v>3</x:v>
      </x:c>
      <x:c r="I1016" s="19" t="n">
        <x:v>12</x:v>
      </x:c>
      <x:c r="J1016" s="19" t="n">
        <x:v>1</x:v>
      </x:c>
      <x:c r="K1016" s="16" t="str">
        <x:v>2. New with slight deterioration</x:v>
      </x:c>
      <x:c r="L1016" s="16" t="str">
        <x:v>Very unlikely</x:v>
      </x:c>
      <x:c r="M1016" s="16" t="str">
        <x:v>Significant</x:v>
      </x:c>
      <x:c r="N1016" s="16" t="str">
        <x:v>Low</x:v>
      </x:c>
    </x:row>
    <x:row r="1017" ht="37" customHeight="1">
      <x:c r="A1017" s="16" t="str">
        <x:v>RAW-01011</x:v>
      </x:c>
      <x:c r="B1017" s="16" t="str">
        <x:v>Observation</x:v>
      </x:c>
      <x:c r="C1017" s="16" t="str">
        <x:v>– Front yard verandah purlins have minor corrosion and salt staining.</x:v>
      </x:c>
      <x:c r="D1017" s="16" t="str">
        <x:v>Rafters and purlins</x:v>
      </x:c>
      <x:c r="E1017" s="16" t="str">
        <x:v>SRC-058</x:v>
      </x:c>
      <x:c r="F1017" s="16" t="str">
        <x:v>OBS-0315</x:v>
      </x:c>
      <x:c r="G1017" s="16" t="str">
        <x:v>正式报告</x:v>
      </x:c>
      <x:c r="H1017" s="19" t="n">
        <x:v>3</x:v>
      </x:c>
      <x:c r="I1017" s="19" t="n">
        <x:v>13</x:v>
      </x:c>
      <x:c r="J1017" s="19" t="n">
        <x:v>1</x:v>
      </x:c>
      <x:c r="K1017" s="16" t="str">
        <x:v>2. New with slight deterioration</x:v>
      </x:c>
      <x:c r="L1017" s="16" t="str">
        <x:v>Very unlikely</x:v>
      </x:c>
      <x:c r="M1017" s="16" t="str">
        <x:v>Significant</x:v>
      </x:c>
      <x:c r="N1017" s="16" t="str">
        <x:v>Low</x:v>
      </x:c>
    </x:row>
    <x:row r="1018" ht="37" customHeight="1">
      <x:c r="A1018" s="16" t="str">
        <x:v>RAW-01012</x:v>
      </x:c>
      <x:c r="B1018" s="16" t="str">
        <x:v>Recommendation</x:v>
      </x:c>
      <x:c r="C1018" s="16" t="str">
        <x:v>– Clean, wire brush and repaint.</x:v>
      </x:c>
      <x:c r="D1018" s="16" t="str">
        <x:v>Rafters and purlins</x:v>
      </x:c>
      <x:c r="E1018" s="16" t="str">
        <x:v>SRC-058</x:v>
      </x:c>
      <x:c r="F1018" s="16" t="str">
        <x:v>REC-0001</x:v>
      </x:c>
      <x:c r="G1018" s="16" t="str">
        <x:v>正式报告</x:v>
      </x:c>
      <x:c r="H1018" s="19" t="n">
        <x:v>3</x:v>
      </x:c>
      <x:c r="I1018" s="19" t="n">
        <x:v>13</x:v>
      </x:c>
      <x:c r="J1018" s="19" t="n">
        <x:v>1</x:v>
      </x:c>
      <x:c r="K1018" s="16" t="str">
        <x:v>2. New with slight deterioration</x:v>
      </x:c>
      <x:c r="L1018" s="16" t="str">
        <x:v>Very unlikely</x:v>
      </x:c>
      <x:c r="M1018" s="16" t="str">
        <x:v>Significant</x:v>
      </x:c>
      <x:c r="N1018" s="16" t="str">
        <x:v>Low</x:v>
      </x:c>
    </x:row>
    <x:row r="1019" ht="37" customHeight="1">
      <x:c r="A1019" s="16" t="str">
        <x:v>RAW-01013</x:v>
      </x:c>
      <x:c r="B1019" s="16" t="str">
        <x:v>Observation</x:v>
      </x:c>
      <x:c r="C1019" s="16" t="str">
        <x:v>– Photo taken in backyard. Purlins and rafters have minor corrosion and salt staining.</x:v>
      </x:c>
      <x:c r="D1019" s="16" t="str">
        <x:v>Rafters and purlins</x:v>
      </x:c>
      <x:c r="E1019" s="16" t="str">
        <x:v>SRC-058</x:v>
      </x:c>
      <x:c r="F1019" s="16" t="str">
        <x:v>OBS-0452</x:v>
      </x:c>
      <x:c r="G1019" s="16" t="str">
        <x:v>正式报告</x:v>
      </x:c>
      <x:c r="H1019" s="19" t="n">
        <x:v>3</x:v>
      </x:c>
      <x:c r="I1019" s="19" t="n">
        <x:v>14</x:v>
      </x:c>
      <x:c r="J1019" s="19" t="n">
        <x:v>2</x:v>
      </x:c>
      <x:c r="K1019" s="16" t="str">
        <x:v>2. New with slight deterioration</x:v>
      </x:c>
      <x:c r="L1019" s="16" t="str">
        <x:v>Very unlikely</x:v>
      </x:c>
      <x:c r="M1019" s="16" t="str">
        <x:v>Significant</x:v>
      </x:c>
      <x:c r="N1019" s="16" t="str">
        <x:v>Low</x:v>
      </x:c>
    </x:row>
    <x:row r="1020" ht="37" customHeight="1">
      <x:c r="A1020" s="16" t="str">
        <x:v>RAW-01014</x:v>
      </x:c>
      <x:c r="B1020" s="16" t="str">
        <x:v>Recommendation</x:v>
      </x:c>
      <x:c r="C1020" s="16" t="str">
        <x:v>– Clean, wire brush and repaint.</x:v>
      </x:c>
      <x:c r="D1020" s="16" t="str">
        <x:v>Rafters and purlins</x:v>
      </x:c>
      <x:c r="E1020" s="16" t="str">
        <x:v>SRC-058</x:v>
      </x:c>
      <x:c r="F1020" s="16" t="str">
        <x:v>REC-0001</x:v>
      </x:c>
      <x:c r="G1020" s="16" t="str">
        <x:v>正式报告</x:v>
      </x:c>
      <x:c r="H1020" s="19" t="n">
        <x:v>3</x:v>
      </x:c>
      <x:c r="I1020" s="19" t="n">
        <x:v>14</x:v>
      </x:c>
      <x:c r="J1020" s="19" t="n">
        <x:v>2</x:v>
      </x:c>
      <x:c r="K1020" s="16" t="str">
        <x:v>2. New with slight deterioration</x:v>
      </x:c>
      <x:c r="L1020" s="16" t="str">
        <x:v>Very unlikely</x:v>
      </x:c>
      <x:c r="M1020" s="16" t="str">
        <x:v>Significant</x:v>
      </x:c>
      <x:c r="N1020" s="16" t="str">
        <x:v>Low</x:v>
      </x:c>
    </x:row>
    <x:row r="1021" ht="37" customHeight="1">
      <x:c r="A1021" s="16" t="str">
        <x:v>RAW-01015</x:v>
      </x:c>
      <x:c r="B1021" s="16" t="str">
        <x:v>Observation</x:v>
      </x:c>
      <x:c r="C1021" s="16" t="str">
        <x:v>– Columns in good condition. Salt staining along height.</x:v>
      </x:c>
      <x:c r="D1021" s="16" t="str">
        <x:v>Columns</x:v>
      </x:c>
      <x:c r="E1021" s="16" t="str">
        <x:v>SRC-058</x:v>
      </x:c>
      <x:c r="F1021" s="16" t="str">
        <x:v>OBS-0043</x:v>
      </x:c>
      <x:c r="G1021" s="16" t="str">
        <x:v>正式报告</x:v>
      </x:c>
      <x:c r="H1021" s="19" t="n">
        <x:v>4</x:v>
      </x:c>
      <x:c r="I1021" s="19" t="n">
        <x:v>6</x:v>
      </x:c>
      <x:c r="J1021" s="19" t="n">
        <x:v>1</x:v>
      </x:c>
      <x:c r="K1021" s="16" t="str">
        <x:v>2. New with slight deterioration</x:v>
      </x:c>
      <x:c r="L1021" s="16" t="str">
        <x:v>Very unlikely</x:v>
      </x:c>
      <x:c r="M1021" s="16" t="str">
        <x:v>Significant</x:v>
      </x:c>
      <x:c r="N1021" s="16" t="str">
        <x:v>Low</x:v>
      </x:c>
    </x:row>
    <x:row r="1022" ht="37" customHeight="1">
      <x:c r="A1022" s="16" t="str">
        <x:v>RAW-01016</x:v>
      </x:c>
      <x:c r="B1022" s="16" t="str">
        <x:v>Recommendation</x:v>
      </x:c>
      <x:c r="C1022" s="16" t="str">
        <x:v>– Remove salt staining.</x:v>
      </x:c>
      <x:c r="D1022" s="16" t="str">
        <x:v>Columns</x:v>
      </x:c>
      <x:c r="E1022" s="16" t="str">
        <x:v>SRC-058</x:v>
      </x:c>
      <x:c r="F1022" s="16" t="str">
        <x:v>REC-0004</x:v>
      </x:c>
      <x:c r="G1022" s="16" t="str">
        <x:v>正式报告</x:v>
      </x:c>
      <x:c r="H1022" s="19" t="n">
        <x:v>4</x:v>
      </x:c>
      <x:c r="I1022" s="19" t="n">
        <x:v>6</x:v>
      </x:c>
      <x:c r="J1022" s="19" t="n">
        <x:v>1</x:v>
      </x:c>
      <x:c r="K1022" s="16" t="str">
        <x:v>2. New with slight deterioration</x:v>
      </x:c>
      <x:c r="L1022" s="16" t="str">
        <x:v>Very unlikely</x:v>
      </x:c>
      <x:c r="M1022" s="16" t="str">
        <x:v>Significant</x:v>
      </x:c>
      <x:c r="N1022" s="16" t="str">
        <x:v>Low</x:v>
      </x:c>
    </x:row>
    <x:row r="1023" ht="37" customHeight="1">
      <x:c r="A1023" s="16" t="str">
        <x:v>RAW-01017</x:v>
      </x:c>
      <x:c r="B1023" s="16" t="str">
        <x:v>Observation</x:v>
      </x:c>
      <x:c r="C1023" s="16" t="str">
        <x:v>– Columns in good condition. Salt staining along height.</x:v>
      </x:c>
      <x:c r="D1023" s="16" t="str">
        <x:v>Columns</x:v>
      </x:c>
      <x:c r="E1023" s="16" t="str">
        <x:v>SRC-058</x:v>
      </x:c>
      <x:c r="F1023" s="16" t="str">
        <x:v>OBS-0043</x:v>
      </x:c>
      <x:c r="G1023" s="16" t="str">
        <x:v>正式报告</x:v>
      </x:c>
      <x:c r="H1023" s="19" t="n">
        <x:v>4</x:v>
      </x:c>
      <x:c r="I1023" s="19" t="n">
        <x:v>7</x:v>
      </x:c>
      <x:c r="J1023" s="19" t="n">
        <x:v>1</x:v>
      </x:c>
      <x:c r="K1023" s="16" t="str">
        <x:v>2. New with slight deterioration</x:v>
      </x:c>
      <x:c r="L1023" s="16" t="str">
        <x:v>Very unlikely</x:v>
      </x:c>
      <x:c r="M1023" s="16" t="str">
        <x:v>Significant</x:v>
      </x:c>
      <x:c r="N1023" s="16" t="str">
        <x:v>Low</x:v>
      </x:c>
    </x:row>
    <x:row r="1024" ht="37" customHeight="1">
      <x:c r="A1024" s="16" t="str">
        <x:v>RAW-01018</x:v>
      </x:c>
      <x:c r="B1024" s="16" t="str">
        <x:v>Recommendation</x:v>
      </x:c>
      <x:c r="C1024" s="16" t="str">
        <x:v>– Remove salt staining.</x:v>
      </x:c>
      <x:c r="D1024" s="16" t="str">
        <x:v>Columns</x:v>
      </x:c>
      <x:c r="E1024" s="16" t="str">
        <x:v>SRC-058</x:v>
      </x:c>
      <x:c r="F1024" s="16" t="str">
        <x:v>REC-0004</x:v>
      </x:c>
      <x:c r="G1024" s="16" t="str">
        <x:v>正式报告</x:v>
      </x:c>
      <x:c r="H1024" s="19" t="n">
        <x:v>4</x:v>
      </x:c>
      <x:c r="I1024" s="19" t="n">
        <x:v>7</x:v>
      </x:c>
      <x:c r="J1024" s="19" t="n">
        <x:v>1</x:v>
      </x:c>
      <x:c r="K1024" s="16" t="str">
        <x:v>2. New with slight deterioration</x:v>
      </x:c>
      <x:c r="L1024" s="16" t="str">
        <x:v>Very unlikely</x:v>
      </x:c>
      <x:c r="M1024" s="16" t="str">
        <x:v>Significant</x:v>
      </x:c>
      <x:c r="N1024" s="16" t="str">
        <x:v>Low</x:v>
      </x:c>
    </x:row>
    <x:row r="1025" ht="37" customHeight="1">
      <x:c r="A1025" s="16" t="str">
        <x:v>RAW-01019</x:v>
      </x:c>
      <x:c r="B1025" s="16" t="str">
        <x:v>Observation</x:v>
      </x:c>
      <x:c r="C1025" s="16" t="str">
        <x:v>– Front wall cladding in good condition.</x:v>
      </x:c>
      <x:c r="D1025" s="16" t="str">
        <x:v>Cladding and framing</x:v>
      </x:c>
      <x:c r="E1025" s="16" t="str">
        <x:v>SRC-058</x:v>
      </x:c>
      <x:c r="F1025" s="16" t="str">
        <x:v>OBS-0025</x:v>
      </x:c>
      <x:c r="G1025" s="16" t="str">
        <x:v>正式报告</x:v>
      </x:c>
      <x:c r="H1025" s="19" t="n">
        <x:v>5</x:v>
      </x:c>
      <x:c r="I1025" s="19" t="n">
        <x:v>6</x:v>
      </x:c>
      <x:c r="J1025" s="19" t="n">
        <x:v>1</x:v>
      </x:c>
      <x:c r="K1025" s="16" t="str">
        <x:v>3. Minor deterioration</x:v>
      </x:c>
      <x:c r="L1025" s="16" t="str">
        <x:v>Unlikely</x:v>
      </x:c>
      <x:c r="M1025" s="16" t="str">
        <x:v>Negligible</x:v>
      </x:c>
      <x:c r="N1025" s="16" t="str">
        <x:v>Low</x:v>
      </x:c>
    </x:row>
    <x:row r="1026" ht="37" customHeight="1">
      <x:c r="A1026" s="16" t="str">
        <x:v>RAW-01020</x:v>
      </x:c>
      <x:c r="B1026" s="16" t="str">
        <x:v>Observation</x:v>
      </x:c>
      <x:c r="C1026" s="16" t="str">
        <x:v>– Right hand side wall cladding facing front entrance in good condition. Salt staining</x:v>
      </x:c>
      <x:c r="D1026" s="16" t="str">
        <x:v>Cladding and framing</x:v>
      </x:c>
      <x:c r="E1026" s="16" t="str">
        <x:v>SRC-058</x:v>
      </x:c>
      <x:c r="F1026" s="16" t="str">
        <x:v>OBS-0510</x:v>
      </x:c>
      <x:c r="G1026" s="16" t="str">
        <x:v>正式报告</x:v>
      </x:c>
      <x:c r="H1026" s="19" t="n">
        <x:v>5</x:v>
      </x:c>
      <x:c r="I1026" s="19" t="n">
        <x:v>7</x:v>
      </x:c>
      <x:c r="J1026" s="19" t="n">
        <x:v>1</x:v>
      </x:c>
      <x:c r="K1026" s="16" t="str">
        <x:v>3. Minor deterioration</x:v>
      </x:c>
      <x:c r="L1026" s="16" t="str">
        <x:v>Unlikely</x:v>
      </x:c>
      <x:c r="M1026" s="16" t="str">
        <x:v>Negligible</x:v>
      </x:c>
      <x:c r="N1026" s="16" t="str">
        <x:v>Low</x:v>
      </x:c>
    </x:row>
    <x:row r="1027" ht="37" customHeight="1">
      <x:c r="A1027" s="16" t="str">
        <x:v>RAW-01021</x:v>
      </x:c>
      <x:c r="B1027" s="16" t="str">
        <x:v>Observation</x:v>
      </x:c>
      <x:c r="C1027" s="16" t="str">
        <x:v>– Left hand side wall cladding facing front entrance in good condition.</x:v>
      </x:c>
      <x:c r="D1027" s="16" t="str">
        <x:v>Cladding and framing</x:v>
      </x:c>
      <x:c r="E1027" s="16" t="str">
        <x:v>SRC-058</x:v>
      </x:c>
      <x:c r="F1027" s="16" t="str">
        <x:v>OBS-0362</x:v>
      </x:c>
      <x:c r="G1027" s="16" t="str">
        <x:v>正式报告</x:v>
      </x:c>
      <x:c r="H1027" s="19" t="n">
        <x:v>5</x:v>
      </x:c>
      <x:c r="I1027" s="19" t="n">
        <x:v>8</x:v>
      </x:c>
      <x:c r="J1027" s="19" t="n">
        <x:v>1</x:v>
      </x:c>
      <x:c r="K1027" s="16" t="str">
        <x:v>3. Minor deterioration</x:v>
      </x:c>
      <x:c r="L1027" s="16" t="str">
        <x:v>Unlikely</x:v>
      </x:c>
      <x:c r="M1027" s="16" t="str">
        <x:v>Negligible</x:v>
      </x:c>
      <x:c r="N1027" s="16" t="str">
        <x:v>Low</x:v>
      </x:c>
    </x:row>
    <x:row r="1028" ht="37" customHeight="1">
      <x:c r="A1028" s="16" t="str">
        <x:v>RAW-01022</x:v>
      </x:c>
      <x:c r="B1028" s="16" t="str">
        <x:v>Recommendation</x:v>
      </x:c>
      <x:c r="C1028" s="16" t="str">
        <x:v>– Remove salt staining.</x:v>
      </x:c>
      <x:c r="D1028" s="16" t="str">
        <x:v>Cladding and framing</x:v>
      </x:c>
      <x:c r="E1028" s="16" t="str">
        <x:v>SRC-058</x:v>
      </x:c>
      <x:c r="F1028" s="16" t="str">
        <x:v>REC-0004</x:v>
      </x:c>
      <x:c r="G1028" s="16" t="str">
        <x:v>正式报告</x:v>
      </x:c>
      <x:c r="H1028" s="19" t="n">
        <x:v>5</x:v>
      </x:c>
      <x:c r="I1028" s="19" t="n">
        <x:v>8</x:v>
      </x:c>
      <x:c r="J1028" s="19" t="n">
        <x:v>1</x:v>
      </x:c>
      <x:c r="K1028" s="16" t="str">
        <x:v>3. Minor deterioration</x:v>
      </x:c>
      <x:c r="L1028" s="16" t="str">
        <x:v>Unlikely</x:v>
      </x:c>
      <x:c r="M1028" s="16" t="str">
        <x:v>Negligible</x:v>
      </x:c>
      <x:c r="N1028" s="16" t="str">
        <x:v>Low</x:v>
      </x:c>
    </x:row>
    <x:row r="1029" ht="37" customHeight="1">
      <x:c r="A1029" s="16" t="str">
        <x:v>RAW-01023</x:v>
      </x:c>
      <x:c r="B1029" s="16" t="str">
        <x:v>Observation</x:v>
      </x:c>
      <x:c r="C1029" s="16" t="str">
        <x:v>– Back wall cladding facing front entrance in good condition.</x:v>
      </x:c>
      <x:c r="D1029" s="16" t="str">
        <x:v>Cladding and framing</x:v>
      </x:c>
      <x:c r="E1029" s="16" t="str">
        <x:v>SRC-058</x:v>
      </x:c>
      <x:c r="F1029" s="16" t="str">
        <x:v>OBS-0121</x:v>
      </x:c>
      <x:c r="G1029" s="16" t="str">
        <x:v>正式报告</x:v>
      </x:c>
      <x:c r="H1029" s="19" t="n">
        <x:v>5</x:v>
      </x:c>
      <x:c r="I1029" s="19" t="n">
        <x:v>9</x:v>
      </x:c>
      <x:c r="J1029" s="19" t="n">
        <x:v>1</x:v>
      </x:c>
      <x:c r="K1029" s="16" t="str">
        <x:v>3. Minor deterioration</x:v>
      </x:c>
      <x:c r="L1029" s="16" t="str">
        <x:v>Unlikely</x:v>
      </x:c>
      <x:c r="M1029" s="16" t="str">
        <x:v>Negligible</x:v>
      </x:c>
      <x:c r="N1029" s="16" t="str">
        <x:v>Low</x:v>
      </x:c>
    </x:row>
    <x:row r="1030" ht="37" customHeight="1">
      <x:c r="A1030" s="16" t="str">
        <x:v>RAW-01024</x:v>
      </x:c>
      <x:c r="B1030" s="16" t="str">
        <x:v>Observation</x:v>
      </x:c>
      <x:c r="C1030" s="16" t="str">
        <x:v>– Left hand side verandah facing front entrance. Paint deterioration.</x:v>
      </x:c>
      <x:c r="D1030" s="16" t="str">
        <x:v>Verandah beam</x:v>
      </x:c>
      <x:c r="E1030" s="16" t="str">
        <x:v>SRC-058</x:v>
      </x:c>
      <x:c r="F1030" s="16" t="str">
        <x:v>OBS-0361</x:v>
      </x:c>
      <x:c r="G1030" s="16" t="str">
        <x:v>正式报告</x:v>
      </x:c>
      <x:c r="H1030" s="19" t="n">
        <x:v>6</x:v>
      </x:c>
      <x:c r="I1030" s="19" t="n">
        <x:v>6</x:v>
      </x:c>
      <x:c r="J1030" s="19" t="n">
        <x:v>1</x:v>
      </x:c>
      <x:c r="K1030" s="16" t="str">
        <x:v>2. New with slight deterioration</x:v>
      </x:c>
      <x:c r="L1030" s="16" t="str">
        <x:v>Very unlikely</x:v>
      </x:c>
      <x:c r="M1030" s="16" t="str">
        <x:v>Significant</x:v>
      </x:c>
      <x:c r="N1030" s="16" t="str">
        <x:v>Low</x:v>
      </x:c>
    </x:row>
    <x:row r="1031" ht="37" customHeight="1">
      <x:c r="A1031" s="16" t="str">
        <x:v>RAW-01025</x:v>
      </x:c>
      <x:c r="B1031" s="16" t="str">
        <x:v>Recommendation</x:v>
      </x:c>
      <x:c r="C1031" s="16" t="str">
        <x:v>– Clean and repaint.</x:v>
      </x:c>
      <x:c r="D1031" s="16" t="str">
        <x:v>Verandah beam</x:v>
      </x:c>
      <x:c r="E1031" s="16" t="str">
        <x:v>SRC-058</x:v>
      </x:c>
      <x:c r="F1031" s="16" t="str">
        <x:v>REC-0006</x:v>
      </x:c>
      <x:c r="G1031" s="16" t="str">
        <x:v>正式报告</x:v>
      </x:c>
      <x:c r="H1031" s="19" t="n">
        <x:v>6</x:v>
      </x:c>
      <x:c r="I1031" s="19" t="n">
        <x:v>6</x:v>
      </x:c>
      <x:c r="J1031" s="19" t="n">
        <x:v>1</x:v>
      </x:c>
      <x:c r="K1031" s="16" t="str">
        <x:v>2. New with slight deterioration</x:v>
      </x:c>
      <x:c r="L1031" s="16" t="str">
        <x:v>Very unlikely</x:v>
      </x:c>
      <x:c r="M1031" s="16" t="str">
        <x:v>Significant</x:v>
      </x:c>
      <x:c r="N1031" s="16" t="str">
        <x:v>Low</x:v>
      </x:c>
    </x:row>
    <x:row r="1032" ht="37" customHeight="1">
      <x:c r="A1032" s="16" t="str">
        <x:v>RAW-01026</x:v>
      </x:c>
      <x:c r="B1032" s="16" t="str">
        <x:v>Observation</x:v>
      </x:c>
      <x:c r="C1032" s="16" t="str">
        <x:v>– Minor corrosion of fencing posts.</x:v>
      </x:c>
      <x:c r="D1032" s="16" t="str">
        <x:v>Fencing</x:v>
      </x:c>
      <x:c r="E1032" s="16" t="str">
        <x:v>SRC-058</x:v>
      </x:c>
      <x:c r="F1032" s="16" t="str">
        <x:v>OBS-0062</x:v>
      </x:c>
      <x:c r="G1032" s="16" t="str">
        <x:v>正式报告</x:v>
      </x:c>
      <x:c r="H1032" s="19" t="n">
        <x:v>7</x:v>
      </x:c>
      <x:c r="I1032" s="19" t="n">
        <x:v>6</x:v>
      </x:c>
      <x:c r="J1032" s="19" t="n">
        <x:v>1</x:v>
      </x:c>
      <x:c r="K1032" s="16" t="str">
        <x:v>3. Minor deterioration</x:v>
      </x:c>
      <x:c r="L1032" s="16" t="str">
        <x:v>Unlikely</x:v>
      </x:c>
      <x:c r="M1032" s="16" t="str">
        <x:v>Minor</x:v>
      </x:c>
      <x:c r="N1032" s="16" t="str">
        <x:v>Low</x:v>
      </x:c>
    </x:row>
    <x:row r="1033" ht="37" customHeight="1">
      <x:c r="A1033" s="16" t="str">
        <x:v>RAW-01027</x:v>
      </x:c>
      <x:c r="B1033" s="16" t="str">
        <x:v>Recommendation</x:v>
      </x:c>
      <x:c r="C1033" s="16" t="str">
        <x:v>– Clean, wire brush and repaint.</x:v>
      </x:c>
      <x:c r="D1033" s="16" t="str">
        <x:v>Fencing</x:v>
      </x:c>
      <x:c r="E1033" s="16" t="str">
        <x:v>SRC-058</x:v>
      </x:c>
      <x:c r="F1033" s="16" t="str">
        <x:v>REC-0001</x:v>
      </x:c>
      <x:c r="G1033" s="16" t="str">
        <x:v>正式报告</x:v>
      </x:c>
      <x:c r="H1033" s="19" t="n">
        <x:v>7</x:v>
      </x:c>
      <x:c r="I1033" s="19" t="n">
        <x:v>6</x:v>
      </x:c>
      <x:c r="J1033" s="19" t="n">
        <x:v>1</x:v>
      </x:c>
      <x:c r="K1033" s="16" t="str">
        <x:v>3. Minor deterioration</x:v>
      </x:c>
      <x:c r="L1033" s="16" t="str">
        <x:v>Unlikely</x:v>
      </x:c>
      <x:c r="M1033" s="16" t="str">
        <x:v>Minor</x:v>
      </x:c>
      <x:c r="N1033" s="16" t="str">
        <x:v>Low</x:v>
      </x:c>
    </x:row>
    <x:row r="1034" ht="37" customHeight="1">
      <x:c r="A1034" s="16" t="str">
        <x:v>RAW-01028</x:v>
      </x:c>
      <x:c r="B1034" s="16" t="str">
        <x:v>Observation</x:v>
      </x:c>
      <x:c r="C1034" s="16" t="str">
        <x:v>– Minor corrosion of fencing posts.</x:v>
      </x:c>
      <x:c r="D1034" s="16" t="str">
        <x:v>Fencing</x:v>
      </x:c>
      <x:c r="E1034" s="16" t="str">
        <x:v>SRC-058</x:v>
      </x:c>
      <x:c r="F1034" s="16" t="str">
        <x:v>OBS-0062</x:v>
      </x:c>
      <x:c r="G1034" s="16" t="str">
        <x:v>正式报告</x:v>
      </x:c>
      <x:c r="H1034" s="19" t="n">
        <x:v>7</x:v>
      </x:c>
      <x:c r="I1034" s="19" t="n">
        <x:v>7</x:v>
      </x:c>
      <x:c r="J1034" s="19" t="n">
        <x:v>1</x:v>
      </x:c>
      <x:c r="K1034" s="16" t="str">
        <x:v>3. Minor deterioration</x:v>
      </x:c>
      <x:c r="L1034" s="16" t="str">
        <x:v>Unlikely</x:v>
      </x:c>
      <x:c r="M1034" s="16" t="str">
        <x:v>Minor</x:v>
      </x:c>
      <x:c r="N1034" s="16" t="str">
        <x:v>Low</x:v>
      </x:c>
    </x:row>
    <x:row r="1035" ht="37" customHeight="1">
      <x:c r="A1035" s="16" t="str">
        <x:v>RAW-01029</x:v>
      </x:c>
      <x:c r="B1035" s="16" t="str">
        <x:v>Recommendation</x:v>
      </x:c>
      <x:c r="C1035" s="16" t="str">
        <x:v>– Clean, wire brush and repaint.</x:v>
      </x:c>
      <x:c r="D1035" s="16" t="str">
        <x:v>Fencing</x:v>
      </x:c>
      <x:c r="E1035" s="16" t="str">
        <x:v>SRC-058</x:v>
      </x:c>
      <x:c r="F1035" s="16" t="str">
        <x:v>REC-0001</x:v>
      </x:c>
      <x:c r="G1035" s="16" t="str">
        <x:v>正式报告</x:v>
      </x:c>
      <x:c r="H1035" s="19" t="n">
        <x:v>7</x:v>
      </x:c>
      <x:c r="I1035" s="19" t="n">
        <x:v>7</x:v>
      </x:c>
      <x:c r="J1035" s="19" t="n">
        <x:v>1</x:v>
      </x:c>
      <x:c r="K1035" s="16" t="str">
        <x:v>3. Minor deterioration</x:v>
      </x:c>
      <x:c r="L1035" s="16" t="str">
        <x:v>Unlikely</x:v>
      </x:c>
      <x:c r="M1035" s="16" t="str">
        <x:v>Minor</x:v>
      </x:c>
      <x:c r="N1035" s="16" t="str">
        <x:v>Low</x:v>
      </x:c>
    </x:row>
    <x:row r="1036" ht="41" customHeight="1">
      <x:c r="A1036" s="16" t="str">
        <x:v>RAW-01030</x:v>
      </x:c>
      <x:c r="B1036" s="16" t="str">
        <x:v>Observation</x:v>
      </x:c>
      <x:c r="C1036" s="16" t="str">
        <x:v>– Fencing posts on left hand side of property facing the front entrance. Bitumen paint deterioration and corrosion.</x:v>
      </x:c>
      <x:c r="D1036" s="16" t="str">
        <x:v>Fencing posts</x:v>
      </x:c>
      <x:c r="E1036" s="16" t="str">
        <x:v>SRC-059</x:v>
      </x:c>
      <x:c r="F1036" s="16" t="str">
        <x:v>OBS-0048</x:v>
      </x:c>
      <x:c r="G1036" s="16" t="str">
        <x:v>正式报告</x:v>
      </x:c>
      <x:c r="H1036" s="19" t="n">
        <x:v>3</x:v>
      </x:c>
      <x:c r="I1036" s="19" t="n">
        <x:v>6</x:v>
      </x:c>
      <x:c r="J1036" s="19" t="n">
        <x:v>1</x:v>
      </x:c>
      <x:c r="K1036" s="16" t="str">
        <x:v>5. Major deterioration</x:v>
      </x:c>
      <x:c r="L1036" s="16" t="str">
        <x:v>Likely</x:v>
      </x:c>
      <x:c r="M1036" s="16" t="str">
        <x:v>Moderate</x:v>
      </x:c>
      <x:c r="N1036" s="16" t="str">
        <x:v>High</x:v>
      </x:c>
    </x:row>
    <x:row r="1037" ht="41" customHeight="1">
      <x:c r="A1037" s="16" t="str">
        <x:v>RAW-01031</x:v>
      </x:c>
      <x:c r="B1037" s="16" t="str">
        <x:v>Observation</x:v>
      </x:c>
      <x:c r="C1037" s="16" t="str">
        <x:v>– Fencing posts on left hand side of property facing the front entrance. Bitumen paint deterioration and corrosion.</x:v>
      </x:c>
      <x:c r="D1037" s="16" t="str">
        <x:v>Fencing posts</x:v>
      </x:c>
      <x:c r="E1037" s="16" t="str">
        <x:v>SRC-059</x:v>
      </x:c>
      <x:c r="F1037" s="16" t="str">
        <x:v>OBS-0048</x:v>
      </x:c>
      <x:c r="G1037" s="16" t="str">
        <x:v>正式报告</x:v>
      </x:c>
      <x:c r="H1037" s="19" t="n">
        <x:v>3</x:v>
      </x:c>
      <x:c r="I1037" s="19" t="n">
        <x:v>7</x:v>
      </x:c>
      <x:c r="J1037" s="19" t="n">
        <x:v>3</x:v>
      </x:c>
      <x:c r="K1037" s="16" t="str">
        <x:v>5. Major deterioration</x:v>
      </x:c>
      <x:c r="L1037" s="16" t="str">
        <x:v>Likely</x:v>
      </x:c>
      <x:c r="M1037" s="16" t="str">
        <x:v>Moderate</x:v>
      </x:c>
      <x:c r="N1037" s="16" t="str">
        <x:v>High</x:v>
      </x:c>
    </x:row>
    <x:row r="1038" ht="41" customHeight="1">
      <x:c r="A1038" s="16" t="str">
        <x:v>RAW-01032</x:v>
      </x:c>
      <x:c r="B1038" s="16" t="str">
        <x:v>Recommendation</x:v>
      </x:c>
      <x:c r="C1038" s="16" t="str">
        <x:v>– Clean, wire brush and repaint. Expose the posts’ base and investigate the condition. Undertake appropriate repair stated within Section 3.</x:v>
      </x:c>
      <x:c r="D1038" s="16" t="str">
        <x:v>Fencing posts</x:v>
      </x:c>
      <x:c r="E1038" s="16" t="str">
        <x:v>SRC-059</x:v>
      </x:c>
      <x:c r="F1038" s="16" t="str">
        <x:v>REC-0026</x:v>
      </x:c>
      <x:c r="G1038" s="16" t="str">
        <x:v>正式报告</x:v>
      </x:c>
      <x:c r="H1038" s="19" t="n">
        <x:v>3</x:v>
      </x:c>
      <x:c r="I1038" s="19" t="n">
        <x:v>7</x:v>
      </x:c>
      <x:c r="J1038" s="19" t="n">
        <x:v>3</x:v>
      </x:c>
      <x:c r="K1038" s="16" t="str">
        <x:v>5. Major deterioration</x:v>
      </x:c>
      <x:c r="L1038" s="16" t="str">
        <x:v>Likely</x:v>
      </x:c>
      <x:c r="M1038" s="16" t="str">
        <x:v>Moderate</x:v>
      </x:c>
      <x:c r="N1038" s="16" t="str">
        <x:v>High</x:v>
      </x:c>
    </x:row>
    <x:row r="1039" ht="37" customHeight="1">
      <x:c r="A1039" s="16" t="str">
        <x:v>RAW-01033</x:v>
      </x:c>
      <x:c r="B1039" s="16" t="str">
        <x:v>Observation</x:v>
      </x:c>
      <x:c r="C1039" s="16" t="str">
        <x:v>– Left hand side gate facing the front entrance. Minor corrosion of column.</x:v>
      </x:c>
      <x:c r="D1039" s="16" t="str">
        <x:v>Fencing posts</x:v>
      </x:c>
      <x:c r="E1039" s="16" t="str">
        <x:v>SRC-059</x:v>
      </x:c>
      <x:c r="F1039" s="16" t="str">
        <x:v>OBS-0343</x:v>
      </x:c>
      <x:c r="G1039" s="16" t="str">
        <x:v>正式报告</x:v>
      </x:c>
      <x:c r="H1039" s="19" t="n">
        <x:v>3</x:v>
      </x:c>
      <x:c r="I1039" s="19" t="n">
        <x:v>10</x:v>
      </x:c>
      <x:c r="J1039" s="19" t="n">
        <x:v>1</x:v>
      </x:c>
      <x:c r="K1039" s="16" t="str">
        <x:v>5. Major deterioration</x:v>
      </x:c>
      <x:c r="L1039" s="16" t="str">
        <x:v>Likely</x:v>
      </x:c>
      <x:c r="M1039" s="16" t="str">
        <x:v>Moderate</x:v>
      </x:c>
      <x:c r="N1039" s="16" t="str">
        <x:v>High</x:v>
      </x:c>
    </x:row>
    <x:row r="1040" ht="37" customHeight="1">
      <x:c r="A1040" s="16" t="str">
        <x:v>RAW-01034</x:v>
      </x:c>
      <x:c r="B1040" s="16" t="str">
        <x:v>Recommendation</x:v>
      </x:c>
      <x:c r="C1040" s="16" t="str">
        <x:v>– Clean, wire brush and repaint.</x:v>
      </x:c>
      <x:c r="D1040" s="16" t="str">
        <x:v>Fencing posts</x:v>
      </x:c>
      <x:c r="E1040" s="16" t="str">
        <x:v>SRC-059</x:v>
      </x:c>
      <x:c r="F1040" s="16" t="str">
        <x:v>REC-0001</x:v>
      </x:c>
      <x:c r="G1040" s="16" t="str">
        <x:v>正式报告</x:v>
      </x:c>
      <x:c r="H1040" s="19" t="n">
        <x:v>3</x:v>
      </x:c>
      <x:c r="I1040" s="19" t="n">
        <x:v>10</x:v>
      </x:c>
      <x:c r="J1040" s="19" t="n">
        <x:v>1</x:v>
      </x:c>
      <x:c r="K1040" s="16" t="str">
        <x:v>5. Major deterioration</x:v>
      </x:c>
      <x:c r="L1040" s="16" t="str">
        <x:v>Likely</x:v>
      </x:c>
      <x:c r="M1040" s="16" t="str">
        <x:v>Moderate</x:v>
      </x:c>
      <x:c r="N1040" s="16" t="str">
        <x:v>High</x:v>
      </x:c>
    </x:row>
    <x:row r="1041" ht="37" customHeight="1">
      <x:c r="A1041" s="16" t="str">
        <x:v>RAW-01035</x:v>
      </x:c>
      <x:c r="B1041" s="16" t="str">
        <x:v>Observation</x:v>
      </x:c>
      <x:c r="C1041" s="16" t="str">
        <x:v>– Right hand side gate facing the front entrance. Minor corrosion to full length of column.</x:v>
      </x:c>
      <x:c r="D1041" s="16" t="str">
        <x:v>Fencing posts</x:v>
      </x:c>
      <x:c r="E1041" s="16" t="str">
        <x:v>SRC-059</x:v>
      </x:c>
      <x:c r="F1041" s="16" t="str">
        <x:v>OBS-0486</x:v>
      </x:c>
      <x:c r="G1041" s="16" t="str">
        <x:v>正式报告</x:v>
      </x:c>
      <x:c r="H1041" s="19" t="n">
        <x:v>3</x:v>
      </x:c>
      <x:c r="I1041" s="19" t="n">
        <x:v>11</x:v>
      </x:c>
      <x:c r="J1041" s="19" t="n">
        <x:v>1</x:v>
      </x:c>
      <x:c r="K1041" s="16" t="str">
        <x:v>5. Major deterioration</x:v>
      </x:c>
      <x:c r="L1041" s="16" t="str">
        <x:v>Likely</x:v>
      </x:c>
      <x:c r="M1041" s="16" t="str">
        <x:v>Moderate</x:v>
      </x:c>
      <x:c r="N1041" s="16" t="str">
        <x:v>High</x:v>
      </x:c>
    </x:row>
    <x:row r="1042" ht="37" customHeight="1">
      <x:c r="A1042" s="16" t="str">
        <x:v>RAW-01036</x:v>
      </x:c>
      <x:c r="B1042" s="16" t="str">
        <x:v>Recommendation</x:v>
      </x:c>
      <x:c r="C1042" s="16" t="str">
        <x:v>– Clean, wire brush and repaint.</x:v>
      </x:c>
      <x:c r="D1042" s="16" t="str">
        <x:v>Fencing posts</x:v>
      </x:c>
      <x:c r="E1042" s="16" t="str">
        <x:v>SRC-059</x:v>
      </x:c>
      <x:c r="F1042" s="16" t="str">
        <x:v>REC-0001</x:v>
      </x:c>
      <x:c r="G1042" s="16" t="str">
        <x:v>正式报告</x:v>
      </x:c>
      <x:c r="H1042" s="19" t="n">
        <x:v>3</x:v>
      </x:c>
      <x:c r="I1042" s="19" t="n">
        <x:v>11</x:v>
      </x:c>
      <x:c r="J1042" s="19" t="n">
        <x:v>1</x:v>
      </x:c>
      <x:c r="K1042" s="16" t="str">
        <x:v>5. Major deterioration</x:v>
      </x:c>
      <x:c r="L1042" s="16" t="str">
        <x:v>Likely</x:v>
      </x:c>
      <x:c r="M1042" s="16" t="str">
        <x:v>Moderate</x:v>
      </x:c>
      <x:c r="N1042" s="16" t="str">
        <x:v>High</x:v>
      </x:c>
    </x:row>
    <x:row r="1043" ht="37" customHeight="1">
      <x:c r="A1043" s="16" t="str">
        <x:v>RAW-01037</x:v>
      </x:c>
      <x:c r="B1043" s="16" t="str">
        <x:v>Observation</x:v>
      </x:c>
      <x:c r="C1043" s="16" t="str">
        <x:v>– Carport overview.</x:v>
      </x:c>
      <x:c r="D1043" s="16" t="str">
        <x:v>Purlins and rafters</x:v>
      </x:c>
      <x:c r="E1043" s="16" t="str">
        <x:v>SRC-059</x:v>
      </x:c>
      <x:c r="F1043" s="16" t="str">
        <x:v>OBS-0008</x:v>
      </x:c>
      <x:c r="G1043" s="16" t="str">
        <x:v>正式报告</x:v>
      </x:c>
      <x:c r="H1043" s="19" t="n">
        <x:v>4</x:v>
      </x:c>
      <x:c r="I1043" s="19" t="n">
        <x:v>6</x:v>
      </x:c>
      <x:c r="J1043" s="19" t="n">
        <x:v>1</x:v>
      </x:c>
      <x:c r="K1043" s="16" t="str">
        <x:v>2. New with slight deterioration</x:v>
      </x:c>
      <x:c r="L1043" s="16" t="str">
        <x:v>Very unlikely</x:v>
      </x:c>
      <x:c r="M1043" s="16" t="str">
        <x:v>Significant</x:v>
      </x:c>
      <x:c r="N1043" s="16" t="str">
        <x:v>Low</x:v>
      </x:c>
    </x:row>
    <x:row r="1044" ht="37" customHeight="1">
      <x:c r="A1044" s="16" t="str">
        <x:v>RAW-01038</x:v>
      </x:c>
      <x:c r="B1044" s="16" t="str">
        <x:v>Observation</x:v>
      </x:c>
      <x:c r="C1044" s="16" t="str">
        <x:v>– Salt staining.</x:v>
      </x:c>
      <x:c r="D1044" s="16" t="str">
        <x:v>Purlins and rafters</x:v>
      </x:c>
      <x:c r="E1044" s="16" t="str">
        <x:v>SRC-059</x:v>
      </x:c>
      <x:c r="F1044" s="16" t="str">
        <x:v>OBS-0083</x:v>
      </x:c>
      <x:c r="G1044" s="16" t="str">
        <x:v>正式报告</x:v>
      </x:c>
      <x:c r="H1044" s="19" t="n">
        <x:v>4</x:v>
      </x:c>
      <x:c r="I1044" s="19" t="n">
        <x:v>7</x:v>
      </x:c>
      <x:c r="J1044" s="19" t="n">
        <x:v>1</x:v>
      </x:c>
      <x:c r="K1044" s="16" t="str">
        <x:v>2. New with slight deterioration</x:v>
      </x:c>
      <x:c r="L1044" s="16" t="str">
        <x:v>Very unlikely</x:v>
      </x:c>
      <x:c r="M1044" s="16" t="str">
        <x:v>Significant</x:v>
      </x:c>
      <x:c r="N1044" s="16" t="str">
        <x:v>Low</x:v>
      </x:c>
    </x:row>
    <x:row r="1045" ht="37" customHeight="1">
      <x:c r="A1045" s="16" t="str">
        <x:v>RAW-01039</x:v>
      </x:c>
      <x:c r="B1045" s="16" t="str">
        <x:v>Observation</x:v>
      </x:c>
      <x:c r="C1045" s="16" t="str">
        <x:v>– Salt staining and holes in purlin cap plate.</x:v>
      </x:c>
      <x:c r="D1045" s="16" t="str">
        <x:v>Purlins and rafters</x:v>
      </x:c>
      <x:c r="E1045" s="16" t="str">
        <x:v>SRC-059</x:v>
      </x:c>
      <x:c r="F1045" s="16" t="str">
        <x:v>OBS-0545</x:v>
      </x:c>
      <x:c r="G1045" s="16" t="str">
        <x:v>正式报告</x:v>
      </x:c>
      <x:c r="H1045" s="19" t="n">
        <x:v>4</x:v>
      </x:c>
      <x:c r="I1045" s="19" t="n">
        <x:v>8</x:v>
      </x:c>
      <x:c r="J1045" s="19" t="n">
        <x:v>3</x:v>
      </x:c>
      <x:c r="K1045" s="16" t="str">
        <x:v>2. New with slight deterioration</x:v>
      </x:c>
      <x:c r="L1045" s="16" t="str">
        <x:v>Very unlikely</x:v>
      </x:c>
      <x:c r="M1045" s="16" t="str">
        <x:v>Significant</x:v>
      </x:c>
      <x:c r="N1045" s="16" t="str">
        <x:v>Low</x:v>
      </x:c>
    </x:row>
    <x:row r="1046" ht="37" customHeight="1">
      <x:c r="A1046" s="16" t="str">
        <x:v>RAW-01040</x:v>
      </x:c>
      <x:c r="B1046" s="16" t="str">
        <x:v>Recommendation</x:v>
      </x:c>
      <x:c r="C1046" s="16" t="str">
        <x:v>– Clean salt staining and cover holes to prevent water ingress.</x:v>
      </x:c>
      <x:c r="D1046" s="16" t="str">
        <x:v>Purlins and rafters</x:v>
      </x:c>
      <x:c r="E1046" s="16" t="str">
        <x:v>SRC-059</x:v>
      </x:c>
      <x:c r="F1046" s="16" t="str">
        <x:v>REC-0058</x:v>
      </x:c>
      <x:c r="G1046" s="16" t="str">
        <x:v>正式报告</x:v>
      </x:c>
      <x:c r="H1046" s="19" t="n">
        <x:v>4</x:v>
      </x:c>
      <x:c r="I1046" s="19" t="n">
        <x:v>8</x:v>
      </x:c>
      <x:c r="J1046" s="19" t="n">
        <x:v>3</x:v>
      </x:c>
      <x:c r="K1046" s="16" t="str">
        <x:v>2. New with slight deterioration</x:v>
      </x:c>
      <x:c r="L1046" s="16" t="str">
        <x:v>Very unlikely</x:v>
      </x:c>
      <x:c r="M1046" s="16" t="str">
        <x:v>Significant</x:v>
      </x:c>
      <x:c r="N1046" s="16" t="str">
        <x:v>Low</x:v>
      </x:c>
    </x:row>
    <x:row r="1047" ht="37" customHeight="1">
      <x:c r="A1047" s="16" t="str">
        <x:v>RAW-01041</x:v>
      </x:c>
      <x:c r="B1047" s="16" t="str">
        <x:v>Observation</x:v>
      </x:c>
      <x:c r="C1047" s="16" t="str">
        <x:v>– Columns in good condition.</x:v>
      </x:c>
      <x:c r="D1047" s="16" t="str">
        <x:v>Columns</x:v>
      </x:c>
      <x:c r="E1047" s="16" t="str">
        <x:v>SRC-059</x:v>
      </x:c>
      <x:c r="F1047" s="16" t="str">
        <x:v>OBS-0001</x:v>
      </x:c>
      <x:c r="G1047" s="16" t="str">
        <x:v>正式报告</x:v>
      </x:c>
      <x:c r="H1047" s="19" t="n">
        <x:v>5</x:v>
      </x:c>
      <x:c r="I1047" s="19" t="n">
        <x:v>6</x:v>
      </x:c>
      <x:c r="J1047" s="19" t="n">
        <x:v>2</x:v>
      </x:c>
      <x:c r="K1047" s="16" t="str">
        <x:v>2. New with slight deterioration</x:v>
      </x:c>
      <x:c r="L1047" s="16" t="str">
        <x:v>Very unlikely</x:v>
      </x:c>
      <x:c r="M1047" s="16" t="str">
        <x:v>Significant</x:v>
      </x:c>
      <x:c r="N1047" s="16" t="str">
        <x:v>Low</x:v>
      </x:c>
    </x:row>
    <x:row r="1048" ht="37" customHeight="1">
      <x:c r="A1048" s="16" t="str">
        <x:v>RAW-01042</x:v>
      </x:c>
      <x:c r="B1048" s="16" t="str">
        <x:v>Observation</x:v>
      </x:c>
      <x:c r="C1048" s="16" t="str">
        <x:v>– Row 1 Column 1. Minor corrosion at lower portion of column.</x:v>
      </x:c>
      <x:c r="D1048" s="16" t="str">
        <x:v>Columns</x:v>
      </x:c>
      <x:c r="E1048" s="16" t="str">
        <x:v>SRC-059</x:v>
      </x:c>
      <x:c r="F1048" s="16" t="str">
        <x:v>OBS-0521</x:v>
      </x:c>
      <x:c r="G1048" s="16" t="str">
        <x:v>正式报告</x:v>
      </x:c>
      <x:c r="H1048" s="19" t="n">
        <x:v>5</x:v>
      </x:c>
      <x:c r="I1048" s="19" t="n">
        <x:v>8</x:v>
      </x:c>
      <x:c r="J1048" s="19" t="n">
        <x:v>1</x:v>
      </x:c>
      <x:c r="K1048" s="16" t="str">
        <x:v>2. New with slight deterioration</x:v>
      </x:c>
      <x:c r="L1048" s="16" t="str">
        <x:v>Very unlikely</x:v>
      </x:c>
      <x:c r="M1048" s="16" t="str">
        <x:v>Significant</x:v>
      </x:c>
      <x:c r="N1048" s="16" t="str">
        <x:v>Low</x:v>
      </x:c>
    </x:row>
    <x:row r="1049" ht="37" customHeight="1">
      <x:c r="A1049" s="16" t="str">
        <x:v>RAW-01043</x:v>
      </x:c>
      <x:c r="B1049" s="16" t="str">
        <x:v>Observation</x:v>
      </x:c>
      <x:c r="C1049" s="16" t="str">
        <x:v>– Row 1 Column 2. Minor corrosion and salt staining at lower portion of column.</x:v>
      </x:c>
      <x:c r="D1049" s="16" t="str">
        <x:v>Columns</x:v>
      </x:c>
      <x:c r="E1049" s="16" t="str">
        <x:v>SRC-059</x:v>
      </x:c>
      <x:c r="F1049" s="16" t="str">
        <x:v>OBS-0523</x:v>
      </x:c>
      <x:c r="G1049" s="16" t="str">
        <x:v>正式报告</x:v>
      </x:c>
      <x:c r="H1049" s="19" t="n">
        <x:v>5</x:v>
      </x:c>
      <x:c r="I1049" s="19" t="n">
        <x:v>9</x:v>
      </x:c>
      <x:c r="J1049" s="19" t="n">
        <x:v>1</x:v>
      </x:c>
      <x:c r="K1049" s="16" t="str">
        <x:v>2. New with slight deterioration</x:v>
      </x:c>
      <x:c r="L1049" s="16" t="str">
        <x:v>Very unlikely</x:v>
      </x:c>
      <x:c r="M1049" s="16" t="str">
        <x:v>Significant</x:v>
      </x:c>
      <x:c r="N1049" s="16" t="str">
        <x:v>Low</x:v>
      </x:c>
    </x:row>
    <x:row r="1050" ht="37" customHeight="1">
      <x:c r="A1050" s="16" t="str">
        <x:v>RAW-01044</x:v>
      </x:c>
      <x:c r="B1050" s="16" t="str">
        <x:v>Observation</x:v>
      </x:c>
      <x:c r="C1050" s="16" t="str">
        <x:v>– Front window. Salt staining and minor corrosion.</x:v>
      </x:c>
      <x:c r="D1050" s="16" t="str">
        <x:v>Cladding and framing</x:v>
      </x:c>
      <x:c r="E1050" s="16" t="str">
        <x:v>SRC-059</x:v>
      </x:c>
      <x:c r="F1050" s="16" t="str">
        <x:v>OBS-0311</x:v>
      </x:c>
      <x:c r="G1050" s="16" t="str">
        <x:v>正式报告</x:v>
      </x:c>
      <x:c r="H1050" s="19" t="n">
        <x:v>6</x:v>
      </x:c>
      <x:c r="I1050" s="19" t="n">
        <x:v>6</x:v>
      </x:c>
      <x:c r="J1050" s="19" t="n">
        <x:v>2</x:v>
      </x:c>
      <x:c r="K1050" s="16" t="str">
        <x:v>2. New with slight deterioration</x:v>
      </x:c>
      <x:c r="L1050" s="16" t="str">
        <x:v>Very unlikely</x:v>
      </x:c>
      <x:c r="M1050" s="16" t="str">
        <x:v>Negligible</x:v>
      </x:c>
      <x:c r="N1050" s="16" t="str">
        <x:v>Low</x:v>
      </x:c>
    </x:row>
    <x:row r="1051" ht="37" customHeight="1">
      <x:c r="A1051" s="16" t="str">
        <x:v>RAW-01045</x:v>
      </x:c>
      <x:c r="B1051" s="16" t="str">
        <x:v>Recommendation</x:v>
      </x:c>
      <x:c r="C1051" s="16" t="str">
        <x:v>– Remove salt staining.</x:v>
      </x:c>
      <x:c r="D1051" s="16" t="str">
        <x:v>Cladding and framing</x:v>
      </x:c>
      <x:c r="E1051" s="16" t="str">
        <x:v>SRC-059</x:v>
      </x:c>
      <x:c r="F1051" s="16" t="str">
        <x:v>REC-0004</x:v>
      </x:c>
      <x:c r="G1051" s="16" t="str">
        <x:v>正式报告</x:v>
      </x:c>
      <x:c r="H1051" s="19" t="n">
        <x:v>6</x:v>
      </x:c>
      <x:c r="I1051" s="19" t="n">
        <x:v>6</x:v>
      </x:c>
      <x:c r="J1051" s="19" t="n">
        <x:v>2</x:v>
      </x:c>
      <x:c r="K1051" s="16" t="str">
        <x:v>2. New with slight deterioration</x:v>
      </x:c>
      <x:c r="L1051" s="16" t="str">
        <x:v>Very unlikely</x:v>
      </x:c>
      <x:c r="M1051" s="16" t="str">
        <x:v>Negligible</x:v>
      </x:c>
      <x:c r="N1051" s="16" t="str">
        <x:v>Low</x:v>
      </x:c>
    </x:row>
    <x:row r="1052" ht="37" customHeight="1">
      <x:c r="A1052" s="16" t="str">
        <x:v>RAW-01046</x:v>
      </x:c>
      <x:c r="B1052" s="16" t="str">
        <x:v>Observation</x:v>
      </x:c>
      <x:c r="C1052" s="16" t="str">
        <x:v>– Salt staining at corner of window frame, typical to most windows.</x:v>
      </x:c>
      <x:c r="D1052" s="16" t="str">
        <x:v>Cladding and framing</x:v>
      </x:c>
      <x:c r="E1052" s="16" t="str">
        <x:v>SRC-059</x:v>
      </x:c>
      <x:c r="F1052" s="16" t="str">
        <x:v>OBS-0080</x:v>
      </x:c>
      <x:c r="G1052" s="16" t="str">
        <x:v>正式报告</x:v>
      </x:c>
      <x:c r="H1052" s="19" t="n">
        <x:v>6</x:v>
      </x:c>
      <x:c r="I1052" s="19" t="n">
        <x:v>8</x:v>
      </x:c>
      <x:c r="J1052" s="19" t="n">
        <x:v>1</x:v>
      </x:c>
      <x:c r="K1052" s="16" t="str">
        <x:v>2. New with slight deterioration</x:v>
      </x:c>
      <x:c r="L1052" s="16" t="str">
        <x:v>Very unlikely</x:v>
      </x:c>
      <x:c r="M1052" s="16" t="str">
        <x:v>Negligible</x:v>
      </x:c>
      <x:c r="N1052" s="16" t="str">
        <x:v>Low</x:v>
      </x:c>
    </x:row>
    <x:row r="1053" ht="37" customHeight="1">
      <x:c r="A1053" s="16" t="str">
        <x:v>RAW-01047</x:v>
      </x:c>
      <x:c r="B1053" s="16" t="str">
        <x:v>Recommendation</x:v>
      </x:c>
      <x:c r="C1053" s="16" t="str">
        <x:v>– Remove salt staining.</x:v>
      </x:c>
      <x:c r="D1053" s="16" t="str">
        <x:v>Cladding and framing</x:v>
      </x:c>
      <x:c r="E1053" s="16" t="str">
        <x:v>SRC-059</x:v>
      </x:c>
      <x:c r="F1053" s="16" t="str">
        <x:v>REC-0004</x:v>
      </x:c>
      <x:c r="G1053" s="16" t="str">
        <x:v>正式报告</x:v>
      </x:c>
      <x:c r="H1053" s="19" t="n">
        <x:v>6</x:v>
      </x:c>
      <x:c r="I1053" s="19" t="n">
        <x:v>8</x:v>
      </x:c>
      <x:c r="J1053" s="19" t="n">
        <x:v>1</x:v>
      </x:c>
      <x:c r="K1053" s="16" t="str">
        <x:v>2. New with slight deterioration</x:v>
      </x:c>
      <x:c r="L1053" s="16" t="str">
        <x:v>Very unlikely</x:v>
      </x:c>
      <x:c r="M1053" s="16" t="str">
        <x:v>Negligible</x:v>
      </x:c>
      <x:c r="N1053" s="16" t="str">
        <x:v>Low</x:v>
      </x:c>
    </x:row>
    <x:row r="1054" ht="37" customHeight="1">
      <x:c r="A1054" s="16" t="str">
        <x:v>RAW-01048</x:v>
      </x:c>
      <x:c r="B1054" s="16" t="str">
        <x:v>Observation</x:v>
      </x:c>
      <x:c r="C1054" s="16" t="str">
        <x:v>– Salt staining to back wall cladding at bolted connections.</x:v>
      </x:c>
      <x:c r="D1054" s="16" t="str">
        <x:v>Cladding and framing</x:v>
      </x:c>
      <x:c r="E1054" s="16" t="str">
        <x:v>SRC-059</x:v>
      </x:c>
      <x:c r="F1054" s="16" t="str">
        <x:v>OBS-0082</x:v>
      </x:c>
      <x:c r="G1054" s="16" t="str">
        <x:v>正式报告</x:v>
      </x:c>
      <x:c r="H1054" s="19" t="n">
        <x:v>6</x:v>
      </x:c>
      <x:c r="I1054" s="19" t="n">
        <x:v>9</x:v>
      </x:c>
      <x:c r="J1054" s="19" t="n">
        <x:v>1</x:v>
      </x:c>
      <x:c r="K1054" s="16" t="str">
        <x:v>2. New with slight deterioration</x:v>
      </x:c>
      <x:c r="L1054" s="16" t="str">
        <x:v>Very unlikely</x:v>
      </x:c>
      <x:c r="M1054" s="16" t="str">
        <x:v>Negligible</x:v>
      </x:c>
      <x:c r="N1054" s="16" t="str">
        <x:v>Low</x:v>
      </x:c>
    </x:row>
    <x:row r="1055" ht="37" customHeight="1">
      <x:c r="A1055" s="16" t="str">
        <x:v>RAW-01049</x:v>
      </x:c>
      <x:c r="B1055" s="16" t="str">
        <x:v>Recommendation</x:v>
      </x:c>
      <x:c r="C1055" s="16" t="str">
        <x:v>– Remove salt staining.</x:v>
      </x:c>
      <x:c r="D1055" s="16" t="str">
        <x:v>Cladding and framing</x:v>
      </x:c>
      <x:c r="E1055" s="16" t="str">
        <x:v>SRC-059</x:v>
      </x:c>
      <x:c r="F1055" s="16" t="str">
        <x:v>REC-0004</x:v>
      </x:c>
      <x:c r="G1055" s="16" t="str">
        <x:v>正式报告</x:v>
      </x:c>
      <x:c r="H1055" s="19" t="n">
        <x:v>6</x:v>
      </x:c>
      <x:c r="I1055" s="19" t="n">
        <x:v>9</x:v>
      </x:c>
      <x:c r="J1055" s="19" t="n">
        <x:v>1</x:v>
      </x:c>
      <x:c r="K1055" s="16" t="str">
        <x:v>2. New with slight deterioration</x:v>
      </x:c>
      <x:c r="L1055" s="16" t="str">
        <x:v>Very unlikely</x:v>
      </x:c>
      <x:c r="M1055" s="16" t="str">
        <x:v>Negligible</x:v>
      </x:c>
      <x:c r="N1055" s="16" t="str">
        <x:v>Low</x:v>
      </x:c>
    </x:row>
    <x:row r="1056" ht="37" customHeight="1">
      <x:c r="A1056" s="16" t="str">
        <x:v>RAW-01050</x:v>
      </x:c>
      <x:c r="B1056" s="16" t="str">
        <x:v>Observation</x:v>
      </x:c>
      <x:c r="C1056" s="16" t="str">
        <x:v>– Minor corrosion on roof sheeting</x:v>
      </x:c>
      <x:c r="D1056" s="16" t="str">
        <x:v>Cladding and framing</x:v>
      </x:c>
      <x:c r="E1056" s="16" t="str">
        <x:v>SRC-059</x:v>
      </x:c>
      <x:c r="F1056" s="16" t="str">
        <x:v>OBS-0066</x:v>
      </x:c>
      <x:c r="G1056" s="16" t="str">
        <x:v>正式报告</x:v>
      </x:c>
      <x:c r="H1056" s="19" t="n">
        <x:v>6</x:v>
      </x:c>
      <x:c r="I1056" s="19" t="n">
        <x:v>10</x:v>
      </x:c>
      <x:c r="J1056" s="19" t="n">
        <x:v>1</x:v>
      </x:c>
      <x:c r="K1056" s="16" t="str">
        <x:v>2. New with slight deterioration</x:v>
      </x:c>
      <x:c r="L1056" s="16" t="str">
        <x:v>Very unlikely</x:v>
      </x:c>
      <x:c r="M1056" s="16" t="str">
        <x:v>Negligible</x:v>
      </x:c>
      <x:c r="N1056" s="16" t="str">
        <x:v>Low</x:v>
      </x:c>
    </x:row>
    <x:row r="1057" ht="37" customHeight="1">
      <x:c r="A1057" s="16" t="str">
        <x:v>RAW-01051</x:v>
      </x:c>
      <x:c r="B1057" s="16" t="str">
        <x:v>Recommendation</x:v>
      </x:c>
      <x:c r="C1057" s="16" t="str">
        <x:v>– Clean, wire brush and repaint.</x:v>
      </x:c>
      <x:c r="D1057" s="16" t="str">
        <x:v>Cladding and framing</x:v>
      </x:c>
      <x:c r="E1057" s="16" t="str">
        <x:v>SRC-059</x:v>
      </x:c>
      <x:c r="F1057" s="16" t="str">
        <x:v>REC-0001</x:v>
      </x:c>
      <x:c r="G1057" s="16" t="str">
        <x:v>正式报告</x:v>
      </x:c>
      <x:c r="H1057" s="19" t="n">
        <x:v>6</x:v>
      </x:c>
      <x:c r="I1057" s="19" t="n">
        <x:v>10</x:v>
      </x:c>
      <x:c r="J1057" s="19" t="n">
        <x:v>1</x:v>
      </x:c>
      <x:c r="K1057" s="16" t="str">
        <x:v>2. New with slight deterioration</x:v>
      </x:c>
      <x:c r="L1057" s="16" t="str">
        <x:v>Very unlikely</x:v>
      </x:c>
      <x:c r="M1057" s="16" t="str">
        <x:v>Negligible</x:v>
      </x:c>
      <x:c r="N1057" s="16" t="str">
        <x:v>Low</x:v>
      </x:c>
    </x:row>
    <x:row r="1058" ht="41" customHeight="1">
      <x:c r="A1058" s="16" t="str">
        <x:v>RAW-01052</x:v>
      </x:c>
      <x:c r="B1058" s="16" t="str">
        <x:v>Observation</x:v>
      </x:c>
      <x:c r="C1058" s="16" t="str">
        <x:v>– Backyard fencing posts. Water flows from verandah roof directed to fencing posts. Delamination and minor corrosion observed.</x:v>
      </x:c>
      <x:c r="D1058" s="16" t="str">
        <x:v>Fencing posts</x:v>
      </x:c>
      <x:c r="E1058" s="16" t="str">
        <x:v>SRC-060</x:v>
      </x:c>
      <x:c r="F1058" s="16" t="str">
        <x:v>OBS-0134</x:v>
      </x:c>
      <x:c r="G1058" s="16" t="str">
        <x:v>正式报告</x:v>
      </x:c>
      <x:c r="H1058" s="19" t="n">
        <x:v>3</x:v>
      </x:c>
      <x:c r="I1058" s="19" t="n">
        <x:v>6</x:v>
      </x:c>
      <x:c r="J1058" s="19" t="n">
        <x:v>1</x:v>
      </x:c>
      <x:c r="K1058" s="16" t="str">
        <x:v>5. Major deterioration</x:v>
      </x:c>
      <x:c r="L1058" s="16" t="str">
        <x:v>Likely</x:v>
      </x:c>
      <x:c r="M1058" s="16" t="str">
        <x:v>Moderate</x:v>
      </x:c>
      <x:c r="N1058" s="16" t="str">
        <x:v>High</x:v>
      </x:c>
    </x:row>
    <x:row r="1059" ht="41" customHeight="1">
      <x:c r="A1059" s="16" t="str">
        <x:v>RAW-01053</x:v>
      </x:c>
      <x:c r="B1059" s="16" t="str">
        <x:v>Recommendation</x:v>
      </x:c>
      <x:c r="C1059" s="16" t="str">
        <x:v>– Clean, wire brush and repaint. Excavate all fencing posts to the base and investigate the condition. Undertake appropriate repair stated within Section 3.</x:v>
      </x:c>
      <x:c r="D1059" s="16" t="str">
        <x:v>Fencing posts</x:v>
      </x:c>
      <x:c r="E1059" s="16" t="str">
        <x:v>SRC-060</x:v>
      </x:c>
      <x:c r="F1059" s="16" t="str">
        <x:v>REC-0011</x:v>
      </x:c>
      <x:c r="G1059" s="16" t="str">
        <x:v>正式报告</x:v>
      </x:c>
      <x:c r="H1059" s="19" t="n">
        <x:v>3</x:v>
      </x:c>
      <x:c r="I1059" s="19" t="n">
        <x:v>6</x:v>
      </x:c>
      <x:c r="J1059" s="19" t="n">
        <x:v>1</x:v>
      </x:c>
      <x:c r="K1059" s="16" t="str">
        <x:v>5. Major deterioration</x:v>
      </x:c>
      <x:c r="L1059" s="16" t="str">
        <x:v>Likely</x:v>
      </x:c>
      <x:c r="M1059" s="16" t="str">
        <x:v>Moderate</x:v>
      </x:c>
      <x:c r="N1059" s="16" t="str">
        <x:v>High</x:v>
      </x:c>
    </x:row>
    <x:row r="1060" ht="37" customHeight="1">
      <x:c r="A1060" s="16" t="str">
        <x:v>RAW-01054</x:v>
      </x:c>
      <x:c r="B1060" s="16" t="str">
        <x:v>Observation</x:v>
      </x:c>
      <x:c r="C1060" s="16" t="str">
        <x:v>– Backyard fence. Minor corrosion of fencing cladding.</x:v>
      </x:c>
      <x:c r="D1060" s="16" t="str">
        <x:v>Fencing posts</x:v>
      </x:c>
      <x:c r="E1060" s="16" t="str">
        <x:v>SRC-060</x:v>
      </x:c>
      <x:c r="F1060" s="16" t="str">
        <x:v>OBS-0126</x:v>
      </x:c>
      <x:c r="G1060" s="16" t="str">
        <x:v>正式报告</x:v>
      </x:c>
      <x:c r="H1060" s="19" t="n">
        <x:v>3</x:v>
      </x:c>
      <x:c r="I1060" s="19" t="n">
        <x:v>7</x:v>
      </x:c>
      <x:c r="J1060" s="19" t="n">
        <x:v>1</x:v>
      </x:c>
      <x:c r="K1060" s="16" t="str">
        <x:v>5. Major deterioration</x:v>
      </x:c>
      <x:c r="L1060" s="16" t="str">
        <x:v>Likely</x:v>
      </x:c>
      <x:c r="M1060" s="16" t="str">
        <x:v>Moderate</x:v>
      </x:c>
      <x:c r="N1060" s="16" t="str">
        <x:v>High</x:v>
      </x:c>
    </x:row>
    <x:row r="1061" ht="37" customHeight="1">
      <x:c r="A1061" s="16" t="str">
        <x:v>RAW-01055</x:v>
      </x:c>
      <x:c r="B1061" s="16" t="str">
        <x:v>Observation</x:v>
      </x:c>
      <x:c r="C1061" s="16" t="str">
        <x:v>– Backyard fencing posts. Delamination of Post 3.</x:v>
      </x:c>
      <x:c r="D1061" s="16" t="str">
        <x:v>Fencing posts</x:v>
      </x:c>
      <x:c r="E1061" s="16" t="str">
        <x:v>SRC-060</x:v>
      </x:c>
      <x:c r="F1061" s="16" t="str">
        <x:v>OBS-0133</x:v>
      </x:c>
      <x:c r="G1061" s="16" t="str">
        <x:v>正式报告</x:v>
      </x:c>
      <x:c r="H1061" s="19" t="n">
        <x:v>3</x:v>
      </x:c>
      <x:c r="I1061" s="19" t="n">
        <x:v>8</x:v>
      </x:c>
      <x:c r="J1061" s="19" t="n">
        <x:v>1</x:v>
      </x:c>
      <x:c r="K1061" s="16" t="str">
        <x:v>5. Major deterioration</x:v>
      </x:c>
      <x:c r="L1061" s="16" t="str">
        <x:v>Likely</x:v>
      </x:c>
      <x:c r="M1061" s="16" t="str">
        <x:v>Moderate</x:v>
      </x:c>
      <x:c r="N1061" s="16" t="str">
        <x:v>High</x:v>
      </x:c>
    </x:row>
    <x:row r="1062" ht="37" customHeight="1">
      <x:c r="A1062" s="16" t="str">
        <x:v>RAW-01056</x:v>
      </x:c>
      <x:c r="B1062" s="16" t="str">
        <x:v>Observation</x:v>
      </x:c>
      <x:c r="C1062" s="16" t="str">
        <x:v>– Major delamination and bitumen paint deterioration of Post 4.</x:v>
      </x:c>
      <x:c r="D1062" s="16" t="str">
        <x:v>Fencing posts</x:v>
      </x:c>
      <x:c r="E1062" s="16" t="str">
        <x:v>SRC-060</x:v>
      </x:c>
      <x:c r="F1062" s="16" t="str">
        <x:v>OBS-0371</x:v>
      </x:c>
      <x:c r="G1062" s="16" t="str">
        <x:v>正式报告</x:v>
      </x:c>
      <x:c r="H1062" s="19" t="n">
        <x:v>3</x:v>
      </x:c>
      <x:c r="I1062" s="19" t="n">
        <x:v>9</x:v>
      </x:c>
      <x:c r="J1062" s="19" t="n">
        <x:v>1</x:v>
      </x:c>
      <x:c r="K1062" s="16" t="str">
        <x:v>5. Major deterioration</x:v>
      </x:c>
      <x:c r="L1062" s="16" t="str">
        <x:v>Likely</x:v>
      </x:c>
      <x:c r="M1062" s="16" t="str">
        <x:v>Moderate</x:v>
      </x:c>
      <x:c r="N1062" s="16" t="str">
        <x:v>High</x:v>
      </x:c>
    </x:row>
    <x:row r="1063" ht="41" customHeight="1">
      <x:c r="A1063" s="16" t="str">
        <x:v>RAW-01057</x:v>
      </x:c>
      <x:c r="B1063" s="16" t="str">
        <x:v>Observation</x:v>
      </x:c>
      <x:c r="C1063" s="16" t="str">
        <x:v>– Antenna attached to rafter on left hand side of house facing front of house. Loose bolts, separation between side plate and rafter.</x:v>
      </x:c>
      <x:c r="D1063" s="16" t="str">
        <x:v>Antenna</x:v>
      </x:c>
      <x:c r="E1063" s="16" t="str">
        <x:v>SRC-060</x:v>
      </x:c>
      <x:c r="F1063" s="16" t="str">
        <x:v>OBS-0096</x:v>
      </x:c>
      <x:c r="G1063" s="16" t="str">
        <x:v>正式报告</x:v>
      </x:c>
      <x:c r="H1063" s="19" t="n">
        <x:v>4</x:v>
      </x:c>
      <x:c r="I1063" s="19" t="n">
        <x:v>6</x:v>
      </x:c>
      <x:c r="J1063" s="19" t="n">
        <x:v>2</x:v>
      </x:c>
      <x:c r="K1063" s="16" t="str">
        <x:v>3. Minor deterioration</x:v>
      </x:c>
      <x:c r="L1063" s="16" t="str">
        <x:v>Unlikely</x:v>
      </x:c>
      <x:c r="M1063" s="16" t="str">
        <x:v>Moderate</x:v>
      </x:c>
      <x:c r="N1063" s="16" t="str">
        <x:v>Moderate</x:v>
      </x:c>
    </x:row>
    <x:row r="1064" ht="37" customHeight="1">
      <x:c r="A1064" s="16" t="str">
        <x:v>RAW-01058</x:v>
      </x:c>
      <x:c r="B1064" s="16" t="str">
        <x:v>Recommendation</x:v>
      </x:c>
      <x:c r="C1064" s="16" t="str">
        <x:v>– Tighten bolts.</x:v>
      </x:c>
      <x:c r="D1064" s="16" t="str">
        <x:v>Antenna</x:v>
      </x:c>
      <x:c r="E1064" s="16" t="str">
        <x:v>SRC-060</x:v>
      </x:c>
      <x:c r="F1064" s="16" t="str">
        <x:v>REC-0168</x:v>
      </x:c>
      <x:c r="G1064" s="16" t="str">
        <x:v>正式报告</x:v>
      </x:c>
      <x:c r="H1064" s="19" t="n">
        <x:v>4</x:v>
      </x:c>
      <x:c r="I1064" s="19" t="n">
        <x:v>6</x:v>
      </x:c>
      <x:c r="J1064" s="19" t="n">
        <x:v>2</x:v>
      </x:c>
      <x:c r="K1064" s="16" t="str">
        <x:v>3. Minor deterioration</x:v>
      </x:c>
      <x:c r="L1064" s="16" t="str">
        <x:v>Unlikely</x:v>
      </x:c>
      <x:c r="M1064" s="16" t="str">
        <x:v>Moderate</x:v>
      </x:c>
      <x:c r="N1064" s="16" t="str">
        <x:v>Moderate</x:v>
      </x:c>
    </x:row>
    <x:row r="1065" ht="41" customHeight="1">
      <x:c r="A1065" s="16" t="str">
        <x:v>RAW-01059</x:v>
      </x:c>
      <x:c r="B1065" s="16" t="str">
        <x:v>Observation</x:v>
      </x:c>
      <x:c r="C1065" s="16" t="str">
        <x:v>– Verandah Column with tap attached. Column may deteriorate at faster rate when compared with other columns due to water ponding from tap.</x:v>
      </x:c>
      <x:c r="D1065" s="16" t="str">
        <x:v>Columns</x:v>
      </x:c>
      <x:c r="E1065" s="16" t="str">
        <x:v>SRC-060</x:v>
      </x:c>
      <x:c r="F1065" s="16" t="str">
        <x:v>OBS-0600</x:v>
      </x:c>
      <x:c r="G1065" s="16" t="str">
        <x:v>正式报告</x:v>
      </x:c>
      <x:c r="H1065" s="19" t="n">
        <x:v>5</x:v>
      </x:c>
      <x:c r="I1065" s="19" t="n">
        <x:v>7</x:v>
      </x:c>
      <x:c r="J1065" s="19" t="n">
        <x:v>1</x:v>
      </x:c>
      <x:c r="K1065" s="16" t="str">
        <x:v>2. New with slight deterioration</x:v>
      </x:c>
      <x:c r="L1065" s="16" t="str">
        <x:v>Very unlikely</x:v>
      </x:c>
      <x:c r="M1065" s="16" t="str">
        <x:v>Significant</x:v>
      </x:c>
      <x:c r="N1065" s="16" t="str">
        <x:v>Low</x:v>
      </x:c>
    </x:row>
    <x:row r="1066" ht="37" customHeight="1">
      <x:c r="A1066" s="16" t="str">
        <x:v>RAW-01060</x:v>
      </x:c>
      <x:c r="B1066" s="16" t="str">
        <x:v>Observation</x:v>
      </x:c>
      <x:c r="C1066" s="16" t="str">
        <x:v>– Back verandah columns in good condition.</x:v>
      </x:c>
      <x:c r="D1066" s="16" t="str">
        <x:v>Columns</x:v>
      </x:c>
      <x:c r="E1066" s="16" t="str">
        <x:v>SRC-060</x:v>
      </x:c>
      <x:c r="F1066" s="16" t="str">
        <x:v>OBS-0021</x:v>
      </x:c>
      <x:c r="G1066" s="16" t="str">
        <x:v>正式报告</x:v>
      </x:c>
      <x:c r="H1066" s="19" t="n">
        <x:v>5</x:v>
      </x:c>
      <x:c r="I1066" s="19" t="n">
        <x:v>8</x:v>
      </x:c>
      <x:c r="J1066" s="19" t="n">
        <x:v>1</x:v>
      </x:c>
      <x:c r="K1066" s="16" t="str">
        <x:v>2. New with slight deterioration</x:v>
      </x:c>
      <x:c r="L1066" s="16" t="str">
        <x:v>Very unlikely</x:v>
      </x:c>
      <x:c r="M1066" s="16" t="str">
        <x:v>Significant</x:v>
      </x:c>
      <x:c r="N1066" s="16" t="str">
        <x:v>Low</x:v>
      </x:c>
    </x:row>
    <x:row r="1067" ht="37" customHeight="1">
      <x:c r="A1067" s="16" t="str">
        <x:v>RAW-01061</x:v>
      </x:c>
      <x:c r="B1067" s="16" t="str">
        <x:v>Recommendation</x:v>
      </x:c>
      <x:c r="C1067" s="16" t="str">
        <x:v>– None.</x:v>
      </x:c>
      <x:c r="D1067" s="16" t="str">
        <x:v>Columns</x:v>
      </x:c>
      <x:c r="E1067" s="16" t="str">
        <x:v>SRC-060</x:v>
      </x:c>
      <x:c r="F1067" s="16" t="str">
        <x:v>REC-0003</x:v>
      </x:c>
      <x:c r="G1067" s="16" t="str">
        <x:v>正式报告</x:v>
      </x:c>
      <x:c r="H1067" s="19" t="n">
        <x:v>5</x:v>
      </x:c>
      <x:c r="I1067" s="19" t="n">
        <x:v>8</x:v>
      </x:c>
      <x:c r="J1067" s="19" t="n">
        <x:v>1</x:v>
      </x:c>
      <x:c r="K1067" s="16" t="str">
        <x:v>2. New with slight deterioration</x:v>
      </x:c>
      <x:c r="L1067" s="16" t="str">
        <x:v>Very unlikely</x:v>
      </x:c>
      <x:c r="M1067" s="16" t="str">
        <x:v>Significant</x:v>
      </x:c>
      <x:c r="N1067" s="16" t="str">
        <x:v>Low</x:v>
      </x:c>
    </x:row>
    <x:row r="1068" ht="37" customHeight="1">
      <x:c r="A1068" s="16" t="str">
        <x:v>RAW-01062</x:v>
      </x:c>
      <x:c r="B1068" s="16" t="str">
        <x:v>Observation</x:v>
      </x:c>
      <x:c r="C1068" s="16" t="str">
        <x:v>– Carport verandah in good condition.</x:v>
      </x:c>
      <x:c r="D1068" s="16" t="str">
        <x:v>Rafters and purlins</x:v>
      </x:c>
      <x:c r="E1068" s="16" t="str">
        <x:v>SRC-060</x:v>
      </x:c>
      <x:c r="F1068" s="16" t="str">
        <x:v>OBS-0003</x:v>
      </x:c>
      <x:c r="G1068" s="16" t="str">
        <x:v>正式报告</x:v>
      </x:c>
      <x:c r="H1068" s="19" t="n">
        <x:v>6</x:v>
      </x:c>
      <x:c r="I1068" s="19" t="n">
        <x:v>6</x:v>
      </x:c>
      <x:c r="J1068" s="19" t="n">
        <x:v>1</x:v>
      </x:c>
      <x:c r="K1068" s="16" t="str">
        <x:v>2. New with slight deterioration</x:v>
      </x:c>
      <x:c r="L1068" s="16" t="str">
        <x:v>Very unlikely</x:v>
      </x:c>
      <x:c r="M1068" s="16" t="str">
        <x:v>Significant</x:v>
      </x:c>
      <x:c r="N1068" s="16" t="str">
        <x:v>Low</x:v>
      </x:c>
    </x:row>
    <x:row r="1069" ht="37" customHeight="1">
      <x:c r="A1069" s="16" t="str">
        <x:v>RAW-01063</x:v>
      </x:c>
      <x:c r="B1069" s="16" t="str">
        <x:v>Observation</x:v>
      </x:c>
      <x:c r="C1069" s="16" t="str">
        <x:v>– Back verandah in good condition.</x:v>
      </x:c>
      <x:c r="D1069" s="16" t="str">
        <x:v>Rafters and purlins</x:v>
      </x:c>
      <x:c r="E1069" s="16" t="str">
        <x:v>SRC-060</x:v>
      </x:c>
      <x:c r="F1069" s="16" t="str">
        <x:v>OBS-0007</x:v>
      </x:c>
      <x:c r="G1069" s="16" t="str">
        <x:v>正式报告</x:v>
      </x:c>
      <x:c r="H1069" s="19" t="n">
        <x:v>6</x:v>
      </x:c>
      <x:c r="I1069" s="19" t="n">
        <x:v>7</x:v>
      </x:c>
      <x:c r="J1069" s="19" t="n">
        <x:v>1</x:v>
      </x:c>
      <x:c r="K1069" s="16" t="str">
        <x:v>2. New with slight deterioration</x:v>
      </x:c>
      <x:c r="L1069" s="16" t="str">
        <x:v>Very unlikely</x:v>
      </x:c>
      <x:c r="M1069" s="16" t="str">
        <x:v>Significant</x:v>
      </x:c>
      <x:c r="N1069" s="16" t="str">
        <x:v>Low</x:v>
      </x:c>
    </x:row>
    <x:row r="1070" ht="37" customHeight="1">
      <x:c r="A1070" s="16" t="str">
        <x:v>RAW-01064</x:v>
      </x:c>
      <x:c r="B1070" s="16" t="str">
        <x:v>Observation</x:v>
      </x:c>
      <x:c r="C1070" s="16" t="str">
        <x:v>– Salt staining on rafters and purlins supporting roof overhang.</x:v>
      </x:c>
      <x:c r="D1070" s="16" t="str">
        <x:v>Rafters and purlins</x:v>
      </x:c>
      <x:c r="E1070" s="16" t="str">
        <x:v>SRC-060</x:v>
      </x:c>
      <x:c r="F1070" s="16" t="str">
        <x:v>OBS-0006</x:v>
      </x:c>
      <x:c r="G1070" s="16" t="str">
        <x:v>正式报告</x:v>
      </x:c>
      <x:c r="H1070" s="19" t="n">
        <x:v>6</x:v>
      </x:c>
      <x:c r="I1070" s="19" t="n">
        <x:v>8</x:v>
      </x:c>
      <x:c r="J1070" s="19" t="n">
        <x:v>1</x:v>
      </x:c>
      <x:c r="K1070" s="16" t="str">
        <x:v>2. New with slight deterioration</x:v>
      </x:c>
      <x:c r="L1070" s="16" t="str">
        <x:v>Very unlikely</x:v>
      </x:c>
      <x:c r="M1070" s="16" t="str">
        <x:v>Significant</x:v>
      </x:c>
      <x:c r="N1070" s="16" t="str">
        <x:v>Low</x:v>
      </x:c>
    </x:row>
    <x:row r="1071" ht="37" customHeight="1">
      <x:c r="A1071" s="16" t="str">
        <x:v>RAW-01065</x:v>
      </x:c>
      <x:c r="B1071" s="16" t="str">
        <x:v>Recommendation</x:v>
      </x:c>
      <x:c r="C1071" s="16" t="str">
        <x:v>– Clean off salt staining.</x:v>
      </x:c>
      <x:c r="D1071" s="16" t="str">
        <x:v>Rafters and purlins</x:v>
      </x:c>
      <x:c r="E1071" s="16" t="str">
        <x:v>SRC-060</x:v>
      </x:c>
      <x:c r="F1071" s="16" t="str">
        <x:v>REC-0008</x:v>
      </x:c>
      <x:c r="G1071" s="16" t="str">
        <x:v>正式报告</x:v>
      </x:c>
      <x:c r="H1071" s="19" t="n">
        <x:v>6</x:v>
      </x:c>
      <x:c r="I1071" s="19" t="n">
        <x:v>8</x:v>
      </x:c>
      <x:c r="J1071" s="19" t="n">
        <x:v>1</x:v>
      </x:c>
      <x:c r="K1071" s="16" t="str">
        <x:v>2. New with slight deterioration</x:v>
      </x:c>
      <x:c r="L1071" s="16" t="str">
        <x:v>Very unlikely</x:v>
      </x:c>
      <x:c r="M1071" s="16" t="str">
        <x:v>Significant</x:v>
      </x:c>
      <x:c r="N1071" s="16" t="str">
        <x:v>Low</x:v>
      </x:c>
    </x:row>
    <x:row r="1072" ht="37" customHeight="1">
      <x:c r="A1072" s="16" t="str">
        <x:v>RAW-01066</x:v>
      </x:c>
      <x:c r="B1072" s="16" t="str">
        <x:v>Observation</x:v>
      </x:c>
      <x:c r="C1072" s="16" t="str">
        <x:v>– Salt staining on rafters and purlins supporting window awning.</x:v>
      </x:c>
      <x:c r="D1072" s="16" t="str">
        <x:v>Rafters and purlins</x:v>
      </x:c>
      <x:c r="E1072" s="16" t="str">
        <x:v>SRC-060</x:v>
      </x:c>
      <x:c r="F1072" s="16" t="str">
        <x:v>OBS-0550</x:v>
      </x:c>
      <x:c r="G1072" s="16" t="str">
        <x:v>正式报告</x:v>
      </x:c>
      <x:c r="H1072" s="19" t="n">
        <x:v>6</x:v>
      </x:c>
      <x:c r="I1072" s="19" t="n">
        <x:v>9</x:v>
      </x:c>
      <x:c r="J1072" s="19" t="n">
        <x:v>1</x:v>
      </x:c>
      <x:c r="K1072" s="16" t="str">
        <x:v>2. New with slight deterioration</x:v>
      </x:c>
      <x:c r="L1072" s="16" t="str">
        <x:v>Very unlikely</x:v>
      </x:c>
      <x:c r="M1072" s="16" t="str">
        <x:v>Significant</x:v>
      </x:c>
      <x:c r="N1072" s="16" t="str">
        <x:v>Low</x:v>
      </x:c>
    </x:row>
    <x:row r="1073" ht="37" customHeight="1">
      <x:c r="A1073" s="16" t="str">
        <x:v>RAW-01067</x:v>
      </x:c>
      <x:c r="B1073" s="16" t="str">
        <x:v>Recommendation</x:v>
      </x:c>
      <x:c r="C1073" s="16" t="str">
        <x:v>– Clean off salt staining.</x:v>
      </x:c>
      <x:c r="D1073" s="16" t="str">
        <x:v>Rafters and purlins</x:v>
      </x:c>
      <x:c r="E1073" s="16" t="str">
        <x:v>SRC-060</x:v>
      </x:c>
      <x:c r="F1073" s="16" t="str">
        <x:v>REC-0008</x:v>
      </x:c>
      <x:c r="G1073" s="16" t="str">
        <x:v>正式报告</x:v>
      </x:c>
      <x:c r="H1073" s="19" t="n">
        <x:v>6</x:v>
      </x:c>
      <x:c r="I1073" s="19" t="n">
        <x:v>9</x:v>
      </x:c>
      <x:c r="J1073" s="19" t="n">
        <x:v>1</x:v>
      </x:c>
      <x:c r="K1073" s="16" t="str">
        <x:v>2. New with slight deterioration</x:v>
      </x:c>
      <x:c r="L1073" s="16" t="str">
        <x:v>Very unlikely</x:v>
      </x:c>
      <x:c r="M1073" s="16" t="str">
        <x:v>Significant</x:v>
      </x:c>
      <x:c r="N1073" s="16" t="str">
        <x:v>Low</x:v>
      </x:c>
    </x:row>
    <x:row r="1074" ht="37" customHeight="1">
      <x:c r="A1074" s="16" t="str">
        <x:v>RAW-01068</x:v>
      </x:c>
      <x:c r="B1074" s="16" t="str">
        <x:v>Observation</x:v>
      </x:c>
      <x:c r="C1074" s="16" t="str">
        <x:v>– Front of property. Paint deterioration.</x:v>
      </x:c>
      <x:c r="D1074" s="16" t="str">
        <x:v>Cladding and framing</x:v>
      </x:c>
      <x:c r="E1074" s="16" t="str">
        <x:v>SRC-060</x:v>
      </x:c>
      <x:c r="F1074" s="16" t="str">
        <x:v>OBS-0282</x:v>
      </x:c>
      <x:c r="G1074" s="16" t="str">
        <x:v>正式报告</x:v>
      </x:c>
      <x:c r="H1074" s="19" t="n">
        <x:v>7</x:v>
      </x:c>
      <x:c r="I1074" s="19" t="n">
        <x:v>6</x:v>
      </x:c>
      <x:c r="J1074" s="19" t="n">
        <x:v>1</x:v>
      </x:c>
      <x:c r="K1074" s="16" t="str">
        <x:v>3. Minor deterioration</x:v>
      </x:c>
      <x:c r="L1074" s="16" t="str">
        <x:v>Unlikely</x:v>
      </x:c>
      <x:c r="M1074" s="16" t="str">
        <x:v>Negligible</x:v>
      </x:c>
      <x:c r="N1074" s="16" t="str">
        <x:v>Low</x:v>
      </x:c>
    </x:row>
    <x:row r="1075" ht="37" customHeight="1">
      <x:c r="A1075" s="16" t="str">
        <x:v>RAW-01069</x:v>
      </x:c>
      <x:c r="B1075" s="16" t="str">
        <x:v>Recommendation</x:v>
      </x:c>
      <x:c r="C1075" s="16" t="str">
        <x:v>– Repaint.</x:v>
      </x:c>
      <x:c r="D1075" s="16" t="str">
        <x:v>Cladding and framing</x:v>
      </x:c>
      <x:c r="E1075" s="16" t="str">
        <x:v>SRC-060</x:v>
      </x:c>
      <x:c r="F1075" s="16" t="str">
        <x:v>REC-0137</x:v>
      </x:c>
      <x:c r="G1075" s="16" t="str">
        <x:v>正式报告</x:v>
      </x:c>
      <x:c r="H1075" s="19" t="n">
        <x:v>7</x:v>
      </x:c>
      <x:c r="I1075" s="19" t="n">
        <x:v>6</x:v>
      </x:c>
      <x:c r="J1075" s="19" t="n">
        <x:v>1</x:v>
      </x:c>
      <x:c r="K1075" s="16" t="str">
        <x:v>3. Minor deterioration</x:v>
      </x:c>
      <x:c r="L1075" s="16" t="str">
        <x:v>Unlikely</x:v>
      </x:c>
      <x:c r="M1075" s="16" t="str">
        <x:v>Negligible</x:v>
      </x:c>
      <x:c r="N1075" s="16" t="str">
        <x:v>Low</x:v>
      </x:c>
    </x:row>
    <x:row r="1076" ht="37" customHeight="1">
      <x:c r="A1076" s="16" t="str">
        <x:v>RAW-01070</x:v>
      </x:c>
      <x:c r="B1076" s="16" t="str">
        <x:v>Observation</x:v>
      </x:c>
      <x:c r="C1076" s="16" t="str">
        <x:v>– Back of property. Cladding and framing in good condition. Minor corrosion at corner flashing.</x:v>
      </x:c>
      <x:c r="D1076" s="16" t="str">
        <x:v>Cladding and framing</x:v>
      </x:c>
      <x:c r="E1076" s="16" t="str">
        <x:v>SRC-060</x:v>
      </x:c>
      <x:c r="F1076" s="16" t="str">
        <x:v>OBS-0102</x:v>
      </x:c>
      <x:c r="G1076" s="16" t="str">
        <x:v>正式报告</x:v>
      </x:c>
      <x:c r="H1076" s="19" t="n">
        <x:v>7</x:v>
      </x:c>
      <x:c r="I1076" s="19" t="n">
        <x:v>7</x:v>
      </x:c>
      <x:c r="J1076" s="19" t="n">
        <x:v>2</x:v>
      </x:c>
      <x:c r="K1076" s="16" t="str">
        <x:v>3. Minor deterioration</x:v>
      </x:c>
      <x:c r="L1076" s="16" t="str">
        <x:v>Unlikely</x:v>
      </x:c>
      <x:c r="M1076" s="16" t="str">
        <x:v>Negligible</x:v>
      </x:c>
      <x:c r="N1076" s="16" t="str">
        <x:v>Low</x:v>
      </x:c>
    </x:row>
    <x:row r="1077" ht="37" customHeight="1">
      <x:c r="A1077" s="16" t="str">
        <x:v>RAW-01071</x:v>
      </x:c>
      <x:c r="B1077" s="16" t="str">
        <x:v>Recommendation</x:v>
      </x:c>
      <x:c r="C1077" s="16" t="str">
        <x:v>– Clean, wire brush and repaint corroded areas.</x:v>
      </x:c>
      <x:c r="D1077" s="16" t="str">
        <x:v>Cladding and framing</x:v>
      </x:c>
      <x:c r="E1077" s="16" t="str">
        <x:v>SRC-060</x:v>
      </x:c>
      <x:c r="F1077" s="16" t="str">
        <x:v>REC-0005</x:v>
      </x:c>
      <x:c r="G1077" s="16" t="str">
        <x:v>正式报告</x:v>
      </x:c>
      <x:c r="H1077" s="19" t="n">
        <x:v>7</x:v>
      </x:c>
      <x:c r="I1077" s="19" t="n">
        <x:v>7</x:v>
      </x:c>
      <x:c r="J1077" s="19" t="n">
        <x:v>2</x:v>
      </x:c>
      <x:c r="K1077" s="16" t="str">
        <x:v>3. Minor deterioration</x:v>
      </x:c>
      <x:c r="L1077" s="16" t="str">
        <x:v>Unlikely</x:v>
      </x:c>
      <x:c r="M1077" s="16" t="str">
        <x:v>Negligible</x:v>
      </x:c>
      <x:c r="N1077" s="16" t="str">
        <x:v>Low</x:v>
      </x:c>
    </x:row>
    <x:row r="1078" ht="37" customHeight="1">
      <x:c r="A1078" s="16" t="str">
        <x:v>RAW-01072</x:v>
      </x:c>
      <x:c r="B1078" s="16" t="str">
        <x:v>Observation</x:v>
      </x:c>
      <x:c r="C1078" s="16" t="str">
        <x:v>– Back of property. Paint deterioration at corner of window frame.</x:v>
      </x:c>
      <x:c r="D1078" s="16" t="str">
        <x:v>Cladding and framing</x:v>
      </x:c>
      <x:c r="E1078" s="16" t="str">
        <x:v>SRC-060</x:v>
      </x:c>
      <x:c r="F1078" s="16" t="str">
        <x:v>OBS-0105</x:v>
      </x:c>
      <x:c r="G1078" s="16" t="str">
        <x:v>正式报告</x:v>
      </x:c>
      <x:c r="H1078" s="19" t="n">
        <x:v>7</x:v>
      </x:c>
      <x:c r="I1078" s="19" t="n">
        <x:v>9</x:v>
      </x:c>
      <x:c r="J1078" s="19" t="n">
        <x:v>1</x:v>
      </x:c>
      <x:c r="K1078" s="16" t="str">
        <x:v>3. Minor deterioration</x:v>
      </x:c>
      <x:c r="L1078" s="16" t="str">
        <x:v>Unlikely</x:v>
      </x:c>
      <x:c r="M1078" s="16" t="str">
        <x:v>Negligible</x:v>
      </x:c>
      <x:c r="N1078" s="16" t="str">
        <x:v>Low</x:v>
      </x:c>
    </x:row>
    <x:row r="1079" ht="37" customHeight="1">
      <x:c r="A1079" s="16" t="str">
        <x:v>RAW-01073</x:v>
      </x:c>
      <x:c r="B1079" s="16" t="str">
        <x:v>Recommendation</x:v>
      </x:c>
      <x:c r="C1079" s="16" t="str">
        <x:v>– Clean, wire brush and repaint corroded areas.</x:v>
      </x:c>
      <x:c r="D1079" s="16" t="str">
        <x:v>Cladding and framing</x:v>
      </x:c>
      <x:c r="E1079" s="16" t="str">
        <x:v>SRC-060</x:v>
      </x:c>
      <x:c r="F1079" s="16" t="str">
        <x:v>REC-0005</x:v>
      </x:c>
      <x:c r="G1079" s="16" t="str">
        <x:v>正式报告</x:v>
      </x:c>
      <x:c r="H1079" s="19" t="n">
        <x:v>7</x:v>
      </x:c>
      <x:c r="I1079" s="19" t="n">
        <x:v>9</x:v>
      </x:c>
      <x:c r="J1079" s="19" t="n">
        <x:v>1</x:v>
      </x:c>
      <x:c r="K1079" s="16" t="str">
        <x:v>3. Minor deterioration</x:v>
      </x:c>
      <x:c r="L1079" s="16" t="str">
        <x:v>Unlikely</x:v>
      </x:c>
      <x:c r="M1079" s="16" t="str">
        <x:v>Negligible</x:v>
      </x:c>
      <x:c r="N1079" s="16" t="str">
        <x:v>Low</x:v>
      </x:c>
    </x:row>
    <x:row r="1080" ht="37" customHeight="1">
      <x:c r="A1080" s="16" t="str">
        <x:v>RAW-01074</x:v>
      </x:c>
      <x:c r="B1080" s="16" t="str">
        <x:v>Observation</x:v>
      </x:c>
      <x:c r="C1080" s="16" t="str">
        <x:v>– Back of property. Corrosion around outlet pipe.</x:v>
      </x:c>
      <x:c r="D1080" s="16" t="str">
        <x:v>Cladding and framing</x:v>
      </x:c>
      <x:c r="E1080" s="16" t="str">
        <x:v>SRC-060</x:v>
      </x:c>
      <x:c r="F1080" s="16" t="str">
        <x:v>OBS-0020</x:v>
      </x:c>
      <x:c r="G1080" s="16" t="str">
        <x:v>正式报告</x:v>
      </x:c>
      <x:c r="H1080" s="19" t="n">
        <x:v>7</x:v>
      </x:c>
      <x:c r="I1080" s="19" t="n">
        <x:v>10</x:v>
      </x:c>
      <x:c r="J1080" s="19" t="n">
        <x:v>1</x:v>
      </x:c>
      <x:c r="K1080" s="16" t="str">
        <x:v>3. Minor deterioration</x:v>
      </x:c>
      <x:c r="L1080" s="16" t="str">
        <x:v>Unlikely</x:v>
      </x:c>
      <x:c r="M1080" s="16" t="str">
        <x:v>Negligible</x:v>
      </x:c>
      <x:c r="N1080" s="16" t="str">
        <x:v>Low</x:v>
      </x:c>
    </x:row>
    <x:row r="1081" ht="37" customHeight="1">
      <x:c r="A1081" s="16" t="str">
        <x:v>RAW-01075</x:v>
      </x:c>
      <x:c r="B1081" s="16" t="str">
        <x:v>Recommendation</x:v>
      </x:c>
      <x:c r="C1081" s="16" t="str">
        <x:v>– Clean, wire brush and repaint corroded areas.</x:v>
      </x:c>
      <x:c r="D1081" s="16" t="str">
        <x:v>Cladding and framing</x:v>
      </x:c>
      <x:c r="E1081" s="16" t="str">
        <x:v>SRC-060</x:v>
      </x:c>
      <x:c r="F1081" s="16" t="str">
        <x:v>REC-0005</x:v>
      </x:c>
      <x:c r="G1081" s="16" t="str">
        <x:v>正式报告</x:v>
      </x:c>
      <x:c r="H1081" s="19" t="n">
        <x:v>7</x:v>
      </x:c>
      <x:c r="I1081" s="19" t="n">
        <x:v>10</x:v>
      </x:c>
      <x:c r="J1081" s="19" t="n">
        <x:v>1</x:v>
      </x:c>
      <x:c r="K1081" s="16" t="str">
        <x:v>3. Minor deterioration</x:v>
      </x:c>
      <x:c r="L1081" s="16" t="str">
        <x:v>Unlikely</x:v>
      </x:c>
      <x:c r="M1081" s="16" t="str">
        <x:v>Negligible</x:v>
      </x:c>
      <x:c r="N1081" s="16" t="str">
        <x:v>Low</x:v>
      </x:c>
    </x:row>
    <x:row r="1082" ht="37" customHeight="1">
      <x:c r="A1082" s="16" t="str">
        <x:v>RAW-01076</x:v>
      </x:c>
      <x:c r="B1082" s="16" t="str">
        <x:v>Observation</x:v>
      </x:c>
      <x:c r="C1082" s="16" t="str">
        <x:v>– Left hand side of house facing entrance. Salt staining where awning and cladding interface.</x:v>
      </x:c>
      <x:c r="D1082" s="16" t="str">
        <x:v>Cladding and framing</x:v>
      </x:c>
      <x:c r="E1082" s="16" t="str">
        <x:v>SRC-060</x:v>
      </x:c>
      <x:c r="F1082" s="16" t="str">
        <x:v>OBS-0346</x:v>
      </x:c>
      <x:c r="G1082" s="16" t="str">
        <x:v>正式报告</x:v>
      </x:c>
      <x:c r="H1082" s="19" t="n">
        <x:v>7</x:v>
      </x:c>
      <x:c r="I1082" s="19" t="n">
        <x:v>11</x:v>
      </x:c>
      <x:c r="J1082" s="19" t="n">
        <x:v>2</x:v>
      </x:c>
      <x:c r="K1082" s="16" t="str">
        <x:v>3. Minor deterioration</x:v>
      </x:c>
      <x:c r="L1082" s="16" t="str">
        <x:v>Unlikely</x:v>
      </x:c>
      <x:c r="M1082" s="16" t="str">
        <x:v>Negligible</x:v>
      </x:c>
      <x:c r="N1082" s="16" t="str">
        <x:v>Low</x:v>
      </x:c>
    </x:row>
    <x:row r="1083" ht="37" customHeight="1">
      <x:c r="A1083" s="16" t="str">
        <x:v>RAW-01077</x:v>
      </x:c>
      <x:c r="B1083" s="16" t="str">
        <x:v>Recommendation</x:v>
      </x:c>
      <x:c r="C1083" s="16" t="str">
        <x:v>– Remove salt staining.</x:v>
      </x:c>
      <x:c r="D1083" s="16" t="str">
        <x:v>Cladding and framing</x:v>
      </x:c>
      <x:c r="E1083" s="16" t="str">
        <x:v>SRC-060</x:v>
      </x:c>
      <x:c r="F1083" s="16" t="str">
        <x:v>REC-0004</x:v>
      </x:c>
      <x:c r="G1083" s="16" t="str">
        <x:v>正式报告</x:v>
      </x:c>
      <x:c r="H1083" s="19" t="n">
        <x:v>7</x:v>
      </x:c>
      <x:c r="I1083" s="19" t="n">
        <x:v>11</x:v>
      </x:c>
      <x:c r="J1083" s="19" t="n">
        <x:v>2</x:v>
      </x:c>
      <x:c r="K1083" s="16" t="str">
        <x:v>3. Minor deterioration</x:v>
      </x:c>
      <x:c r="L1083" s="16" t="str">
        <x:v>Unlikely</x:v>
      </x:c>
      <x:c r="M1083" s="16" t="str">
        <x:v>Negligible</x:v>
      </x:c>
      <x:c r="N1083" s="16" t="str">
        <x:v>Low</x:v>
      </x:c>
    </x:row>
    <x:row r="1084" ht="37" customHeight="1">
      <x:c r="A1084" s="16" t="str">
        <x:v>RAW-01078</x:v>
      </x:c>
      <x:c r="B1084" s="16" t="str">
        <x:v>Observation</x:v>
      </x:c>
      <x:c r="C1084" s="16" t="str">
        <x:v>– Back of property. Deformation of roof sheeting.</x:v>
      </x:c>
      <x:c r="D1084" s="16" t="str">
        <x:v>Roof sheeting</x:v>
      </x:c>
      <x:c r="E1084" s="16" t="str">
        <x:v>SRC-060</x:v>
      </x:c>
      <x:c r="F1084" s="16" t="str">
        <x:v>OBS-0104</x:v>
      </x:c>
      <x:c r="G1084" s="16" t="str">
        <x:v>正式报告</x:v>
      </x:c>
      <x:c r="H1084" s="19" t="n">
        <x:v>8</x:v>
      </x:c>
      <x:c r="I1084" s="19" t="n">
        <x:v>6</x:v>
      </x:c>
      <x:c r="J1084" s="19" t="n">
        <x:v>3</x:v>
      </x:c>
      <x:c r="K1084" s="16" t="str">
        <x:v>3. Minor deterioration</x:v>
      </x:c>
      <x:c r="L1084" s="16" t="str">
        <x:v>Unlikely</x:v>
      </x:c>
      <x:c r="M1084" s="16" t="str">
        <x:v>Negligible</x:v>
      </x:c>
      <x:c r="N1084" s="16" t="str">
        <x:v>Low</x:v>
      </x:c>
    </x:row>
    <x:row r="1085" ht="37" customHeight="1">
      <x:c r="A1085" s="16" t="str">
        <x:v>RAW-01079</x:v>
      </x:c>
      <x:c r="B1085" s="16" t="str">
        <x:v>Recommendation</x:v>
      </x:c>
      <x:c r="C1085" s="16" t="str">
        <x:v>– Bend back into place.</x:v>
      </x:c>
      <x:c r="D1085" s="16" t="str">
        <x:v>Roof sheeting</x:v>
      </x:c>
      <x:c r="E1085" s="16" t="str">
        <x:v>SRC-060</x:v>
      </x:c>
      <x:c r="F1085" s="16" t="str">
        <x:v>REC-0047</x:v>
      </x:c>
      <x:c r="G1085" s="16" t="str">
        <x:v>正式报告</x:v>
      </x:c>
      <x:c r="H1085" s="19" t="n">
        <x:v>8</x:v>
      </x:c>
      <x:c r="I1085" s="19" t="n">
        <x:v>6</x:v>
      </x:c>
      <x:c r="J1085" s="19" t="n">
        <x:v>3</x:v>
      </x:c>
      <x:c r="K1085" s="16" t="str">
        <x:v>3. Minor deterioration</x:v>
      </x:c>
      <x:c r="L1085" s="16" t="str">
        <x:v>Unlikely</x:v>
      </x:c>
      <x:c r="M1085" s="16" t="str">
        <x:v>Negligible</x:v>
      </x:c>
      <x:c r="N1085" s="16" t="str">
        <x:v>Low</x:v>
      </x:c>
    </x:row>
    <x:row r="1086" ht="37" customHeight="1">
      <x:c r="A1086" s="16" t="str">
        <x:v>RAW-01080</x:v>
      </x:c>
      <x:c r="B1086" s="16" t="str">
        <x:v>Observation</x:v>
      </x:c>
      <x:c r="C1086" s="16" t="str">
        <x:v>– Front roof overhang has salt minor corrosion on purlins and rafters.</x:v>
      </x:c>
      <x:c r="D1086" s="16" t="str">
        <x:v>Rafters and purlins</x:v>
      </x:c>
      <x:c r="E1086" s="16" t="str">
        <x:v>SRC-061</x:v>
      </x:c>
      <x:c r="F1086" s="16" t="str">
        <x:v>OBS-0284</x:v>
      </x:c>
      <x:c r="G1086" s="16" t="str">
        <x:v>正式报告</x:v>
      </x:c>
      <x:c r="H1086" s="19" t="n">
        <x:v>3</x:v>
      </x:c>
      <x:c r="I1086" s="19" t="n">
        <x:v>6</x:v>
      </x:c>
      <x:c r="J1086" s="19" t="n">
        <x:v>2</x:v>
      </x:c>
      <x:c r="K1086" s="16" t="str">
        <x:v>3. Minor deterioration</x:v>
      </x:c>
      <x:c r="L1086" s="16" t="str">
        <x:v>Unlikely</x:v>
      </x:c>
      <x:c r="M1086" s="16" t="str">
        <x:v>Significant</x:v>
      </x:c>
      <x:c r="N1086" s="16" t="str">
        <x:v>Moderate</x:v>
      </x:c>
    </x:row>
    <x:row r="1087" ht="37" customHeight="1">
      <x:c r="A1087" s="16" t="str">
        <x:v>RAW-01081</x:v>
      </x:c>
      <x:c r="B1087" s="16" t="str">
        <x:v>Recommendation</x:v>
      </x:c>
      <x:c r="C1087" s="16" t="str">
        <x:v>– Clean, wire brush and repaint.</x:v>
      </x:c>
      <x:c r="D1087" s="16" t="str">
        <x:v>Rafters and purlins</x:v>
      </x:c>
      <x:c r="E1087" s="16" t="str">
        <x:v>SRC-061</x:v>
      </x:c>
      <x:c r="F1087" s="16" t="str">
        <x:v>REC-0001</x:v>
      </x:c>
      <x:c r="G1087" s="16" t="str">
        <x:v>正式报告</x:v>
      </x:c>
      <x:c r="H1087" s="19" t="n">
        <x:v>3</x:v>
      </x:c>
      <x:c r="I1087" s="19" t="n">
        <x:v>6</x:v>
      </x:c>
      <x:c r="J1087" s="19" t="n">
        <x:v>2</x:v>
      </x:c>
      <x:c r="K1087" s="16" t="str">
        <x:v>3. Minor deterioration</x:v>
      </x:c>
      <x:c r="L1087" s="16" t="str">
        <x:v>Unlikely</x:v>
      </x:c>
      <x:c r="M1087" s="16" t="str">
        <x:v>Significant</x:v>
      </x:c>
      <x:c r="N1087" s="16" t="str">
        <x:v>Moderate</x:v>
      </x:c>
    </x:row>
    <x:row r="1088" ht="37" customHeight="1">
      <x:c r="A1088" s="16" t="str">
        <x:v>RAW-01082</x:v>
      </x:c>
      <x:c r="B1088" s="16" t="str">
        <x:v>Observation</x:v>
      </x:c>
      <x:c r="C1088" s="16" t="str">
        <x:v>– Front verandah has minor corrosion on purlins and rafters.</x:v>
      </x:c>
      <x:c r="D1088" s="16" t="str">
        <x:v>Rafters and purlins</x:v>
      </x:c>
      <x:c r="E1088" s="16" t="str">
        <x:v>SRC-061</x:v>
      </x:c>
      <x:c r="F1088" s="16" t="str">
        <x:v>OBS-0295</x:v>
      </x:c>
      <x:c r="G1088" s="16" t="str">
        <x:v>正式报告</x:v>
      </x:c>
      <x:c r="H1088" s="19" t="n">
        <x:v>3</x:v>
      </x:c>
      <x:c r="I1088" s="19" t="n">
        <x:v>8</x:v>
      </x:c>
      <x:c r="J1088" s="19" t="n">
        <x:v>2</x:v>
      </x:c>
      <x:c r="K1088" s="16" t="str">
        <x:v>3. Minor deterioration</x:v>
      </x:c>
      <x:c r="L1088" s="16" t="str">
        <x:v>Unlikely</x:v>
      </x:c>
      <x:c r="M1088" s="16" t="str">
        <x:v>Significant</x:v>
      </x:c>
      <x:c r="N1088" s="16" t="str">
        <x:v>Moderate</x:v>
      </x:c>
    </x:row>
    <x:row r="1089" ht="37" customHeight="1">
      <x:c r="A1089" s="16" t="str">
        <x:v>RAW-01083</x:v>
      </x:c>
      <x:c r="B1089" s="16" t="str">
        <x:v>Recommendation</x:v>
      </x:c>
      <x:c r="C1089" s="16" t="str">
        <x:v>– Clean, wire brush and repaint.</x:v>
      </x:c>
      <x:c r="D1089" s="16" t="str">
        <x:v>Rafters and purlins</x:v>
      </x:c>
      <x:c r="E1089" s="16" t="str">
        <x:v>SRC-061</x:v>
      </x:c>
      <x:c r="F1089" s="16" t="str">
        <x:v>REC-0001</x:v>
      </x:c>
      <x:c r="G1089" s="16" t="str">
        <x:v>正式报告</x:v>
      </x:c>
      <x:c r="H1089" s="19" t="n">
        <x:v>3</x:v>
      </x:c>
      <x:c r="I1089" s="19" t="n">
        <x:v>8</x:v>
      </x:c>
      <x:c r="J1089" s="19" t="n">
        <x:v>2</x:v>
      </x:c>
      <x:c r="K1089" s="16" t="str">
        <x:v>3. Minor deterioration</x:v>
      </x:c>
      <x:c r="L1089" s="16" t="str">
        <x:v>Unlikely</x:v>
      </x:c>
      <x:c r="M1089" s="16" t="str">
        <x:v>Significant</x:v>
      </x:c>
      <x:c r="N1089" s="16" t="str">
        <x:v>Moderate</x:v>
      </x:c>
    </x:row>
    <x:row r="1090" ht="37" customHeight="1">
      <x:c r="A1090" s="16" t="str">
        <x:v>RAW-01084</x:v>
      </x:c>
      <x:c r="B1090" s="16" t="str">
        <x:v>Observation</x:v>
      </x:c>
      <x:c r="C1090" s="16" t="str">
        <x:v>– Minor surface corrosion.</x:v>
      </x:c>
      <x:c r="D1090" s="16" t="str">
        <x:v>Columns</x:v>
      </x:c>
      <x:c r="E1090" s="16" t="str">
        <x:v>SRC-061</x:v>
      </x:c>
      <x:c r="F1090" s="16" t="str">
        <x:v>OBS-0016</x:v>
      </x:c>
      <x:c r="G1090" s="16" t="str">
        <x:v>正式报告</x:v>
      </x:c>
      <x:c r="H1090" s="19" t="n">
        <x:v>4</x:v>
      </x:c>
      <x:c r="I1090" s="19" t="n">
        <x:v>6</x:v>
      </x:c>
      <x:c r="J1090" s="19" t="n">
        <x:v>2</x:v>
      </x:c>
      <x:c r="K1090" s="16" t="str">
        <x:v>2. New with slight deterioration</x:v>
      </x:c>
      <x:c r="L1090" s="16" t="str">
        <x:v>Very unlikely</x:v>
      </x:c>
      <x:c r="M1090" s="16" t="str">
        <x:v>Significant</x:v>
      </x:c>
      <x:c r="N1090" s="16" t="str">
        <x:v>Low</x:v>
      </x:c>
    </x:row>
    <x:row r="1091" ht="37" customHeight="1">
      <x:c r="A1091" s="16" t="str">
        <x:v>RAW-01085</x:v>
      </x:c>
      <x:c r="B1091" s="16" t="str">
        <x:v>Recommendation</x:v>
      </x:c>
      <x:c r="C1091" s="16" t="str">
        <x:v>– Clean, wire brush and repaint.</x:v>
      </x:c>
      <x:c r="D1091" s="16" t="str">
        <x:v>Columns</x:v>
      </x:c>
      <x:c r="E1091" s="16" t="str">
        <x:v>SRC-061</x:v>
      </x:c>
      <x:c r="F1091" s="16" t="str">
        <x:v>REC-0001</x:v>
      </x:c>
      <x:c r="G1091" s="16" t="str">
        <x:v>正式报告</x:v>
      </x:c>
      <x:c r="H1091" s="19" t="n">
        <x:v>4</x:v>
      </x:c>
      <x:c r="I1091" s="19" t="n">
        <x:v>6</x:v>
      </x:c>
      <x:c r="J1091" s="19" t="n">
        <x:v>2</x:v>
      </x:c>
      <x:c r="K1091" s="16" t="str">
        <x:v>2. New with slight deterioration</x:v>
      </x:c>
      <x:c r="L1091" s="16" t="str">
        <x:v>Very unlikely</x:v>
      </x:c>
      <x:c r="M1091" s="16" t="str">
        <x:v>Significant</x:v>
      </x:c>
      <x:c r="N1091" s="16" t="str">
        <x:v>Low</x:v>
      </x:c>
    </x:row>
    <x:row r="1092" ht="37" customHeight="1">
      <x:c r="A1092" s="16" t="str">
        <x:v>RAW-01086</x:v>
      </x:c>
      <x:c r="B1092" s="16" t="str">
        <x:v>Observation</x:v>
      </x:c>
      <x:c r="C1092" s="16" t="str">
        <x:v>– Minor surface corrosion.</x:v>
      </x:c>
      <x:c r="D1092" s="16" t="str">
        <x:v>Columns</x:v>
      </x:c>
      <x:c r="E1092" s="16" t="str">
        <x:v>SRC-061</x:v>
      </x:c>
      <x:c r="F1092" s="16" t="str">
        <x:v>OBS-0016</x:v>
      </x:c>
      <x:c r="G1092" s="16" t="str">
        <x:v>正式报告</x:v>
      </x:c>
      <x:c r="H1092" s="19" t="n">
        <x:v>4</x:v>
      </x:c>
      <x:c r="I1092" s="19" t="n">
        <x:v>8</x:v>
      </x:c>
      <x:c r="J1092" s="19" t="n">
        <x:v>1</x:v>
      </x:c>
      <x:c r="K1092" s="16" t="str">
        <x:v>2. New with slight deterioration</x:v>
      </x:c>
      <x:c r="L1092" s="16" t="str">
        <x:v>Very unlikely</x:v>
      </x:c>
      <x:c r="M1092" s="16" t="str">
        <x:v>Significant</x:v>
      </x:c>
      <x:c r="N1092" s="16" t="str">
        <x:v>Low</x:v>
      </x:c>
    </x:row>
    <x:row r="1093" ht="37" customHeight="1">
      <x:c r="A1093" s="16" t="str">
        <x:v>RAW-01087</x:v>
      </x:c>
      <x:c r="B1093" s="16" t="str">
        <x:v>Recommendation</x:v>
      </x:c>
      <x:c r="C1093" s="16" t="str">
        <x:v>– Clean, wire brush and repaint.</x:v>
      </x:c>
      <x:c r="D1093" s="16" t="str">
        <x:v>Columns</x:v>
      </x:c>
      <x:c r="E1093" s="16" t="str">
        <x:v>SRC-061</x:v>
      </x:c>
      <x:c r="F1093" s="16" t="str">
        <x:v>REC-0001</x:v>
      </x:c>
      <x:c r="G1093" s="16" t="str">
        <x:v>正式报告</x:v>
      </x:c>
      <x:c r="H1093" s="19" t="n">
        <x:v>4</x:v>
      </x:c>
      <x:c r="I1093" s="19" t="n">
        <x:v>8</x:v>
      </x:c>
      <x:c r="J1093" s="19" t="n">
        <x:v>1</x:v>
      </x:c>
      <x:c r="K1093" s="16" t="str">
        <x:v>2. New with slight deterioration</x:v>
      </x:c>
      <x:c r="L1093" s="16" t="str">
        <x:v>Very unlikely</x:v>
      </x:c>
      <x:c r="M1093" s="16" t="str">
        <x:v>Significant</x:v>
      </x:c>
      <x:c r="N1093" s="16" t="str">
        <x:v>Low</x:v>
      </x:c>
    </x:row>
    <x:row r="1094" ht="37" customHeight="1">
      <x:c r="A1094" s="16" t="str">
        <x:v>RAW-01088</x:v>
      </x:c>
      <x:c r="B1094" s="16" t="str">
        <x:v>Observation</x:v>
      </x:c>
      <x:c r="C1094" s="16" t="str">
        <x:v>– Paint deterioration at lower section.</x:v>
      </x:c>
      <x:c r="D1094" s="16" t="str">
        <x:v>Columns</x:v>
      </x:c>
      <x:c r="E1094" s="16" t="str">
        <x:v>SRC-061</x:v>
      </x:c>
      <x:c r="F1094" s="16" t="str">
        <x:v>OBS-0444</x:v>
      </x:c>
      <x:c r="G1094" s="16" t="str">
        <x:v>正式报告</x:v>
      </x:c>
      <x:c r="H1094" s="19" t="n">
        <x:v>4</x:v>
      </x:c>
      <x:c r="I1094" s="19" t="n">
        <x:v>9</x:v>
      </x:c>
      <x:c r="J1094" s="19" t="n">
        <x:v>2</x:v>
      </x:c>
      <x:c r="K1094" s="16" t="str">
        <x:v>2. New with slight deterioration</x:v>
      </x:c>
      <x:c r="L1094" s="16" t="str">
        <x:v>Very unlikely</x:v>
      </x:c>
      <x:c r="M1094" s="16" t="str">
        <x:v>Significant</x:v>
      </x:c>
      <x:c r="N1094" s="16" t="str">
        <x:v>Low</x:v>
      </x:c>
    </x:row>
    <x:row r="1095" ht="37" customHeight="1">
      <x:c r="A1095" s="16" t="str">
        <x:v>RAW-01089</x:v>
      </x:c>
      <x:c r="B1095" s="16" t="str">
        <x:v>Recommendation</x:v>
      </x:c>
      <x:c r="C1095" s="16" t="str">
        <x:v>– Clean, wire brush and repaint.</x:v>
      </x:c>
      <x:c r="D1095" s="16" t="str">
        <x:v>Columns</x:v>
      </x:c>
      <x:c r="E1095" s="16" t="str">
        <x:v>SRC-061</x:v>
      </x:c>
      <x:c r="F1095" s="16" t="str">
        <x:v>REC-0001</x:v>
      </x:c>
      <x:c r="G1095" s="16" t="str">
        <x:v>正式报告</x:v>
      </x:c>
      <x:c r="H1095" s="19" t="n">
        <x:v>4</x:v>
      </x:c>
      <x:c r="I1095" s="19" t="n">
        <x:v>9</x:v>
      </x:c>
      <x:c r="J1095" s="19" t="n">
        <x:v>2</x:v>
      </x:c>
      <x:c r="K1095" s="16" t="str">
        <x:v>2. New with slight deterioration</x:v>
      </x:c>
      <x:c r="L1095" s="16" t="str">
        <x:v>Very unlikely</x:v>
      </x:c>
      <x:c r="M1095" s="16" t="str">
        <x:v>Significant</x:v>
      </x:c>
      <x:c r="N1095" s="16" t="str">
        <x:v>Low</x:v>
      </x:c>
    </x:row>
    <x:row r="1096" ht="37" customHeight="1">
      <x:c r="A1096" s="16" t="str">
        <x:v>RAW-01090</x:v>
      </x:c>
      <x:c r="B1096" s="16" t="str">
        <x:v>Observation</x:v>
      </x:c>
      <x:c r="C1096" s="16" t="str">
        <x:v>– All cladding in good condition.</x:v>
      </x:c>
      <x:c r="D1096" s="16" t="str">
        <x:v>Cladding and framing</x:v>
      </x:c>
      <x:c r="E1096" s="16" t="str">
        <x:v>SRC-061</x:v>
      </x:c>
      <x:c r="F1096" s="16" t="str">
        <x:v>OBS-0093</x:v>
      </x:c>
      <x:c r="G1096" s="16" t="str">
        <x:v>正式报告</x:v>
      </x:c>
      <x:c r="H1096" s="19" t="n">
        <x:v>5</x:v>
      </x:c>
      <x:c r="I1096" s="19" t="n">
        <x:v>6</x:v>
      </x:c>
      <x:c r="J1096" s="19" t="n">
        <x:v>3</x:v>
      </x:c>
      <x:c r="K1096" s="16" t="str">
        <x:v>3. Minor deterioration</x:v>
      </x:c>
      <x:c r="L1096" s="16" t="str">
        <x:v>Unlikely</x:v>
      </x:c>
      <x:c r="M1096" s="16" t="str">
        <x:v>Negligible</x:v>
      </x:c>
      <x:c r="N1096" s="16" t="str">
        <x:v>Low</x:v>
      </x:c>
    </x:row>
    <x:row r="1097" ht="37" customHeight="1">
      <x:c r="A1097" s="16" t="str">
        <x:v>RAW-01091</x:v>
      </x:c>
      <x:c r="B1097" s="16" t="str">
        <x:v>Recommendation</x:v>
      </x:c>
      <x:c r="C1097" s="16" t="str">
        <x:v>– None.</x:v>
      </x:c>
      <x:c r="D1097" s="16" t="str">
        <x:v>Cladding and framing</x:v>
      </x:c>
      <x:c r="E1097" s="16" t="str">
        <x:v>SRC-061</x:v>
      </x:c>
      <x:c r="F1097" s="16" t="str">
        <x:v>REC-0003</x:v>
      </x:c>
      <x:c r="G1097" s="16" t="str">
        <x:v>正式报告</x:v>
      </x:c>
      <x:c r="H1097" s="19" t="n">
        <x:v>5</x:v>
      </x:c>
      <x:c r="I1097" s="19" t="n">
        <x:v>6</x:v>
      </x:c>
      <x:c r="J1097" s="19" t="n">
        <x:v>3</x:v>
      </x:c>
      <x:c r="K1097" s="16" t="str">
        <x:v>3. Minor deterioration</x:v>
      </x:c>
      <x:c r="L1097" s="16" t="str">
        <x:v>Unlikely</x:v>
      </x:c>
      <x:c r="M1097" s="16" t="str">
        <x:v>Negligible</x:v>
      </x:c>
      <x:c r="N1097" s="16" t="str">
        <x:v>Low</x:v>
      </x:c>
    </x:row>
    <x:row r="1098" ht="37" customHeight="1">
      <x:c r="A1098" s="16" t="str">
        <x:v>RAW-01092</x:v>
      </x:c>
      <x:c r="B1098" s="16" t="str">
        <x:v>Observation</x:v>
      </x:c>
      <x:c r="C1098" s="16" t="str">
        <x:v>– Front yard verandah.</x:v>
      </x:c>
      <x:c r="D1098" s="16" t="str">
        <x:v>Verandah beams</x:v>
      </x:c>
      <x:c r="E1098" s="16" t="str">
        <x:v>SRC-061</x:v>
      </x:c>
      <x:c r="F1098" s="16" t="str">
        <x:v>OBS-0316</x:v>
      </x:c>
      <x:c r="G1098" s="16" t="str">
        <x:v>正式报告</x:v>
      </x:c>
      <x:c r="H1098" s="19" t="n">
        <x:v>6</x:v>
      </x:c>
      <x:c r="I1098" s="19" t="n">
        <x:v>6</x:v>
      </x:c>
      <x:c r="J1098" s="19" t="n">
        <x:v>1</x:v>
      </x:c>
      <x:c r="K1098" s="16" t="str">
        <x:v>3. Minor deterioration</x:v>
      </x:c>
      <x:c r="L1098" s="16" t="str">
        <x:v>Unlikely</x:v>
      </x:c>
      <x:c r="M1098" s="16" t="str">
        <x:v>Minor</x:v>
      </x:c>
      <x:c r="N1098" s="16" t="str">
        <x:v>Low</x:v>
      </x:c>
    </x:row>
    <x:row r="1099" ht="37" customHeight="1">
      <x:c r="A1099" s="16" t="str">
        <x:v>RAW-01093</x:v>
      </x:c>
      <x:c r="B1099" s="16" t="str">
        <x:v>Observation</x:v>
      </x:c>
      <x:c r="C1099" s="16" t="str">
        <x:v>– Front yard verandah. Minor corrosion underside of beam.</x:v>
      </x:c>
      <x:c r="D1099" s="16" t="str">
        <x:v>Verandah beams</x:v>
      </x:c>
      <x:c r="E1099" s="16" t="str">
        <x:v>SRC-061</x:v>
      </x:c>
      <x:c r="F1099" s="16" t="str">
        <x:v>OBS-0317</x:v>
      </x:c>
      <x:c r="G1099" s="16" t="str">
        <x:v>正式报告</x:v>
      </x:c>
      <x:c r="H1099" s="19" t="n">
        <x:v>6</x:v>
      </x:c>
      <x:c r="I1099" s="19" t="n">
        <x:v>7</x:v>
      </x:c>
      <x:c r="J1099" s="19" t="n">
        <x:v>1</x:v>
      </x:c>
      <x:c r="K1099" s="16" t="str">
        <x:v>3. Minor deterioration</x:v>
      </x:c>
      <x:c r="L1099" s="16" t="str">
        <x:v>Unlikely</x:v>
      </x:c>
      <x:c r="M1099" s="16" t="str">
        <x:v>Minor</x:v>
      </x:c>
      <x:c r="N1099" s="16" t="str">
        <x:v>Low</x:v>
      </x:c>
    </x:row>
    <x:row r="1100" ht="37" customHeight="1">
      <x:c r="A1100" s="16" t="str">
        <x:v>RAW-01094</x:v>
      </x:c>
      <x:c r="B1100" s="16" t="str">
        <x:v>Recommendation</x:v>
      </x:c>
      <x:c r="C1100" s="16" t="str">
        <x:v>– Clean, wire brush and repaint.</x:v>
      </x:c>
      <x:c r="D1100" s="16" t="str">
        <x:v>Verandah beams</x:v>
      </x:c>
      <x:c r="E1100" s="16" t="str">
        <x:v>SRC-061</x:v>
      </x:c>
      <x:c r="F1100" s="16" t="str">
        <x:v>REC-0001</x:v>
      </x:c>
      <x:c r="G1100" s="16" t="str">
        <x:v>正式报告</x:v>
      </x:c>
      <x:c r="H1100" s="19" t="n">
        <x:v>6</x:v>
      </x:c>
      <x:c r="I1100" s="19" t="n">
        <x:v>7</x:v>
      </x:c>
      <x:c r="J1100" s="19" t="n">
        <x:v>1</x:v>
      </x:c>
      <x:c r="K1100" s="16" t="str">
        <x:v>3. Minor deterioration</x:v>
      </x:c>
      <x:c r="L1100" s="16" t="str">
        <x:v>Unlikely</x:v>
      </x:c>
      <x:c r="M1100" s="16" t="str">
        <x:v>Minor</x:v>
      </x:c>
      <x:c r="N1100" s="16" t="str">
        <x:v>Low</x:v>
      </x:c>
    </x:row>
    <x:row r="1101" ht="37" customHeight="1">
      <x:c r="A1101" s="16" t="str">
        <x:v>RAW-01095</x:v>
      </x:c>
      <x:c r="B1101" s="16" t="str">
        <x:v>Observation</x:v>
      </x:c>
      <x:c r="C1101" s="16" t="str">
        <x:v>– Front verandah. Minor corrosion underside of beam.</x:v>
      </x:c>
      <x:c r="D1101" s="16" t="str">
        <x:v>Verandah beams</x:v>
      </x:c>
      <x:c r="E1101" s="16" t="str">
        <x:v>SRC-061</x:v>
      </x:c>
      <x:c r="F1101" s="16" t="str">
        <x:v>OBS-0304</x:v>
      </x:c>
      <x:c r="G1101" s="16" t="str">
        <x:v>正式报告</x:v>
      </x:c>
      <x:c r="H1101" s="19" t="n">
        <x:v>6</x:v>
      </x:c>
      <x:c r="I1101" s="19" t="n">
        <x:v>8</x:v>
      </x:c>
      <x:c r="J1101" s="19" t="n">
        <x:v>2</x:v>
      </x:c>
      <x:c r="K1101" s="16" t="str">
        <x:v>3. Minor deterioration</x:v>
      </x:c>
      <x:c r="L1101" s="16" t="str">
        <x:v>Unlikely</x:v>
      </x:c>
      <x:c r="M1101" s="16" t="str">
        <x:v>Minor</x:v>
      </x:c>
      <x:c r="N1101" s="16" t="str">
        <x:v>Low</x:v>
      </x:c>
    </x:row>
    <x:row r="1102" ht="37" customHeight="1">
      <x:c r="A1102" s="16" t="str">
        <x:v>RAW-01096</x:v>
      </x:c>
      <x:c r="B1102" s="16" t="str">
        <x:v>Recommendation</x:v>
      </x:c>
      <x:c r="C1102" s="16" t="str">
        <x:v>– Clean, wire brush and repaint.</x:v>
      </x:c>
      <x:c r="D1102" s="16" t="str">
        <x:v>Verandah beams</x:v>
      </x:c>
      <x:c r="E1102" s="16" t="str">
        <x:v>SRC-061</x:v>
      </x:c>
      <x:c r="F1102" s="16" t="str">
        <x:v>REC-0001</x:v>
      </x:c>
      <x:c r="G1102" s="16" t="str">
        <x:v>正式报告</x:v>
      </x:c>
      <x:c r="H1102" s="19" t="n">
        <x:v>6</x:v>
      </x:c>
      <x:c r="I1102" s="19" t="n">
        <x:v>8</x:v>
      </x:c>
      <x:c r="J1102" s="19" t="n">
        <x:v>2</x:v>
      </x:c>
      <x:c r="K1102" s="16" t="str">
        <x:v>3. Minor deterioration</x:v>
      </x:c>
      <x:c r="L1102" s="16" t="str">
        <x:v>Unlikely</x:v>
      </x:c>
      <x:c r="M1102" s="16" t="str">
        <x:v>Minor</x:v>
      </x:c>
      <x:c r="N1102" s="16" t="str">
        <x:v>Low</x:v>
      </x:c>
    </x:row>
    <x:row r="1103" ht="41" customHeight="1">
      <x:c r="A1103" s="16" t="str">
        <x:v>RAW-01097</x:v>
      </x:c>
      <x:c r="B1103" s="16" t="str">
        <x:v>Observation</x:v>
      </x:c>
      <x:c r="C1103" s="16" t="str">
        <x:v>– Fencing posts on left hand side of property facing the front entrance. Bitumen paint deterioration and delamination of the lower section. Minor corrosion along the length of the post, varies with each post.</x:v>
      </x:c>
      <x:c r="D1103" s="16" t="str">
        <x:v>Fencing posts</x:v>
      </x:c>
      <x:c r="E1103" s="16" t="str">
        <x:v>SRC-062</x:v>
      </x:c>
      <x:c r="F1103" s="16" t="str">
        <x:v>OBS-0263</x:v>
      </x:c>
      <x:c r="G1103" s="16" t="str">
        <x:v>正式报告</x:v>
      </x:c>
      <x:c r="H1103" s="19" t="n">
        <x:v>3</x:v>
      </x:c>
      <x:c r="I1103" s="19" t="n">
        <x:v>6</x:v>
      </x:c>
      <x:c r="J1103" s="19" t="n">
        <x:v>1</x:v>
      </x:c>
      <x:c r="K1103" s="16" t="str">
        <x:v>5. Major deterioration</x:v>
      </x:c>
      <x:c r="L1103" s="16" t="str">
        <x:v>Likely</x:v>
      </x:c>
      <x:c r="M1103" s="16" t="str">
        <x:v>Moderate</x:v>
      </x:c>
      <x:c r="N1103" s="16" t="str">
        <x:v>High</x:v>
      </x:c>
    </x:row>
    <x:row r="1104" ht="41" customHeight="1">
      <x:c r="A1104" s="16" t="str">
        <x:v>RAW-01098</x:v>
      </x:c>
      <x:c r="B1104" s="16" t="str">
        <x:v>Observation</x:v>
      </x:c>
      <x:c r="C1104" s="16" t="str">
        <x:v>– Front yard fence, left hand side facing the front. Bitumen paint deterioration and delamination corrosion towards lower section. Minor surface corrosion along the length of the post.</x:v>
      </x:c>
      <x:c r="D1104" s="16" t="str">
        <x:v>Fencing posts</x:v>
      </x:c>
      <x:c r="E1104" s="16" t="str">
        <x:v>SRC-062</x:v>
      </x:c>
      <x:c r="F1104" s="16" t="str">
        <x:v>OBS-0312</x:v>
      </x:c>
      <x:c r="G1104" s="16" t="str">
        <x:v>正式报告</x:v>
      </x:c>
      <x:c r="H1104" s="19" t="n">
        <x:v>3</x:v>
      </x:c>
      <x:c r="I1104" s="19" t="n">
        <x:v>7</x:v>
      </x:c>
      <x:c r="J1104" s="19" t="n">
        <x:v>3</x:v>
      </x:c>
      <x:c r="K1104" s="16" t="str">
        <x:v>5. Major deterioration</x:v>
      </x:c>
      <x:c r="L1104" s="16" t="str">
        <x:v>Likely</x:v>
      </x:c>
      <x:c r="M1104" s="16" t="str">
        <x:v>Moderate</x:v>
      </x:c>
      <x:c r="N1104" s="16" t="str">
        <x:v>High</x:v>
      </x:c>
    </x:row>
    <x:row r="1105" ht="37" customHeight="1">
      <x:c r="A1105" s="16" t="str">
        <x:v>RAW-01099</x:v>
      </x:c>
      <x:c r="B1105" s="16" t="str">
        <x:v>Recommendation</x:v>
      </x:c>
      <x:c r="C1105" s="16" t="str">
        <x:v>– Clean, wire brush and repaint.</x:v>
      </x:c>
      <x:c r="D1105" s="16" t="str">
        <x:v>Fencing posts</x:v>
      </x:c>
      <x:c r="E1105" s="16" t="str">
        <x:v>SRC-062</x:v>
      </x:c>
      <x:c r="F1105" s="16" t="str">
        <x:v>REC-0001</x:v>
      </x:c>
      <x:c r="G1105" s="16" t="str">
        <x:v>正式报告</x:v>
      </x:c>
      <x:c r="H1105" s="19" t="n">
        <x:v>3</x:v>
      </x:c>
      <x:c r="I1105" s="19" t="n">
        <x:v>7</x:v>
      </x:c>
      <x:c r="J1105" s="19" t="n">
        <x:v>3</x:v>
      </x:c>
      <x:c r="K1105" s="16" t="str">
        <x:v>5. Major deterioration</x:v>
      </x:c>
      <x:c r="L1105" s="16" t="str">
        <x:v>Likely</x:v>
      </x:c>
      <x:c r="M1105" s="16" t="str">
        <x:v>Moderate</x:v>
      </x:c>
      <x:c r="N1105" s="16" t="str">
        <x:v>High</x:v>
      </x:c>
    </x:row>
    <x:row r="1106" ht="41" customHeight="1">
      <x:c r="A1106" s="16" t="str">
        <x:v>RAW-01100</x:v>
      </x:c>
      <x:c r="B1106" s="16" t="str">
        <x:v>Observation</x:v>
      </x:c>
      <x:c r="C1106" s="16" t="str">
        <x:v>– Backyard fence, left hand side facing the front entrance. Delamination corrosion on lower section of post.</x:v>
      </x:c>
      <x:c r="D1106" s="16" t="str">
        <x:v>Fencing posts</x:v>
      </x:c>
      <x:c r="E1106" s="16" t="str">
        <x:v>SRC-062</x:v>
      </x:c>
      <x:c r="F1106" s="16" t="str">
        <x:v>OBS-0125</x:v>
      </x:c>
      <x:c r="G1106" s="16" t="str">
        <x:v>正式报告</x:v>
      </x:c>
      <x:c r="H1106" s="19" t="n">
        <x:v>3</x:v>
      </x:c>
      <x:c r="I1106" s="19" t="n">
        <x:v>10</x:v>
      </x:c>
      <x:c r="J1106" s="19" t="n">
        <x:v>4</x:v>
      </x:c>
      <x:c r="K1106" s="16" t="str">
        <x:v>5. Major deterioration</x:v>
      </x:c>
      <x:c r="L1106" s="16" t="str">
        <x:v>Likely</x:v>
      </x:c>
      <x:c r="M1106" s="16" t="str">
        <x:v>Moderate</x:v>
      </x:c>
      <x:c r="N1106" s="16" t="str">
        <x:v>High</x:v>
      </x:c>
    </x:row>
    <x:row r="1107" ht="37" customHeight="1">
      <x:c r="A1107" s="16" t="str">
        <x:v>RAW-01101</x:v>
      </x:c>
      <x:c r="B1107" s="16" t="str">
        <x:v>Recommendation</x:v>
      </x:c>
      <x:c r="C1107" s="16" t="str">
        <x:v>– Clean, wire brush and repaint.</x:v>
      </x:c>
      <x:c r="D1107" s="16" t="str">
        <x:v>Fencing posts</x:v>
      </x:c>
      <x:c r="E1107" s="16" t="str">
        <x:v>SRC-062</x:v>
      </x:c>
      <x:c r="F1107" s="16" t="str">
        <x:v>REC-0001</x:v>
      </x:c>
      <x:c r="G1107" s="16" t="str">
        <x:v>正式报告</x:v>
      </x:c>
      <x:c r="H1107" s="19" t="n">
        <x:v>3</x:v>
      </x:c>
      <x:c r="I1107" s="19" t="n">
        <x:v>10</x:v>
      </x:c>
      <x:c r="J1107" s="19" t="n">
        <x:v>4</x:v>
      </x:c>
      <x:c r="K1107" s="16" t="str">
        <x:v>5. Major deterioration</x:v>
      </x:c>
      <x:c r="L1107" s="16" t="str">
        <x:v>Likely</x:v>
      </x:c>
      <x:c r="M1107" s="16" t="str">
        <x:v>Moderate</x:v>
      </x:c>
      <x:c r="N1107" s="16" t="str">
        <x:v>High</x:v>
      </x:c>
    </x:row>
    <x:row r="1108" ht="41" customHeight="1">
      <x:c r="A1108" s="16" t="str">
        <x:v>RAW-01102</x:v>
      </x:c>
      <x:c r="B1108" s="16" t="str">
        <x:v>Observation</x:v>
      </x:c>
      <x:c r="C1108" s="16" t="str">
        <x:v>– Carport overview.</x:v>
      </x:c>
      <x:c r="D1108" s="16" t="str">
        <x:v>Purlins and rafters</x:v>
      </x:c>
      <x:c r="E1108" s="16" t="str">
        <x:v>SRC-062</x:v>
      </x:c>
      <x:c r="F1108" s="16" t="str">
        <x:v>OBS-0008</x:v>
      </x:c>
      <x:c r="G1108" s="16" t="str">
        <x:v>正式报告</x:v>
      </x:c>
      <x:c r="H1108" s="19" t="n">
        <x:v>4</x:v>
      </x:c>
      <x:c r="I1108" s="19" t="n">
        <x:v>6</x:v>
      </x:c>
      <x:c r="J1108" s="19" t="n">
        <x:v>1</x:v>
      </x:c>
      <x:c r="K1108" s="16" t="str">
        <x:v>1. New with no visible defects/damage</x:v>
      </x:c>
      <x:c r="L1108" s="16" t="str">
        <x:v>Very unlikely</x:v>
      </x:c>
      <x:c r="M1108" s="16" t="str">
        <x:v>Significant</x:v>
      </x:c>
      <x:c r="N1108" s="16" t="str">
        <x:v>Low</x:v>
      </x:c>
    </x:row>
    <x:row r="1109" ht="41" customHeight="1">
      <x:c r="A1109" s="16" t="str">
        <x:v>RAW-01103</x:v>
      </x:c>
      <x:c r="B1109" s="16" t="str">
        <x:v>Observation</x:v>
      </x:c>
      <x:c r="C1109" s="16" t="str">
        <x:v>– Porch verandah in good condition</x:v>
      </x:c>
      <x:c r="D1109" s="16" t="str">
        <x:v>Purlins and rafters</x:v>
      </x:c>
      <x:c r="E1109" s="16" t="str">
        <x:v>SRC-062</x:v>
      </x:c>
      <x:c r="F1109" s="16" t="str">
        <x:v>OBS-0078</x:v>
      </x:c>
      <x:c r="G1109" s="16" t="str">
        <x:v>正式报告</x:v>
      </x:c>
      <x:c r="H1109" s="19" t="n">
        <x:v>4</x:v>
      </x:c>
      <x:c r="I1109" s="19" t="n">
        <x:v>7</x:v>
      </x:c>
      <x:c r="J1109" s="19" t="n">
        <x:v>1</x:v>
      </x:c>
      <x:c r="K1109" s="16" t="str">
        <x:v>1. New with no visible defects/damage</x:v>
      </x:c>
      <x:c r="L1109" s="16" t="str">
        <x:v>Very unlikely</x:v>
      </x:c>
      <x:c r="M1109" s="16" t="str">
        <x:v>Significant</x:v>
      </x:c>
      <x:c r="N1109" s="16" t="str">
        <x:v>Low</x:v>
      </x:c>
    </x:row>
    <x:row r="1110" ht="41" customHeight="1">
      <x:c r="A1110" s="16" t="str">
        <x:v>RAW-01104</x:v>
      </x:c>
      <x:c r="B1110" s="16" t="str">
        <x:v>Observation</x:v>
      </x:c>
      <x:c r="C1110" s="16" t="str">
        <x:v>– Carport verandah in good condition.</x:v>
      </x:c>
      <x:c r="D1110" s="16" t="str">
        <x:v>Purlins and rafters</x:v>
      </x:c>
      <x:c r="E1110" s="16" t="str">
        <x:v>SRC-062</x:v>
      </x:c>
      <x:c r="F1110" s="16" t="str">
        <x:v>OBS-0003</x:v>
      </x:c>
      <x:c r="G1110" s="16" t="str">
        <x:v>正式报告</x:v>
      </x:c>
      <x:c r="H1110" s="19" t="n">
        <x:v>4</x:v>
      </x:c>
      <x:c r="I1110" s="19" t="n">
        <x:v>8</x:v>
      </x:c>
      <x:c r="J1110" s="19" t="n">
        <x:v>1</x:v>
      </x:c>
      <x:c r="K1110" s="16" t="str">
        <x:v>1. New with no visible defects/damage</x:v>
      </x:c>
      <x:c r="L1110" s="16" t="str">
        <x:v>Very unlikely</x:v>
      </x:c>
      <x:c r="M1110" s="16" t="str">
        <x:v>Significant</x:v>
      </x:c>
      <x:c r="N1110" s="16" t="str">
        <x:v>Low</x:v>
      </x:c>
    </x:row>
    <x:row r="1111" ht="41" customHeight="1">
      <x:c r="A1111" s="16" t="str">
        <x:v>RAW-01105</x:v>
      </x:c>
      <x:c r="B1111" s="16" t="str">
        <x:v>Observation</x:v>
      </x:c>
      <x:c r="C1111" s="16" t="str">
        <x:v>– Holes in purlin cap plate.</x:v>
      </x:c>
      <x:c r="D1111" s="16" t="str">
        <x:v>Purlins and rafters</x:v>
      </x:c>
      <x:c r="E1111" s="16" t="str">
        <x:v>SRC-062</x:v>
      </x:c>
      <x:c r="F1111" s="16" t="str">
        <x:v>OBS-0328</x:v>
      </x:c>
      <x:c r="G1111" s="16" t="str">
        <x:v>正式报告</x:v>
      </x:c>
      <x:c r="H1111" s="19" t="n">
        <x:v>4</x:v>
      </x:c>
      <x:c r="I1111" s="19" t="n">
        <x:v>9</x:v>
      </x:c>
      <x:c r="J1111" s="19" t="n">
        <x:v>1</x:v>
      </x:c>
      <x:c r="K1111" s="16" t="str">
        <x:v>1. New with no visible defects/damage</x:v>
      </x:c>
      <x:c r="L1111" s="16" t="str">
        <x:v>Very unlikely</x:v>
      </x:c>
      <x:c r="M1111" s="16" t="str">
        <x:v>Significant</x:v>
      </x:c>
      <x:c r="N1111" s="16" t="str">
        <x:v>Low</x:v>
      </x:c>
    </x:row>
    <x:row r="1112" ht="41" customHeight="1">
      <x:c r="A1112" s="16" t="str">
        <x:v>RAW-01106</x:v>
      </x:c>
      <x:c r="B1112" s="16" t="str">
        <x:v>Recommendation</x:v>
      </x:c>
      <x:c r="C1112" s="16" t="str">
        <x:v>– Cap purlin holes to prevent water ingress.</x:v>
      </x:c>
      <x:c r="D1112" s="16" t="str">
        <x:v>Purlins and rafters</x:v>
      </x:c>
      <x:c r="E1112" s="16" t="str">
        <x:v>SRC-062</x:v>
      </x:c>
      <x:c r="F1112" s="16" t="str">
        <x:v>REC-0049</x:v>
      </x:c>
      <x:c r="G1112" s="16" t="str">
        <x:v>正式报告</x:v>
      </x:c>
      <x:c r="H1112" s="19" t="n">
        <x:v>4</x:v>
      </x:c>
      <x:c r="I1112" s="19" t="n">
        <x:v>9</x:v>
      </x:c>
      <x:c r="J1112" s="19" t="n">
        <x:v>1</x:v>
      </x:c>
      <x:c r="K1112" s="16" t="str">
        <x:v>1. New with no visible defects/damage</x:v>
      </x:c>
      <x:c r="L1112" s="16" t="str">
        <x:v>Very unlikely</x:v>
      </x:c>
      <x:c r="M1112" s="16" t="str">
        <x:v>Significant</x:v>
      </x:c>
      <x:c r="N1112" s="16" t="str">
        <x:v>Low</x:v>
      </x:c>
    </x:row>
    <x:row r="1113" ht="41" customHeight="1">
      <x:c r="A1113" s="16" t="str">
        <x:v>RAW-01107</x:v>
      </x:c>
      <x:c r="B1113" s="16" t="str">
        <x:v>Observation</x:v>
      </x:c>
      <x:c r="C1113" s="16" t="str">
        <x:v>– side roof overhang in good condition.</x:v>
      </x:c>
      <x:c r="D1113" s="16" t="str">
        <x:v>Purlins and rafters</x:v>
      </x:c>
      <x:c r="E1113" s="16" t="str">
        <x:v>SRC-062</x:v>
      </x:c>
      <x:c r="F1113" s="16" t="str">
        <x:v>OBS-0084</x:v>
      </x:c>
      <x:c r="G1113" s="16" t="str">
        <x:v>正式报告</x:v>
      </x:c>
      <x:c r="H1113" s="19" t="n">
        <x:v>4</x:v>
      </x:c>
      <x:c r="I1113" s="19" t="n">
        <x:v>10</x:v>
      </x:c>
      <x:c r="J1113" s="19" t="n">
        <x:v>1</x:v>
      </x:c>
      <x:c r="K1113" s="16" t="str">
        <x:v>1. New with no visible defects/damage</x:v>
      </x:c>
      <x:c r="L1113" s="16" t="str">
        <x:v>Very unlikely</x:v>
      </x:c>
      <x:c r="M1113" s="16" t="str">
        <x:v>Significant</x:v>
      </x:c>
      <x:c r="N1113" s="16" t="str">
        <x:v>Low</x:v>
      </x:c>
    </x:row>
    <x:row r="1114" ht="41" customHeight="1">
      <x:c r="A1114" s="16" t="str">
        <x:v>RAW-01108</x:v>
      </x:c>
      <x:c r="B1114" s="16" t="str">
        <x:v>Observation</x:v>
      </x:c>
      <x:c r="C1114" s="16" t="str">
        <x:v>– Columns in good condition.</x:v>
      </x:c>
      <x:c r="D1114" s="16" t="str">
        <x:v>Columns</x:v>
      </x:c>
      <x:c r="E1114" s="16" t="str">
        <x:v>SRC-062</x:v>
      </x:c>
      <x:c r="F1114" s="16" t="str">
        <x:v>OBS-0001</x:v>
      </x:c>
      <x:c r="G1114" s="16" t="str">
        <x:v>正式报告</x:v>
      </x:c>
      <x:c r="H1114" s="19" t="n">
        <x:v>5</x:v>
      </x:c>
      <x:c r="I1114" s="19" t="n">
        <x:v>6</x:v>
      </x:c>
      <x:c r="J1114" s="19" t="n">
        <x:v>1</x:v>
      </x:c>
      <x:c r="K1114" s="16" t="str">
        <x:v>1. New with no visible defects/damage</x:v>
      </x:c>
      <x:c r="L1114" s="16" t="str">
        <x:v>Very unlikely</x:v>
      </x:c>
      <x:c r="M1114" s="16" t="str">
        <x:v>Significant</x:v>
      </x:c>
      <x:c r="N1114" s="16" t="str">
        <x:v>Low</x:v>
      </x:c>
    </x:row>
    <x:row r="1115" ht="41" customHeight="1">
      <x:c r="A1115" s="16" t="str">
        <x:v>RAW-01109</x:v>
      </x:c>
      <x:c r="B1115" s="16" t="str">
        <x:v>Observation</x:v>
      </x:c>
      <x:c r="C1115" s="16" t="str">
        <x:v>– Columns in good condition.</x:v>
      </x:c>
      <x:c r="D1115" s="16" t="str">
        <x:v>Columns</x:v>
      </x:c>
      <x:c r="E1115" s="16" t="str">
        <x:v>SRC-062</x:v>
      </x:c>
      <x:c r="F1115" s="16" t="str">
        <x:v>OBS-0001</x:v>
      </x:c>
      <x:c r="G1115" s="16" t="str">
        <x:v>正式报告</x:v>
      </x:c>
      <x:c r="H1115" s="19" t="n">
        <x:v>5</x:v>
      </x:c>
      <x:c r="I1115" s="19" t="n">
        <x:v>7</x:v>
      </x:c>
      <x:c r="J1115" s="19" t="n">
        <x:v>1</x:v>
      </x:c>
      <x:c r="K1115" s="16" t="str">
        <x:v>1. New with no visible defects/damage</x:v>
      </x:c>
      <x:c r="L1115" s="16" t="str">
        <x:v>Very unlikely</x:v>
      </x:c>
      <x:c r="M1115" s="16" t="str">
        <x:v>Significant</x:v>
      </x:c>
      <x:c r="N1115" s="16" t="str">
        <x:v>Low</x:v>
      </x:c>
    </x:row>
    <x:row r="1116" ht="37" customHeight="1">
      <x:c r="A1116" s="16" t="str">
        <x:v>RAW-01110</x:v>
      </x:c>
      <x:c r="B1116" s="16" t="str">
        <x:v>Observation</x:v>
      </x:c>
      <x:c r="C1116" s="16" t="str">
        <x:v>– Minor corrosion of window frame corner, typical to all windows.</x:v>
      </x:c>
      <x:c r="D1116" s="16" t="str">
        <x:v>Cladding</x:v>
      </x:c>
      <x:c r="E1116" s="16" t="str">
        <x:v>SRC-062</x:v>
      </x:c>
      <x:c r="F1116" s="16" t="str">
        <x:v>OBS-0394</x:v>
      </x:c>
      <x:c r="G1116" s="16" t="str">
        <x:v>正式报告</x:v>
      </x:c>
      <x:c r="H1116" s="19" t="n">
        <x:v>6</x:v>
      </x:c>
      <x:c r="I1116" s="19" t="n">
        <x:v>6</x:v>
      </x:c>
      <x:c r="J1116" s="19" t="n">
        <x:v>3</x:v>
      </x:c>
      <x:c r="K1116" s="16" t="str">
        <x:v>2. New with slight deterioration</x:v>
      </x:c>
      <x:c r="L1116" s="16" t="str">
        <x:v>Very unlikely</x:v>
      </x:c>
      <x:c r="M1116" s="16" t="str">
        <x:v>Negligible</x:v>
      </x:c>
      <x:c r="N1116" s="16" t="str">
        <x:v>Low</x:v>
      </x:c>
    </x:row>
    <x:row r="1117" ht="37" customHeight="1">
      <x:c r="A1117" s="16" t="str">
        <x:v>RAW-01111</x:v>
      </x:c>
      <x:c r="B1117" s="16" t="str">
        <x:v>Recommendation</x:v>
      </x:c>
      <x:c r="C1117" s="16" t="str">
        <x:v>– Clean, wire brush and repaint.</x:v>
      </x:c>
      <x:c r="D1117" s="16" t="str">
        <x:v>Cladding</x:v>
      </x:c>
      <x:c r="E1117" s="16" t="str">
        <x:v>SRC-062</x:v>
      </x:c>
      <x:c r="F1117" s="16" t="str">
        <x:v>REC-0001</x:v>
      </x:c>
      <x:c r="G1117" s="16" t="str">
        <x:v>正式报告</x:v>
      </x:c>
      <x:c r="H1117" s="19" t="n">
        <x:v>6</x:v>
      </x:c>
      <x:c r="I1117" s="19" t="n">
        <x:v>6</x:v>
      </x:c>
      <x:c r="J1117" s="19" t="n">
        <x:v>3</x:v>
      </x:c>
      <x:c r="K1117" s="16" t="str">
        <x:v>2. New with slight deterioration</x:v>
      </x:c>
      <x:c r="L1117" s="16" t="str">
        <x:v>Very unlikely</x:v>
      </x:c>
      <x:c r="M1117" s="16" t="str">
        <x:v>Negligible</x:v>
      </x:c>
      <x:c r="N1117" s="16" t="str">
        <x:v>Low</x:v>
      </x:c>
    </x:row>
    <x:row r="1118" ht="37" customHeight="1">
      <x:c r="A1118" s="16" t="str">
        <x:v>RAW-01112</x:v>
      </x:c>
      <x:c r="B1118" s="16" t="str">
        <x:v>Observation</x:v>
      </x:c>
      <x:c r="C1118" s="16" t="str">
        <x:v>– Minor corrosion of door frame corner, typical to all windows.</x:v>
      </x:c>
      <x:c r="D1118" s="16" t="str">
        <x:v>Cladding</x:v>
      </x:c>
      <x:c r="E1118" s="16" t="str">
        <x:v>SRC-062</x:v>
      </x:c>
      <x:c r="F1118" s="16" t="str">
        <x:v>OBS-0388</x:v>
      </x:c>
      <x:c r="G1118" s="16" t="str">
        <x:v>正式报告</x:v>
      </x:c>
      <x:c r="H1118" s="19" t="n">
        <x:v>6</x:v>
      </x:c>
      <x:c r="I1118" s="19" t="n">
        <x:v>9</x:v>
      </x:c>
      <x:c r="J1118" s="19" t="n">
        <x:v>1</x:v>
      </x:c>
      <x:c r="K1118" s="16" t="str">
        <x:v>2. New with slight deterioration</x:v>
      </x:c>
      <x:c r="L1118" s="16" t="str">
        <x:v>Very unlikely</x:v>
      </x:c>
      <x:c r="M1118" s="16" t="str">
        <x:v>Negligible</x:v>
      </x:c>
      <x:c r="N1118" s="16" t="str">
        <x:v>Low</x:v>
      </x:c>
    </x:row>
    <x:row r="1119" ht="37" customHeight="1">
      <x:c r="A1119" s="16" t="str">
        <x:v>RAW-01113</x:v>
      </x:c>
      <x:c r="B1119" s="16" t="str">
        <x:v>Recommendation</x:v>
      </x:c>
      <x:c r="C1119" s="16" t="str">
        <x:v>– Clean, wire brush and repaint.</x:v>
      </x:c>
      <x:c r="D1119" s="16" t="str">
        <x:v>Cladding</x:v>
      </x:c>
      <x:c r="E1119" s="16" t="str">
        <x:v>SRC-062</x:v>
      </x:c>
      <x:c r="F1119" s="16" t="str">
        <x:v>REC-0001</x:v>
      </x:c>
      <x:c r="G1119" s="16" t="str">
        <x:v>正式报告</x:v>
      </x:c>
      <x:c r="H1119" s="19" t="n">
        <x:v>6</x:v>
      </x:c>
      <x:c r="I1119" s="19" t="n">
        <x:v>9</x:v>
      </x:c>
      <x:c r="J1119" s="19" t="n">
        <x:v>1</x:v>
      </x:c>
      <x:c r="K1119" s="16" t="str">
        <x:v>2. New with slight deterioration</x:v>
      </x:c>
      <x:c r="L1119" s="16" t="str">
        <x:v>Very unlikely</x:v>
      </x:c>
      <x:c r="M1119" s="16" t="str">
        <x:v>Negligible</x:v>
      </x:c>
      <x:c r="N1119" s="16" t="str">
        <x:v>Low</x:v>
      </x:c>
    </x:row>
    <x:row r="1120" ht="37" customHeight="1">
      <x:c r="A1120" s="16" t="str">
        <x:v>RAW-01114</x:v>
      </x:c>
      <x:c r="B1120" s="16" t="str">
        <x:v>Observation</x:v>
      </x:c>
      <x:c r="C1120" s="16" t="str">
        <x:v>– East end of site, left hand side light post. Overview of light post.</x:v>
      </x:c>
      <x:c r="D1120" s="16" t="str">
        <x:v>Light post</x:v>
      </x:c>
      <x:c r="E1120" s="16" t="str">
        <x:v>SRC-063</x:v>
      </x:c>
      <x:c r="F1120" s="16" t="str">
        <x:v>OBS-0250</x:v>
      </x:c>
      <x:c r="G1120" s="16" t="str">
        <x:v>正式报告</x:v>
      </x:c>
      <x:c r="H1120" s="19" t="n">
        <x:v>3</x:v>
      </x:c>
      <x:c r="I1120" s="19" t="n">
        <x:v>6</x:v>
      </x:c>
      <x:c r="J1120" s="19" t="n">
        <x:v>1</x:v>
      </x:c>
      <x:c r="K1120" s="16" t="str">
        <x:v>6. Severe deterioration</x:v>
      </x:c>
      <x:c r="L1120" s="16" t="str">
        <x:v>Very likely</x:v>
      </x:c>
      <x:c r="M1120" s="16" t="str">
        <x:v>Significant</x:v>
      </x:c>
      <x:c r="N1120" s="16" t="str">
        <x:v>Urgent</x:v>
      </x:c>
    </x:row>
    <x:row r="1121" ht="37" customHeight="1">
      <x:c r="A1121" s="16" t="str">
        <x:v>RAW-01115</x:v>
      </x:c>
      <x:c r="B1121" s="16" t="str">
        <x:v>Observation</x:v>
      </x:c>
      <x:c r="C1121" s="16" t="str">
        <x:v>– East end of site, left hand side light post. Lights removed or failed due to corroded connection.</x:v>
      </x:c>
      <x:c r="D1121" s="16" t="str">
        <x:v>Light post</x:v>
      </x:c>
      <x:c r="E1121" s="16" t="str">
        <x:v>SRC-063</x:v>
      </x:c>
      <x:c r="F1121" s="16" t="str">
        <x:v>OBS-0249</x:v>
      </x:c>
      <x:c r="G1121" s="16" t="str">
        <x:v>正式报告</x:v>
      </x:c>
      <x:c r="H1121" s="19" t="n">
        <x:v>3</x:v>
      </x:c>
      <x:c r="I1121" s="19" t="n">
        <x:v>7</x:v>
      </x:c>
      <x:c r="J1121" s="19" t="n">
        <x:v>1</x:v>
      </x:c>
      <x:c r="K1121" s="16" t="str">
        <x:v>6. Severe deterioration</x:v>
      </x:c>
      <x:c r="L1121" s="16" t="str">
        <x:v>Very likely</x:v>
      </x:c>
      <x:c r="M1121" s="16" t="str">
        <x:v>Significant</x:v>
      </x:c>
      <x:c r="N1121" s="16" t="str">
        <x:v>Urgent</x:v>
      </x:c>
    </x:row>
    <x:row r="1122" ht="37" customHeight="1">
      <x:c r="A1122" s="16" t="str">
        <x:v>RAW-01116</x:v>
      </x:c>
      <x:c r="B1122" s="16" t="str">
        <x:v>Observation</x:v>
      </x:c>
      <x:c r="C1122" s="16" t="str">
        <x:v>– East end of site, left hand side light post. Severely corroded baseplate and stiffeners.</x:v>
      </x:c>
      <x:c r="D1122" s="16" t="str">
        <x:v>Light post</x:v>
      </x:c>
      <x:c r="E1122" s="16" t="str">
        <x:v>SRC-063</x:v>
      </x:c>
      <x:c r="F1122" s="16" t="str">
        <x:v>OBS-0251</x:v>
      </x:c>
      <x:c r="G1122" s="16" t="str">
        <x:v>正式报告</x:v>
      </x:c>
      <x:c r="H1122" s="19" t="n">
        <x:v>3</x:v>
      </x:c>
      <x:c r="I1122" s="19" t="n">
        <x:v>8</x:v>
      </x:c>
      <x:c r="J1122" s="19" t="n">
        <x:v>2</x:v>
      </x:c>
      <x:c r="K1122" s="16" t="str">
        <x:v>6. Severe deterioration</x:v>
      </x:c>
      <x:c r="L1122" s="16" t="str">
        <x:v>Very likely</x:v>
      </x:c>
      <x:c r="M1122" s="16" t="str">
        <x:v>Significant</x:v>
      </x:c>
      <x:c r="N1122" s="16" t="str">
        <x:v>Urgent</x:v>
      </x:c>
    </x:row>
    <x:row r="1123" ht="41" customHeight="1">
      <x:c r="A1123" s="16" t="str">
        <x:v>RAW-01117</x:v>
      </x:c>
      <x:c r="B1123" s="16" t="str">
        <x:v>Recommendation</x:v>
      </x:c>
      <x:c r="C1123" s="16" t="str">
        <x:v>– In the short term, light pole should be Propped or removed as there is a risk of collapse. In the long-term baseplate to be replaced.</x:v>
      </x:c>
      <x:c r="D1123" s="16" t="str">
        <x:v>Light post</x:v>
      </x:c>
      <x:c r="E1123" s="16" t="str">
        <x:v>SRC-063</x:v>
      </x:c>
      <x:c r="F1123" s="16" t="str">
        <x:v>REC-0103</x:v>
      </x:c>
      <x:c r="G1123" s="16" t="str">
        <x:v>正式报告</x:v>
      </x:c>
      <x:c r="H1123" s="19" t="n">
        <x:v>3</x:v>
      </x:c>
      <x:c r="I1123" s="19" t="n">
        <x:v>8</x:v>
      </x:c>
      <x:c r="J1123" s="19" t="n">
        <x:v>2</x:v>
      </x:c>
      <x:c r="K1123" s="16" t="str">
        <x:v>6. Severe deterioration</x:v>
      </x:c>
      <x:c r="L1123" s="16" t="str">
        <x:v>Very likely</x:v>
      </x:c>
      <x:c r="M1123" s="16" t="str">
        <x:v>Significant</x:v>
      </x:c>
      <x:c r="N1123" s="16" t="str">
        <x:v>Urgent</x:v>
      </x:c>
    </x:row>
    <x:row r="1124" ht="37" customHeight="1">
      <x:c r="A1124" s="16" t="str">
        <x:v>RAW-01118</x:v>
      </x:c>
      <x:c r="B1124" s="16" t="str">
        <x:v>Observation</x:v>
      </x:c>
      <x:c r="C1124" s="16" t="str">
        <x:v>– East end of site, right hand side light post. Overview.</x:v>
      </x:c>
      <x:c r="D1124" s="16" t="str">
        <x:v>Light post</x:v>
      </x:c>
      <x:c r="E1124" s="16" t="str">
        <x:v>SRC-063</x:v>
      </x:c>
      <x:c r="F1124" s="16" t="str">
        <x:v>OBS-0254</x:v>
      </x:c>
      <x:c r="G1124" s="16" t="str">
        <x:v>正式报告</x:v>
      </x:c>
      <x:c r="H1124" s="19" t="n">
        <x:v>4</x:v>
      </x:c>
      <x:c r="I1124" s="19" t="n">
        <x:v>6</x:v>
      </x:c>
      <x:c r="J1124" s="19" t="n">
        <x:v>1</x:v>
      </x:c>
      <x:c r="K1124" s="16" t="str">
        <x:v>7. Very severe deterioration</x:v>
      </x:c>
      <x:c r="L1124" s="16" t="str">
        <x:v>Very likely</x:v>
      </x:c>
      <x:c r="M1124" s="16" t="str">
        <x:v>Significant</x:v>
      </x:c>
      <x:c r="N1124" s="16" t="str">
        <x:v>Urgent</x:v>
      </x:c>
    </x:row>
    <x:row r="1125" ht="37" customHeight="1">
      <x:c r="A1125" s="16" t="str">
        <x:v>RAW-01119</x:v>
      </x:c>
      <x:c r="B1125" s="16" t="str">
        <x:v>Observation</x:v>
      </x:c>
      <x:c r="C1125" s="16" t="str">
        <x:v>– East end of site, right hand side light post. Corroded plate and bolt connection.</x:v>
      </x:c>
      <x:c r="D1125" s="16" t="str">
        <x:v>Light post</x:v>
      </x:c>
      <x:c r="E1125" s="16" t="str">
        <x:v>SRC-063</x:v>
      </x:c>
      <x:c r="F1125" s="16" t="str">
        <x:v>OBS-0252</x:v>
      </x:c>
      <x:c r="G1125" s="16" t="str">
        <x:v>正式报告</x:v>
      </x:c>
      <x:c r="H1125" s="19" t="n">
        <x:v>4</x:v>
      </x:c>
      <x:c r="I1125" s="19" t="n">
        <x:v>7</x:v>
      </x:c>
      <x:c r="J1125" s="19" t="n">
        <x:v>1</x:v>
      </x:c>
      <x:c r="K1125" s="16" t="str">
        <x:v>7. Very severe deterioration</x:v>
      </x:c>
      <x:c r="L1125" s="16" t="str">
        <x:v>Very likely</x:v>
      </x:c>
      <x:c r="M1125" s="16" t="str">
        <x:v>Significant</x:v>
      </x:c>
      <x:c r="N1125" s="16" t="str">
        <x:v>Urgent</x:v>
      </x:c>
    </x:row>
    <x:row r="1126" ht="41" customHeight="1">
      <x:c r="A1126" s="16" t="str">
        <x:v>RAW-01120</x:v>
      </x:c>
      <x:c r="B1126" s="16" t="str">
        <x:v>Recommendation</x:v>
      </x:c>
      <x:c r="C1126" s="16" t="str">
        <x:v>– In the short term remove light to negate the risk of injury or damage to property. In the long term replace plate and bolts.</x:v>
      </x:c>
      <x:c r="D1126" s="16" t="str">
        <x:v>Light post</x:v>
      </x:c>
      <x:c r="E1126" s="16" t="str">
        <x:v>SRC-063</x:v>
      </x:c>
      <x:c r="F1126" s="16" t="str">
        <x:v>REC-0102</x:v>
      </x:c>
      <x:c r="G1126" s="16" t="str">
        <x:v>正式报告</x:v>
      </x:c>
      <x:c r="H1126" s="19" t="n">
        <x:v>4</x:v>
      </x:c>
      <x:c r="I1126" s="19" t="n">
        <x:v>7</x:v>
      </x:c>
      <x:c r="J1126" s="19" t="n">
        <x:v>1</x:v>
      </x:c>
      <x:c r="K1126" s="16" t="str">
        <x:v>7. Very severe deterioration</x:v>
      </x:c>
      <x:c r="L1126" s="16" t="str">
        <x:v>Very likely</x:v>
      </x:c>
      <x:c r="M1126" s="16" t="str">
        <x:v>Significant</x:v>
      </x:c>
      <x:c r="N1126" s="16" t="str">
        <x:v>Urgent</x:v>
      </x:c>
    </x:row>
    <x:row r="1127" ht="37" customHeight="1">
      <x:c r="A1127" s="16" t="str">
        <x:v>RAW-01121</x:v>
      </x:c>
      <x:c r="B1127" s="16" t="str">
        <x:v>Observation</x:v>
      </x:c>
      <x:c r="C1127" s="16" t="str">
        <x:v>– East end of site, right hand side light post. Minor corrosion on stiffener and baseplate.</x:v>
      </x:c>
      <x:c r="D1127" s="16" t="str">
        <x:v>Light post</x:v>
      </x:c>
      <x:c r="E1127" s="16" t="str">
        <x:v>SRC-063</x:v>
      </x:c>
      <x:c r="F1127" s="16" t="str">
        <x:v>OBS-0253</x:v>
      </x:c>
      <x:c r="G1127" s="16" t="str">
        <x:v>正式报告</x:v>
      </x:c>
      <x:c r="H1127" s="19" t="n">
        <x:v>4</x:v>
      </x:c>
      <x:c r="I1127" s="19" t="n">
        <x:v>8</x:v>
      </x:c>
      <x:c r="J1127" s="19" t="n">
        <x:v>2</x:v>
      </x:c>
      <x:c r="K1127" s="16" t="str">
        <x:v>7. Very severe deterioration</x:v>
      </x:c>
      <x:c r="L1127" s="16" t="str">
        <x:v>Very likely</x:v>
      </x:c>
      <x:c r="M1127" s="16" t="str">
        <x:v>Significant</x:v>
      </x:c>
      <x:c r="N1127" s="16" t="str">
        <x:v>Urgent</x:v>
      </x:c>
    </x:row>
    <x:row r="1128" ht="37" customHeight="1">
      <x:c r="A1128" s="16" t="str">
        <x:v>RAW-01122</x:v>
      </x:c>
      <x:c r="B1128" s="16" t="str">
        <x:v>Recommendation</x:v>
      </x:c>
      <x:c r="C1128" s="16" t="str">
        <x:v>– Clean, remove corrosion and repaint.</x:v>
      </x:c>
      <x:c r="D1128" s="16" t="str">
        <x:v>Light post</x:v>
      </x:c>
      <x:c r="E1128" s="16" t="str">
        <x:v>SRC-063</x:v>
      </x:c>
      <x:c r="F1128" s="16" t="str">
        <x:v>REC-0002</x:v>
      </x:c>
      <x:c r="G1128" s="16" t="str">
        <x:v>正式报告</x:v>
      </x:c>
      <x:c r="H1128" s="19" t="n">
        <x:v>4</x:v>
      </x:c>
      <x:c r="I1128" s="19" t="n">
        <x:v>8</x:v>
      </x:c>
      <x:c r="J1128" s="19" t="n">
        <x:v>2</x:v>
      </x:c>
      <x:c r="K1128" s="16" t="str">
        <x:v>7. Very severe deterioration</x:v>
      </x:c>
      <x:c r="L1128" s="16" t="str">
        <x:v>Very likely</x:v>
      </x:c>
      <x:c r="M1128" s="16" t="str">
        <x:v>Significant</x:v>
      </x:c>
      <x:c r="N1128" s="16" t="str">
        <x:v>Urgent</x:v>
      </x:c>
    </x:row>
    <x:row r="1129" ht="37" customHeight="1">
      <x:c r="A1129" s="16" t="str">
        <x:v>RAW-01123</x:v>
      </x:c>
      <x:c r="B1129" s="16" t="str">
        <x:v>Observation</x:v>
      </x:c>
      <x:c r="C1129" s="16" t="str">
        <x:v>– Overview of front entrance verandah.</x:v>
      </x:c>
      <x:c r="D1129" s="16" t="str">
        <x:v>Childhood Centre verandah</x:v>
      </x:c>
      <x:c r="E1129" s="16" t="str">
        <x:v>SRC-063</x:v>
      </x:c>
      <x:c r="F1129" s="16" t="str">
        <x:v>OBS-0429</x:v>
      </x:c>
      <x:c r="G1129" s="16" t="str">
        <x:v>正式报告</x:v>
      </x:c>
      <x:c r="H1129" s="19" t="n">
        <x:v>5</x:v>
      </x:c>
      <x:c r="I1129" s="19" t="n">
        <x:v>6</x:v>
      </x:c>
      <x:c r="J1129" s="19" t="n">
        <x:v>1</x:v>
      </x:c>
      <x:c r="K1129" s="16" t="str">
        <x:v>7. Very severe deterioration</x:v>
      </x:c>
      <x:c r="L1129" s="16" t="str">
        <x:v>Very likely</x:v>
      </x:c>
      <x:c r="M1129" s="16" t="str">
        <x:v>Significant</x:v>
      </x:c>
      <x:c r="N1129" s="16" t="str">
        <x:v>Urgent</x:v>
      </x:c>
    </x:row>
    <x:row r="1130" ht="37" customHeight="1">
      <x:c r="A1130" s="16" t="str">
        <x:v>RAW-01124</x:v>
      </x:c>
      <x:c r="B1130" s="16" t="str">
        <x:v>Observation</x:v>
      </x:c>
      <x:c r="C1130" s="16" t="str">
        <x:v>– Hole through steel due to corrosion. Close up photo below.</x:v>
      </x:c>
      <x:c r="D1130" s="16" t="str">
        <x:v>Childhood Centre verandah</x:v>
      </x:c>
      <x:c r="E1130" s="16" t="str">
        <x:v>SRC-063</x:v>
      </x:c>
      <x:c r="F1130" s="16" t="str">
        <x:v>OBS-0327</x:v>
      </x:c>
      <x:c r="G1130" s="16" t="str">
        <x:v>正式报告</x:v>
      </x:c>
      <x:c r="H1130" s="19" t="n">
        <x:v>5</x:v>
      </x:c>
      <x:c r="I1130" s="19" t="n">
        <x:v>7</x:v>
      </x:c>
      <x:c r="J1130" s="19" t="n">
        <x:v>2</x:v>
      </x:c>
      <x:c r="K1130" s="16" t="str">
        <x:v>7. Very severe deterioration</x:v>
      </x:c>
      <x:c r="L1130" s="16" t="str">
        <x:v>Very likely</x:v>
      </x:c>
      <x:c r="M1130" s="16" t="str">
        <x:v>Significant</x:v>
      </x:c>
      <x:c r="N1130" s="16" t="str">
        <x:v>Urgent</x:v>
      </x:c>
    </x:row>
    <x:row r="1131" ht="37" customHeight="1">
      <x:c r="A1131" s="16" t="str">
        <x:v>RAW-01125</x:v>
      </x:c>
      <x:c r="B1131" s="16" t="str">
        <x:v>Recommendation</x:v>
      </x:c>
      <x:c r="C1131" s="16" t="str">
        <x:v>– Replace the end portion of this cantilever reweld &amp; bolted the members and repaint.</x:v>
      </x:c>
      <x:c r="D1131" s="16" t="str">
        <x:v>Childhood Centre verandah</x:v>
      </x:c>
      <x:c r="E1131" s="16" t="str">
        <x:v>SRC-063</x:v>
      </x:c>
      <x:c r="F1131" s="16" t="str">
        <x:v>REC-0154</x:v>
      </x:c>
      <x:c r="G1131" s="16" t="str">
        <x:v>正式报告</x:v>
      </x:c>
      <x:c r="H1131" s="19" t="n">
        <x:v>5</x:v>
      </x:c>
      <x:c r="I1131" s="19" t="n">
        <x:v>7</x:v>
      </x:c>
      <x:c r="J1131" s="19" t="n">
        <x:v>2</x:v>
      </x:c>
      <x:c r="K1131" s="16" t="str">
        <x:v>7. Very severe deterioration</x:v>
      </x:c>
      <x:c r="L1131" s="16" t="str">
        <x:v>Very likely</x:v>
      </x:c>
      <x:c r="M1131" s="16" t="str">
        <x:v>Significant</x:v>
      </x:c>
      <x:c r="N1131" s="16" t="str">
        <x:v>Urgent</x:v>
      </x:c>
    </x:row>
    <x:row r="1132" ht="37" customHeight="1">
      <x:c r="A1132" s="16" t="str">
        <x:v>RAW-01126</x:v>
      </x:c>
      <x:c r="B1132" s="16" t="str">
        <x:v>Observation</x:v>
      </x:c>
      <x:c r="C1132" s="16" t="str">
        <x:v>– Minor corrosion at lower section of column.</x:v>
      </x:c>
      <x:c r="D1132" s="16" t="str">
        <x:v>Childhood Centre verandah</x:v>
      </x:c>
      <x:c r="E1132" s="16" t="str">
        <x:v>SRC-063</x:v>
      </x:c>
      <x:c r="F1132" s="16" t="str">
        <x:v>OBS-0384</x:v>
      </x:c>
      <x:c r="G1132" s="16" t="str">
        <x:v>正式报告</x:v>
      </x:c>
      <x:c r="H1132" s="19" t="n">
        <x:v>5</x:v>
      </x:c>
      <x:c r="I1132" s="19" t="n">
        <x:v>9</x:v>
      </x:c>
      <x:c r="J1132" s="19" t="n">
        <x:v>2</x:v>
      </x:c>
      <x:c r="K1132" s="16" t="str">
        <x:v>7. Very severe deterioration</x:v>
      </x:c>
      <x:c r="L1132" s="16" t="str">
        <x:v>Very likely</x:v>
      </x:c>
      <x:c r="M1132" s="16" t="str">
        <x:v>Significant</x:v>
      </x:c>
      <x:c r="N1132" s="16" t="str">
        <x:v>Urgent</x:v>
      </x:c>
    </x:row>
    <x:row r="1133" ht="37" customHeight="1">
      <x:c r="A1133" s="16" t="str">
        <x:v>RAW-01127</x:v>
      </x:c>
      <x:c r="B1133" s="16" t="str">
        <x:v>Recommendation</x:v>
      </x:c>
      <x:c r="C1133" s="16" t="str">
        <x:v>– Clean, remove corrosion and repaint.</x:v>
      </x:c>
      <x:c r="D1133" s="16" t="str">
        <x:v>Childhood Centre verandah</x:v>
      </x:c>
      <x:c r="E1133" s="16" t="str">
        <x:v>SRC-063</x:v>
      </x:c>
      <x:c r="F1133" s="16" t="str">
        <x:v>REC-0002</x:v>
      </x:c>
      <x:c r="G1133" s="16" t="str">
        <x:v>正式报告</x:v>
      </x:c>
      <x:c r="H1133" s="19" t="n">
        <x:v>5</x:v>
      </x:c>
      <x:c r="I1133" s="19" t="n">
        <x:v>9</x:v>
      </x:c>
      <x:c r="J1133" s="19" t="n">
        <x:v>2</x:v>
      </x:c>
      <x:c r="K1133" s="16" t="str">
        <x:v>7. Very severe deterioration</x:v>
      </x:c>
      <x:c r="L1133" s="16" t="str">
        <x:v>Very likely</x:v>
      </x:c>
      <x:c r="M1133" s="16" t="str">
        <x:v>Significant</x:v>
      </x:c>
      <x:c r="N1133" s="16" t="str">
        <x:v>Urgent</x:v>
      </x:c>
    </x:row>
    <x:row r="1134" ht="37" customHeight="1">
      <x:c r="A1134" s="16" t="str">
        <x:v>RAW-01128</x:v>
      </x:c>
      <x:c r="B1134" s="16" t="str">
        <x:v>Observation</x:v>
      </x:c>
      <x:c r="C1134" s="16" t="str">
        <x:v>– Overview of verandah</x:v>
      </x:c>
      <x:c r="D1134" s="16" t="str">
        <x:v>Multipurpose Building verandah</x:v>
      </x:c>
      <x:c r="E1134" s="16" t="str">
        <x:v>SRC-063</x:v>
      </x:c>
      <x:c r="F1134" s="16" t="str">
        <x:v>OBS-0441</x:v>
      </x:c>
      <x:c r="G1134" s="16" t="str">
        <x:v>正式报告</x:v>
      </x:c>
      <x:c r="H1134" s="19" t="n">
        <x:v>6</x:v>
      </x:c>
      <x:c r="I1134" s="19" t="n">
        <x:v>6</x:v>
      </x:c>
      <x:c r="J1134" s="19" t="n">
        <x:v>1</x:v>
      </x:c>
      <x:c r="K1134" s="16" t="str">
        <x:v>6. Severe deterioration</x:v>
      </x:c>
      <x:c r="L1134" s="16" t="str">
        <x:v>Very likely</x:v>
      </x:c>
      <x:c r="M1134" s="16" t="str">
        <x:v>Minor</x:v>
      </x:c>
      <x:c r="N1134" s="16" t="str">
        <x:v>High</x:v>
      </x:c>
    </x:row>
    <x:row r="1135" ht="37" customHeight="1">
      <x:c r="A1135" s="16" t="str">
        <x:v>RAW-01129</x:v>
      </x:c>
      <x:c r="B1135" s="16" t="str">
        <x:v>Observation</x:v>
      </x:c>
      <x:c r="C1135" s="16" t="str">
        <x:v>– Holes through steel beam.</x:v>
      </x:c>
      <x:c r="D1135" s="16" t="str">
        <x:v>Multipurpose Building verandah</x:v>
      </x:c>
      <x:c r="E1135" s="16" t="str">
        <x:v>SRC-063</x:v>
      </x:c>
      <x:c r="F1135" s="16" t="str">
        <x:v>OBS-0329</x:v>
      </x:c>
      <x:c r="G1135" s="16" t="str">
        <x:v>正式报告</x:v>
      </x:c>
      <x:c r="H1135" s="19" t="n">
        <x:v>6</x:v>
      </x:c>
      <x:c r="I1135" s="19" t="n">
        <x:v>7</x:v>
      </x:c>
      <x:c r="J1135" s="19" t="n">
        <x:v>2</x:v>
      </x:c>
      <x:c r="K1135" s="16" t="str">
        <x:v>6. Severe deterioration</x:v>
      </x:c>
      <x:c r="L1135" s="16" t="str">
        <x:v>Very likely</x:v>
      </x:c>
      <x:c r="M1135" s="16" t="str">
        <x:v>Minor</x:v>
      </x:c>
      <x:c r="N1135" s="16" t="str">
        <x:v>High</x:v>
      </x:c>
    </x:row>
    <x:row r="1136" ht="41" customHeight="1">
      <x:c r="A1136" s="16" t="str">
        <x:v>RAW-01130</x:v>
      </x:c>
      <x:c r="B1136" s="16" t="str">
        <x:v>Recommendation</x:v>
      </x:c>
      <x:c r="C1136" s="16" t="str">
        <x:v>– Cute the end portion of the beam. And repaint the surface. Replacement is not required, as the element is non-structural.</x:v>
      </x:c>
      <x:c r="D1136" s="16" t="str">
        <x:v>Multipurpose Building verandah</x:v>
      </x:c>
      <x:c r="E1136" s="16" t="str">
        <x:v>SRC-063</x:v>
      </x:c>
      <x:c r="F1136" s="16" t="str">
        <x:v>REC-0089</x:v>
      </x:c>
      <x:c r="G1136" s="16" t="str">
        <x:v>正式报告</x:v>
      </x:c>
      <x:c r="H1136" s="19" t="n">
        <x:v>6</x:v>
      </x:c>
      <x:c r="I1136" s="19" t="n">
        <x:v>7</x:v>
      </x:c>
      <x:c r="J1136" s="19" t="n">
        <x:v>2</x:v>
      </x:c>
      <x:c r="K1136" s="16" t="str">
        <x:v>6. Severe deterioration</x:v>
      </x:c>
      <x:c r="L1136" s="16" t="str">
        <x:v>Very likely</x:v>
      </x:c>
      <x:c r="M1136" s="16" t="str">
        <x:v>Minor</x:v>
      </x:c>
      <x:c r="N1136" s="16" t="str">
        <x:v>High</x:v>
      </x:c>
    </x:row>
    <x:row r="1137" ht="37" customHeight="1">
      <x:c r="A1137" s="16" t="str">
        <x:v>RAW-01131</x:v>
      </x:c>
      <x:c r="B1137" s="16" t="str">
        <x:v>Observation</x:v>
      </x:c>
      <x:c r="C1137" s="16" t="str">
        <x:v>– Corrosion on roof sheeting.</x:v>
      </x:c>
      <x:c r="D1137" s="16" t="str">
        <x:v>Multipurpose Building verandah</x:v>
      </x:c>
      <x:c r="E1137" s="16" t="str">
        <x:v>SRC-063</x:v>
      </x:c>
      <x:c r="F1137" s="16" t="str">
        <x:v>OBS-0233</x:v>
      </x:c>
      <x:c r="G1137" s="16" t="str">
        <x:v>正式报告</x:v>
      </x:c>
      <x:c r="H1137" s="19" t="n">
        <x:v>6</x:v>
      </x:c>
      <x:c r="I1137" s="19" t="n">
        <x:v>9</x:v>
      </x:c>
      <x:c r="J1137" s="19" t="n">
        <x:v>1</x:v>
      </x:c>
      <x:c r="K1137" s="16" t="str">
        <x:v>6. Severe deterioration</x:v>
      </x:c>
      <x:c r="L1137" s="16" t="str">
        <x:v>Very likely</x:v>
      </x:c>
      <x:c r="M1137" s="16" t="str">
        <x:v>Minor</x:v>
      </x:c>
      <x:c r="N1137" s="16" t="str">
        <x:v>High</x:v>
      </x:c>
    </x:row>
    <x:row r="1138" ht="37" customHeight="1">
      <x:c r="A1138" s="16" t="str">
        <x:v>RAW-01132</x:v>
      </x:c>
      <x:c r="B1138" s="16" t="str">
        <x:v>Recommendation</x:v>
      </x:c>
      <x:c r="C1138" s="16" t="str">
        <x:v>– Clean, remove corrosion and repaint.</x:v>
      </x:c>
      <x:c r="D1138" s="16" t="str">
        <x:v>Multipurpose Building verandah</x:v>
      </x:c>
      <x:c r="E1138" s="16" t="str">
        <x:v>SRC-063</x:v>
      </x:c>
      <x:c r="F1138" s="16" t="str">
        <x:v>REC-0002</x:v>
      </x:c>
      <x:c r="G1138" s="16" t="str">
        <x:v>正式报告</x:v>
      </x:c>
      <x:c r="H1138" s="19" t="n">
        <x:v>6</x:v>
      </x:c>
      <x:c r="I1138" s="19" t="n">
        <x:v>9</x:v>
      </x:c>
      <x:c r="J1138" s="19" t="n">
        <x:v>1</x:v>
      </x:c>
      <x:c r="K1138" s="16" t="str">
        <x:v>6. Severe deterioration</x:v>
      </x:c>
      <x:c r="L1138" s="16" t="str">
        <x:v>Very likely</x:v>
      </x:c>
      <x:c r="M1138" s="16" t="str">
        <x:v>Minor</x:v>
      </x:c>
      <x:c r="N1138" s="16" t="str">
        <x:v>High</x:v>
      </x:c>
    </x:row>
    <x:row r="1139" ht="37" customHeight="1">
      <x:c r="A1139" s="16" t="str">
        <x:v>RAW-01133</x:v>
      </x:c>
      <x:c r="B1139" s="16" t="str">
        <x:v>Observation</x:v>
      </x:c>
      <x:c r="C1139" s="16" t="str">
        <x:v>– Roof deformed and detached from purlin.</x:v>
      </x:c>
      <x:c r="D1139" s="16" t="str">
        <x:v>Multipurpose Building verandah</x:v>
      </x:c>
      <x:c r="E1139" s="16" t="str">
        <x:v>SRC-063</x:v>
      </x:c>
      <x:c r="F1139" s="16" t="str">
        <x:v>OBS-0513</x:v>
      </x:c>
      <x:c r="G1139" s="16" t="str">
        <x:v>正式报告</x:v>
      </x:c>
      <x:c r="H1139" s="19" t="n">
        <x:v>6</x:v>
      </x:c>
      <x:c r="I1139" s="19" t="n">
        <x:v>10</x:v>
      </x:c>
      <x:c r="J1139" s="19" t="n">
        <x:v>2</x:v>
      </x:c>
      <x:c r="K1139" s="16" t="str">
        <x:v>6. Severe deterioration</x:v>
      </x:c>
      <x:c r="L1139" s="16" t="str">
        <x:v>Very likely</x:v>
      </x:c>
      <x:c r="M1139" s="16" t="str">
        <x:v>Minor</x:v>
      </x:c>
      <x:c r="N1139" s="16" t="str">
        <x:v>High</x:v>
      </x:c>
    </x:row>
    <x:row r="1140" ht="37" customHeight="1">
      <x:c r="A1140" s="16" t="str">
        <x:v>RAW-01134</x:v>
      </x:c>
      <x:c r="B1140" s="16" t="str">
        <x:v>Recommendation</x:v>
      </x:c>
      <x:c r="C1140" s="16" t="str">
        <x:v>– Reattach sheeting to purlin.</x:v>
      </x:c>
      <x:c r="D1140" s="16" t="str">
        <x:v>Multipurpose Building verandah</x:v>
      </x:c>
      <x:c r="E1140" s="16" t="str">
        <x:v>SRC-063</x:v>
      </x:c>
      <x:c r="F1140" s="16" t="str">
        <x:v>REC-0118</x:v>
      </x:c>
      <x:c r="G1140" s="16" t="str">
        <x:v>正式报告</x:v>
      </x:c>
      <x:c r="H1140" s="19" t="n">
        <x:v>6</x:v>
      </x:c>
      <x:c r="I1140" s="19" t="n">
        <x:v>10</x:v>
      </x:c>
      <x:c r="J1140" s="19" t="n">
        <x:v>2</x:v>
      </x:c>
      <x:c r="K1140" s="16" t="str">
        <x:v>6. Severe deterioration</x:v>
      </x:c>
      <x:c r="L1140" s="16" t="str">
        <x:v>Very likely</x:v>
      </x:c>
      <x:c r="M1140" s="16" t="str">
        <x:v>Minor</x:v>
      </x:c>
      <x:c r="N1140" s="16" t="str">
        <x:v>High</x:v>
      </x:c>
    </x:row>
    <x:row r="1141" ht="37" customHeight="1">
      <x:c r="A1141" s="16" t="str">
        <x:v>RAW-01135</x:v>
      </x:c>
      <x:c r="B1141" s="16" t="str">
        <x:v>Observation</x:v>
      </x:c>
      <x:c r="C1141" s="16" t="str">
        <x:v>– Minor corrosion at the lower section of the post.</x:v>
      </x:c>
      <x:c r="D1141" s="16" t="str">
        <x:v>Fencing posts</x:v>
      </x:c>
      <x:c r="E1141" s="16" t="str">
        <x:v>SRC-063</x:v>
      </x:c>
      <x:c r="F1141" s="16" t="str">
        <x:v>OBS-0386</x:v>
      </x:c>
      <x:c r="G1141" s="16" t="str">
        <x:v>正式报告</x:v>
      </x:c>
      <x:c r="H1141" s="19" t="n">
        <x:v>7</x:v>
      </x:c>
      <x:c r="I1141" s="19" t="n">
        <x:v>6</x:v>
      </x:c>
      <x:c r="J1141" s="19" t="n">
        <x:v>1</x:v>
      </x:c>
      <x:c r="K1141" s="16" t="str">
        <x:v>3. Minor deterioration</x:v>
      </x:c>
      <x:c r="L1141" s="16" t="str">
        <x:v>Unlikely</x:v>
      </x:c>
      <x:c r="M1141" s="16" t="str">
        <x:v>Moderate</x:v>
      </x:c>
      <x:c r="N1141" s="16" t="str">
        <x:v>Moderate</x:v>
      </x:c>
    </x:row>
    <x:row r="1142" ht="37" customHeight="1">
      <x:c r="A1142" s="16" t="str">
        <x:v>RAW-01136</x:v>
      </x:c>
      <x:c r="B1142" s="16" t="str">
        <x:v>Recommendation</x:v>
      </x:c>
      <x:c r="C1142" s="16" t="str">
        <x:v>– Excavate to the base of all fencing posts. Clean, remove corrosion and repaint.</x:v>
      </x:c>
      <x:c r="D1142" s="16" t="str">
        <x:v>Fencing posts</x:v>
      </x:c>
      <x:c r="E1142" s="16" t="str">
        <x:v>SRC-063</x:v>
      </x:c>
      <x:c r="F1142" s="16" t="str">
        <x:v>REC-0094</x:v>
      </x:c>
      <x:c r="G1142" s="16" t="str">
        <x:v>正式报告</x:v>
      </x:c>
      <x:c r="H1142" s="19" t="n">
        <x:v>7</x:v>
      </x:c>
      <x:c r="I1142" s="19" t="n">
        <x:v>6</x:v>
      </x:c>
      <x:c r="J1142" s="19" t="n">
        <x:v>1</x:v>
      </x:c>
      <x:c r="K1142" s="16" t="str">
        <x:v>3. Minor deterioration</x:v>
      </x:c>
      <x:c r="L1142" s="16" t="str">
        <x:v>Unlikely</x:v>
      </x:c>
      <x:c r="M1142" s="16" t="str">
        <x:v>Moderate</x:v>
      </x:c>
      <x:c r="N1142" s="16" t="str">
        <x:v>Moderate</x:v>
      </x:c>
    </x:row>
    <x:row r="1143" ht="37" customHeight="1">
      <x:c r="A1143" s="16" t="str">
        <x:v>RAW-01137</x:v>
      </x:c>
      <x:c r="B1143" s="16" t="str">
        <x:v>Observation</x:v>
      </x:c>
      <x:c r="C1143" s="16" t="str">
        <x:v>– Minor corrosion and paint deterioration.</x:v>
      </x:c>
      <x:c r="D1143" s="16" t="str">
        <x:v>Shade structure 2</x:v>
      </x:c>
      <x:c r="E1143" s="16" t="str">
        <x:v>SRC-063</x:v>
      </x:c>
      <x:c r="F1143" s="16" t="str">
        <x:v>OBS-0379</x:v>
      </x:c>
      <x:c r="G1143" s="16" t="str">
        <x:v>正式报告</x:v>
      </x:c>
      <x:c r="H1143" s="19" t="n">
        <x:v>8</x:v>
      </x:c>
      <x:c r="I1143" s="19" t="n">
        <x:v>6</x:v>
      </x:c>
      <x:c r="J1143" s="19" t="n">
        <x:v>2</x:v>
      </x:c>
      <x:c r="K1143" s="16" t="str">
        <x:v>3. Minor deterioration</x:v>
      </x:c>
      <x:c r="L1143" s="16" t="str">
        <x:v>Unlikely</x:v>
      </x:c>
      <x:c r="M1143" s="16" t="str">
        <x:v>Significant</x:v>
      </x:c>
      <x:c r="N1143" s="16" t="str">
        <x:v>Moderate</x:v>
      </x:c>
    </x:row>
    <x:row r="1144" ht="37" customHeight="1">
      <x:c r="A1144" s="16" t="str">
        <x:v>RAW-01138</x:v>
      </x:c>
      <x:c r="B1144" s="16" t="str">
        <x:v>Recommendation</x:v>
      </x:c>
      <x:c r="C1144" s="16" t="str">
        <x:v>– Clean, remove corrosion and repaint.</x:v>
      </x:c>
      <x:c r="D1144" s="16" t="str">
        <x:v>Shade structure 2</x:v>
      </x:c>
      <x:c r="E1144" s="16" t="str">
        <x:v>SRC-063</x:v>
      </x:c>
      <x:c r="F1144" s="16" t="str">
        <x:v>REC-0002</x:v>
      </x:c>
      <x:c r="G1144" s="16" t="str">
        <x:v>正式报告</x:v>
      </x:c>
      <x:c r="H1144" s="19" t="n">
        <x:v>8</x:v>
      </x:c>
      <x:c r="I1144" s="19" t="n">
        <x:v>6</x:v>
      </x:c>
      <x:c r="J1144" s="19" t="n">
        <x:v>2</x:v>
      </x:c>
      <x:c r="K1144" s="16" t="str">
        <x:v>3. Minor deterioration</x:v>
      </x:c>
      <x:c r="L1144" s="16" t="str">
        <x:v>Unlikely</x:v>
      </x:c>
      <x:c r="M1144" s="16" t="str">
        <x:v>Significant</x:v>
      </x:c>
      <x:c r="N1144" s="16" t="str">
        <x:v>Moderate</x:v>
      </x:c>
    </x:row>
    <x:row r="1145" ht="37" customHeight="1">
      <x:c r="A1145" s="16" t="str">
        <x:v>RAW-01139</x:v>
      </x:c>
      <x:c r="B1145" s="16" t="str">
        <x:v>Observation</x:v>
      </x:c>
      <x:c r="C1145" s="16" t="str">
        <x:v>– Minor corrosion at connections.</x:v>
      </x:c>
      <x:c r="D1145" s="16" t="str">
        <x:v>Shade structure 2</x:v>
      </x:c>
      <x:c r="E1145" s="16" t="str">
        <x:v>SRC-063</x:v>
      </x:c>
      <x:c r="F1145" s="16" t="str">
        <x:v>OBS-0382</x:v>
      </x:c>
      <x:c r="G1145" s="16" t="str">
        <x:v>正式报告</x:v>
      </x:c>
      <x:c r="H1145" s="19" t="n">
        <x:v>8</x:v>
      </x:c>
      <x:c r="I1145" s="19" t="n">
        <x:v>8</x:v>
      </x:c>
      <x:c r="J1145" s="19" t="n">
        <x:v>1</x:v>
      </x:c>
      <x:c r="K1145" s="16" t="str">
        <x:v>3. Minor deterioration</x:v>
      </x:c>
      <x:c r="L1145" s="16" t="str">
        <x:v>Unlikely</x:v>
      </x:c>
      <x:c r="M1145" s="16" t="str">
        <x:v>Significant</x:v>
      </x:c>
      <x:c r="N1145" s="16" t="str">
        <x:v>Moderate</x:v>
      </x:c>
    </x:row>
    <x:row r="1146" ht="37" customHeight="1">
      <x:c r="A1146" s="16" t="str">
        <x:v>RAW-01140</x:v>
      </x:c>
      <x:c r="B1146" s="16" t="str">
        <x:v>Recommendation</x:v>
      </x:c>
      <x:c r="C1146" s="16" t="str">
        <x:v>– Clean, remove corrosion and repaint.</x:v>
      </x:c>
      <x:c r="D1146" s="16" t="str">
        <x:v>Shade structure 2</x:v>
      </x:c>
      <x:c r="E1146" s="16" t="str">
        <x:v>SRC-063</x:v>
      </x:c>
      <x:c r="F1146" s="16" t="str">
        <x:v>REC-0002</x:v>
      </x:c>
      <x:c r="G1146" s="16" t="str">
        <x:v>正式报告</x:v>
      </x:c>
      <x:c r="H1146" s="19" t="n">
        <x:v>8</x:v>
      </x:c>
      <x:c r="I1146" s="19" t="n">
        <x:v>8</x:v>
      </x:c>
      <x:c r="J1146" s="19" t="n">
        <x:v>1</x:v>
      </x:c>
      <x:c r="K1146" s="16" t="str">
        <x:v>3. Minor deterioration</x:v>
      </x:c>
      <x:c r="L1146" s="16" t="str">
        <x:v>Unlikely</x:v>
      </x:c>
      <x:c r="M1146" s="16" t="str">
        <x:v>Significant</x:v>
      </x:c>
      <x:c r="N1146" s="16" t="str">
        <x:v>Moderate</x:v>
      </x:c>
    </x:row>
    <x:row r="1147" ht="37" customHeight="1">
      <x:c r="A1147" s="16" t="str">
        <x:v>RAW-01141</x:v>
      </x:c>
      <x:c r="B1147" s="16" t="str">
        <x:v>Observation</x:v>
      </x:c>
      <x:c r="C1147" s="16" t="str">
        <x:v>– Minor corrosion on all steel elements.</x:v>
      </x:c>
      <x:c r="D1147" s="16" t="str">
        <x:v>Shade structure 2</x:v>
      </x:c>
      <x:c r="E1147" s="16" t="str">
        <x:v>SRC-063</x:v>
      </x:c>
      <x:c r="F1147" s="16" t="str">
        <x:v>OBS-0395</x:v>
      </x:c>
      <x:c r="G1147" s="16" t="str">
        <x:v>正式报告</x:v>
      </x:c>
      <x:c r="H1147" s="19" t="n">
        <x:v>8</x:v>
      </x:c>
      <x:c r="I1147" s="19" t="n">
        <x:v>9</x:v>
      </x:c>
      <x:c r="J1147" s="19" t="n">
        <x:v>3</x:v>
      </x:c>
      <x:c r="K1147" s="16" t="str">
        <x:v>3. Minor deterioration</x:v>
      </x:c>
      <x:c r="L1147" s="16" t="str">
        <x:v>Unlikely</x:v>
      </x:c>
      <x:c r="M1147" s="16" t="str">
        <x:v>Significant</x:v>
      </x:c>
      <x:c r="N1147" s="16" t="str">
        <x:v>Moderate</x:v>
      </x:c>
    </x:row>
    <x:row r="1148" ht="37" customHeight="1">
      <x:c r="A1148" s="16" t="str">
        <x:v>RAW-01142</x:v>
      </x:c>
      <x:c r="B1148" s="16" t="str">
        <x:v>Recommendation</x:v>
      </x:c>
      <x:c r="C1148" s="16" t="str">
        <x:v>– Clean, remove corrosion and repaint.</x:v>
      </x:c>
      <x:c r="D1148" s="16" t="str">
        <x:v>Shade structure 2</x:v>
      </x:c>
      <x:c r="E1148" s="16" t="str">
        <x:v>SRC-063</x:v>
      </x:c>
      <x:c r="F1148" s="16" t="str">
        <x:v>REC-0002</x:v>
      </x:c>
      <x:c r="G1148" s="16" t="str">
        <x:v>正式报告</x:v>
      </x:c>
      <x:c r="H1148" s="19" t="n">
        <x:v>8</x:v>
      </x:c>
      <x:c r="I1148" s="19" t="n">
        <x:v>9</x:v>
      </x:c>
      <x:c r="J1148" s="19" t="n">
        <x:v>3</x:v>
      </x:c>
      <x:c r="K1148" s="16" t="str">
        <x:v>3. Minor deterioration</x:v>
      </x:c>
      <x:c r="L1148" s="16" t="str">
        <x:v>Unlikely</x:v>
      </x:c>
      <x:c r="M1148" s="16" t="str">
        <x:v>Significant</x:v>
      </x:c>
      <x:c r="N1148" s="16" t="str">
        <x:v>Moderate</x:v>
      </x:c>
    </x:row>
    <x:row r="1149" ht="37" customHeight="1">
      <x:c r="A1149" s="16" t="str">
        <x:v>RAW-01143</x:v>
      </x:c>
      <x:c r="B1149" s="16" t="str">
        <x:v>Observation</x:v>
      </x:c>
      <x:c r="C1149" s="16" t="str">
        <x:v>– Overview of seat.</x:v>
      </x:c>
      <x:c r="D1149" s="16" t="str">
        <x:v>Front entrance seat</x:v>
      </x:c>
      <x:c r="E1149" s="16" t="str">
        <x:v>SRC-063</x:v>
      </x:c>
      <x:c r="F1149" s="16" t="str">
        <x:v>OBS-0076</x:v>
      </x:c>
      <x:c r="G1149" s="16" t="str">
        <x:v>正式报告</x:v>
      </x:c>
      <x:c r="H1149" s="19" t="n">
        <x:v>9</x:v>
      </x:c>
      <x:c r="I1149" s="19" t="n">
        <x:v>6</x:v>
      </x:c>
      <x:c r="J1149" s="19" t="n">
        <x:v>1</x:v>
      </x:c>
      <x:c r="K1149" s="16" t="str">
        <x:v>5. Major deterioration</x:v>
      </x:c>
      <x:c r="L1149" s="16" t="str">
        <x:v>Likely</x:v>
      </x:c>
      <x:c r="M1149" s="16" t="str">
        <x:v>Minor</x:v>
      </x:c>
      <x:c r="N1149" s="16" t="str">
        <x:v>Moderate</x:v>
      </x:c>
    </x:row>
    <x:row r="1150" ht="37" customHeight="1">
      <x:c r="A1150" s="16" t="str">
        <x:v>RAW-01144</x:v>
      </x:c>
      <x:c r="B1150" s="16" t="str">
        <x:v>Observation</x:v>
      </x:c>
      <x:c r="C1150" s="16" t="str">
        <x:v>– Welds at baseplate corroded away.</x:v>
      </x:c>
      <x:c r="D1150" s="16" t="str">
        <x:v>Front entrance seat</x:v>
      </x:c>
      <x:c r="E1150" s="16" t="str">
        <x:v>SRC-063</x:v>
      </x:c>
      <x:c r="F1150" s="16" t="str">
        <x:v>OBS-0088</x:v>
      </x:c>
      <x:c r="G1150" s="16" t="str">
        <x:v>正式报告</x:v>
      </x:c>
      <x:c r="H1150" s="19" t="n">
        <x:v>9</x:v>
      </x:c>
      <x:c r="I1150" s="19" t="n">
        <x:v>7</x:v>
      </x:c>
      <x:c r="J1150" s="19" t="n">
        <x:v>1</x:v>
      </x:c>
      <x:c r="K1150" s="16" t="str">
        <x:v>5. Major deterioration</x:v>
      </x:c>
      <x:c r="L1150" s="16" t="str">
        <x:v>Likely</x:v>
      </x:c>
      <x:c r="M1150" s="16" t="str">
        <x:v>Minor</x:v>
      </x:c>
      <x:c r="N1150" s="16" t="str">
        <x:v>Moderate</x:v>
      </x:c>
    </x:row>
    <x:row r="1151" ht="37" customHeight="1">
      <x:c r="A1151" s="16" t="str">
        <x:v>RAW-01145</x:v>
      </x:c>
      <x:c r="B1151" s="16" t="str">
        <x:v>Recommendation</x:v>
      </x:c>
      <x:c r="C1151" s="16" t="str">
        <x:v>– Remove the corrosion, re welding and repaint</x:v>
      </x:c>
      <x:c r="D1151" s="16" t="str">
        <x:v>Front entrance seat</x:v>
      </x:c>
      <x:c r="E1151" s="16" t="str">
        <x:v>SRC-063</x:v>
      </x:c>
      <x:c r="F1151" s="16" t="str">
        <x:v>REC-0035</x:v>
      </x:c>
      <x:c r="G1151" s="16" t="str">
        <x:v>正式报告</x:v>
      </x:c>
      <x:c r="H1151" s="19" t="n">
        <x:v>9</x:v>
      </x:c>
      <x:c r="I1151" s="19" t="n">
        <x:v>7</x:v>
      </x:c>
      <x:c r="J1151" s="19" t="n">
        <x:v>1</x:v>
      </x:c>
      <x:c r="K1151" s="16" t="str">
        <x:v>5. Major deterioration</x:v>
      </x:c>
      <x:c r="L1151" s="16" t="str">
        <x:v>Likely</x:v>
      </x:c>
      <x:c r="M1151" s="16" t="str">
        <x:v>Minor</x:v>
      </x:c>
      <x:c r="N1151" s="16" t="str">
        <x:v>Moderate</x:v>
      </x:c>
    </x:row>
    <x:row r="1152" ht="37" customHeight="1">
      <x:c r="A1152" s="16" t="str">
        <x:v>RAW-01146</x:v>
      </x:c>
      <x:c r="B1152" s="16" t="str">
        <x:v>Observation</x:v>
      </x:c>
      <x:c r="C1152" s="16" t="str">
        <x:v>– Overview of seat.</x:v>
      </x:c>
      <x:c r="D1152" s="16" t="str">
        <x:v>Seats</x:v>
      </x:c>
      <x:c r="E1152" s="16" t="str">
        <x:v>SRC-063</x:v>
      </x:c>
      <x:c r="F1152" s="16" t="str">
        <x:v>OBS-0076</x:v>
      </x:c>
      <x:c r="G1152" s="16" t="str">
        <x:v>正式报告</x:v>
      </x:c>
      <x:c r="H1152" s="19" t="n">
        <x:v>10</x:v>
      </x:c>
      <x:c r="I1152" s="19" t="n">
        <x:v>6</x:v>
      </x:c>
      <x:c r="J1152" s="19" t="n">
        <x:v>1</x:v>
      </x:c>
      <x:c r="K1152" s="16" t="str">
        <x:v>4. Moderate deterioration</x:v>
      </x:c>
      <x:c r="L1152" s="16" t="str">
        <x:v>Possible</x:v>
      </x:c>
      <x:c r="M1152" s="16" t="str">
        <x:v>Minor</x:v>
      </x:c>
      <x:c r="N1152" s="16" t="str">
        <x:v>Moderate</x:v>
      </x:c>
    </x:row>
    <x:row r="1153" ht="37" customHeight="1">
      <x:c r="A1153" s="16" t="str">
        <x:v>RAW-01147</x:v>
      </x:c>
      <x:c r="B1153" s="16" t="str">
        <x:v>Observation</x:v>
      </x:c>
      <x:c r="C1153" s="16" t="str">
        <x:v>– Welds at baseplate corroded away.</x:v>
      </x:c>
      <x:c r="D1153" s="16" t="str">
        <x:v>Seats</x:v>
      </x:c>
      <x:c r="E1153" s="16" t="str">
        <x:v>SRC-063</x:v>
      </x:c>
      <x:c r="F1153" s="16" t="str">
        <x:v>OBS-0088</x:v>
      </x:c>
      <x:c r="G1153" s="16" t="str">
        <x:v>正式报告</x:v>
      </x:c>
      <x:c r="H1153" s="19" t="n">
        <x:v>10</x:v>
      </x:c>
      <x:c r="I1153" s="19" t="n">
        <x:v>7</x:v>
      </x:c>
      <x:c r="J1153" s="19" t="n">
        <x:v>1</x:v>
      </x:c>
      <x:c r="K1153" s="16" t="str">
        <x:v>4. Moderate deterioration</x:v>
      </x:c>
      <x:c r="L1153" s="16" t="str">
        <x:v>Possible</x:v>
      </x:c>
      <x:c r="M1153" s="16" t="str">
        <x:v>Minor</x:v>
      </x:c>
      <x:c r="N1153" s="16" t="str">
        <x:v>Moderate</x:v>
      </x:c>
    </x:row>
    <x:row r="1154" ht="37" customHeight="1">
      <x:c r="A1154" s="16" t="str">
        <x:v>RAW-01148</x:v>
      </x:c>
      <x:c r="B1154" s="16" t="str">
        <x:v>Recommendation</x:v>
      </x:c>
      <x:c r="C1154" s="16" t="str">
        <x:v>– Remove the corrosion, re welding and repaint</x:v>
      </x:c>
      <x:c r="D1154" s="16" t="str">
        <x:v>Seats</x:v>
      </x:c>
      <x:c r="E1154" s="16" t="str">
        <x:v>SRC-063</x:v>
      </x:c>
      <x:c r="F1154" s="16" t="str">
        <x:v>REC-0035</x:v>
      </x:c>
      <x:c r="G1154" s="16" t="str">
        <x:v>正式报告</x:v>
      </x:c>
      <x:c r="H1154" s="19" t="n">
        <x:v>10</x:v>
      </x:c>
      <x:c r="I1154" s="19" t="n">
        <x:v>7</x:v>
      </x:c>
      <x:c r="J1154" s="19" t="n">
        <x:v>1</x:v>
      </x:c>
      <x:c r="K1154" s="16" t="str">
        <x:v>4. Moderate deterioration</x:v>
      </x:c>
      <x:c r="L1154" s="16" t="str">
        <x:v>Possible</x:v>
      </x:c>
      <x:c r="M1154" s="16" t="str">
        <x:v>Minor</x:v>
      </x:c>
      <x:c r="N1154" s="16" t="str">
        <x:v>Moderate</x:v>
      </x:c>
    </x:row>
    <x:row r="1155" ht="37" customHeight="1">
      <x:c r="A1155" s="16" t="str">
        <x:v>RAW-01149</x:v>
      </x:c>
      <x:c r="B1155" s="16" t="str">
        <x:v>Observation</x:v>
      </x:c>
      <x:c r="C1155" s="16" t="str">
        <x:v>– Timber splitting at end of rafter.</x:v>
      </x:c>
      <x:c r="D1155" s="16" t="str">
        <x:v>Childhood Centre - timber rafters</x:v>
      </x:c>
      <x:c r="E1155" s="16" t="str">
        <x:v>SRC-063</x:v>
      </x:c>
      <x:c r="F1155" s="16" t="str">
        <x:v>OBS-0596</x:v>
      </x:c>
      <x:c r="G1155" s="16" t="str">
        <x:v>正式报告</x:v>
      </x:c>
      <x:c r="H1155" s="19" t="n">
        <x:v>11</x:v>
      </x:c>
      <x:c r="I1155" s="19" t="n">
        <x:v>6</x:v>
      </x:c>
      <x:c r="J1155" s="19" t="n">
        <x:v>1</x:v>
      </x:c>
      <x:c r="K1155" s="16" t="str">
        <x:v>3. Minor deterioration</x:v>
      </x:c>
      <x:c r="L1155" s="16" t="str">
        <x:v>Unlikely</x:v>
      </x:c>
      <x:c r="M1155" s="16" t="str">
        <x:v>Moderate</x:v>
      </x:c>
      <x:c r="N1155" s="16" t="str">
        <x:v>Moderate</x:v>
      </x:c>
    </x:row>
    <x:row r="1156" ht="37" customHeight="1">
      <x:c r="A1156" s="16" t="str">
        <x:v>RAW-01150</x:v>
      </x:c>
      <x:c r="B1156" s="16" t="str">
        <x:v>Observation</x:v>
      </x:c>
      <x:c r="C1156" s="16" t="str">
        <x:v>– Timber splitting in the middle of rafter.</x:v>
      </x:c>
      <x:c r="D1156" s="16" t="str">
        <x:v>Childhood Centre - timber rafters</x:v>
      </x:c>
      <x:c r="E1156" s="16" t="str">
        <x:v>SRC-063</x:v>
      </x:c>
      <x:c r="F1156" s="16" t="str">
        <x:v>OBS-0597</x:v>
      </x:c>
      <x:c r="G1156" s="16" t="str">
        <x:v>正式报告</x:v>
      </x:c>
      <x:c r="H1156" s="19" t="n">
        <x:v>11</x:v>
      </x:c>
      <x:c r="I1156" s="19" t="n">
        <x:v>7</x:v>
      </x:c>
      <x:c r="J1156" s="19" t="n">
        <x:v>1</x:v>
      </x:c>
      <x:c r="K1156" s="16" t="str">
        <x:v>3. Minor deterioration</x:v>
      </x:c>
      <x:c r="L1156" s="16" t="str">
        <x:v>Unlikely</x:v>
      </x:c>
      <x:c r="M1156" s="16" t="str">
        <x:v>Moderate</x:v>
      </x:c>
      <x:c r="N1156" s="16" t="str">
        <x:v>Moderate</x:v>
      </x:c>
    </x:row>
    <x:row r="1157" ht="37" customHeight="1">
      <x:c r="A1157" s="16" t="str">
        <x:v>RAW-01151</x:v>
      </x:c>
      <x:c r="B1157" s="16" t="str">
        <x:v>Recommendation</x:v>
      </x:c>
      <x:c r="C1157" s="16" t="str">
        <x:v>– Replace timber rafter.</x:v>
      </x:c>
      <x:c r="D1157" s="16" t="str">
        <x:v>Childhood Centre - timber rafters</x:v>
      </x:c>
      <x:c r="E1157" s="16" t="str">
        <x:v>SRC-063</x:v>
      </x:c>
      <x:c r="F1157" s="16" t="str">
        <x:v>REC-0044</x:v>
      </x:c>
      <x:c r="G1157" s="16" t="str">
        <x:v>正式报告</x:v>
      </x:c>
      <x:c r="H1157" s="19" t="n">
        <x:v>11</x:v>
      </x:c>
      <x:c r="I1157" s="19" t="n">
        <x:v>7</x:v>
      </x:c>
      <x:c r="J1157" s="19" t="n">
        <x:v>1</x:v>
      </x:c>
      <x:c r="K1157" s="16" t="str">
        <x:v>3. Minor deterioration</x:v>
      </x:c>
      <x:c r="L1157" s="16" t="str">
        <x:v>Unlikely</x:v>
      </x:c>
      <x:c r="M1157" s="16" t="str">
        <x:v>Moderate</x:v>
      </x:c>
      <x:c r="N1157" s="16" t="str">
        <x:v>Moderate</x:v>
      </x:c>
    </x:row>
    <x:row r="1158" ht="37" customHeight="1">
      <x:c r="A1158" s="16" t="str">
        <x:v>RAW-01152</x:v>
      </x:c>
      <x:c r="B1158" s="16" t="str">
        <x:v>Observation</x:v>
      </x:c>
      <x:c r="C1158" s="16" t="str">
        <x:v>– Facing the east end of the building.</x:v>
      </x:c>
      <x:c r="D1158" s="16" t="str">
        <x:v>Childhood Centre - timber rafters</x:v>
      </x:c>
      <x:c r="E1158" s="16" t="str">
        <x:v>SRC-063</x:v>
      </x:c>
      <x:c r="F1158" s="16" t="str">
        <x:v>OBS-0258</x:v>
      </x:c>
      <x:c r="G1158" s="16" t="str">
        <x:v>正式报告</x:v>
      </x:c>
      <x:c r="H1158" s="19" t="n">
        <x:v>11</x:v>
      </x:c>
      <x:c r="I1158" s="19" t="n">
        <x:v>8</x:v>
      </x:c>
      <x:c r="J1158" s="19" t="n">
        <x:v>1</x:v>
      </x:c>
      <x:c r="K1158" s="16" t="str">
        <x:v>3. Minor deterioration</x:v>
      </x:c>
      <x:c r="L1158" s="16" t="str">
        <x:v>Unlikely</x:v>
      </x:c>
      <x:c r="M1158" s="16" t="str">
        <x:v>Moderate</x:v>
      </x:c>
      <x:c r="N1158" s="16" t="str">
        <x:v>Moderate</x:v>
      </x:c>
    </x:row>
    <x:row r="1159" ht="37" customHeight="1">
      <x:c r="A1159" s="16" t="str">
        <x:v>RAW-01153</x:v>
      </x:c>
      <x:c r="B1159" s="16" t="str">
        <x:v>Observation</x:v>
      </x:c>
      <x:c r="C1159" s="16" t="str">
        <x:v>– Splitting timber at the end of rafter.</x:v>
      </x:c>
      <x:c r="D1159" s="16" t="str">
        <x:v>Childhood Centre - timber rafters</x:v>
      </x:c>
      <x:c r="E1159" s="16" t="str">
        <x:v>SRC-063</x:v>
      </x:c>
      <x:c r="F1159" s="16" t="str">
        <x:v>OBS-0578</x:v>
      </x:c>
      <x:c r="G1159" s="16" t="str">
        <x:v>正式报告</x:v>
      </x:c>
      <x:c r="H1159" s="19" t="n">
        <x:v>11</x:v>
      </x:c>
      <x:c r="I1159" s="19" t="n">
        <x:v>9</x:v>
      </x:c>
      <x:c r="J1159" s="19" t="n">
        <x:v>1</x:v>
      </x:c>
      <x:c r="K1159" s="16" t="str">
        <x:v>3. Minor deterioration</x:v>
      </x:c>
      <x:c r="L1159" s="16" t="str">
        <x:v>Unlikely</x:v>
      </x:c>
      <x:c r="M1159" s="16" t="str">
        <x:v>Moderate</x:v>
      </x:c>
      <x:c r="N1159" s="16" t="str">
        <x:v>Moderate</x:v>
      </x:c>
    </x:row>
    <x:row r="1160" ht="37" customHeight="1">
      <x:c r="A1160" s="16" t="str">
        <x:v>RAW-01154</x:v>
      </x:c>
      <x:c r="B1160" s="16" t="str">
        <x:v>Recommendation</x:v>
      </x:c>
      <x:c r="C1160" s="16" t="str">
        <x:v>– monitor the timber condition</x:v>
      </x:c>
      <x:c r="D1160" s="16" t="str">
        <x:v>Childhood Centre - timber rafters</x:v>
      </x:c>
      <x:c r="E1160" s="16" t="str">
        <x:v>SRC-063</x:v>
      </x:c>
      <x:c r="F1160" s="16" t="str">
        <x:v>REC-0173</x:v>
      </x:c>
      <x:c r="G1160" s="16" t="str">
        <x:v>正式报告</x:v>
      </x:c>
      <x:c r="H1160" s="19" t="n">
        <x:v>11</x:v>
      </x:c>
      <x:c r="I1160" s="19" t="n">
        <x:v>9</x:v>
      </x:c>
      <x:c r="J1160" s="19" t="n">
        <x:v>1</x:v>
      </x:c>
      <x:c r="K1160" s="16" t="str">
        <x:v>3. Minor deterioration</x:v>
      </x:c>
      <x:c r="L1160" s="16" t="str">
        <x:v>Unlikely</x:v>
      </x:c>
      <x:c r="M1160" s="16" t="str">
        <x:v>Moderate</x:v>
      </x:c>
      <x:c r="N1160" s="16" t="str">
        <x:v>Moderate</x:v>
      </x:c>
    </x:row>
    <x:row r="1161" ht="37" customHeight="1">
      <x:c r="A1161" s="16" t="str">
        <x:v>RAW-01155</x:v>
      </x:c>
      <x:c r="B1161" s="16" t="str">
        <x:v>Observation</x:v>
      </x:c>
      <x:c r="C1161" s="16" t="str">
        <x:v>– Hole in timber.</x:v>
      </x:c>
      <x:c r="D1161" s="16" t="str">
        <x:v>Childhood Centre - timber rafters</x:v>
      </x:c>
      <x:c r="E1161" s="16" t="str">
        <x:v>SRC-063</x:v>
      </x:c>
      <x:c r="F1161" s="16" t="str">
        <x:v>OBS-0326</x:v>
      </x:c>
      <x:c r="G1161" s="16" t="str">
        <x:v>正式报告</x:v>
      </x:c>
      <x:c r="H1161" s="19" t="n">
        <x:v>11</x:v>
      </x:c>
      <x:c r="I1161" s="19" t="n">
        <x:v>10</x:v>
      </x:c>
      <x:c r="J1161" s="19" t="n">
        <x:v>2</x:v>
      </x:c>
      <x:c r="K1161" s="16" t="str">
        <x:v>3. Minor deterioration</x:v>
      </x:c>
      <x:c r="L1161" s="16" t="str">
        <x:v>Unlikely</x:v>
      </x:c>
      <x:c r="M1161" s="16" t="str">
        <x:v>Moderate</x:v>
      </x:c>
      <x:c r="N1161" s="16" t="str">
        <x:v>Moderate</x:v>
      </x:c>
    </x:row>
    <x:row r="1162" ht="37" customHeight="1">
      <x:c r="A1162" s="16" t="str">
        <x:v>RAW-01156</x:v>
      </x:c>
      <x:c r="B1162" s="16" t="str">
        <x:v>Recommendation</x:v>
      </x:c>
      <x:c r="C1162" s="16" t="str">
        <x:v>– Replace timber rafter.</x:v>
      </x:c>
      <x:c r="D1162" s="16" t="str">
        <x:v>Childhood Centre - timber rafters</x:v>
      </x:c>
      <x:c r="E1162" s="16" t="str">
        <x:v>SRC-063</x:v>
      </x:c>
      <x:c r="F1162" s="16" t="str">
        <x:v>REC-0044</x:v>
      </x:c>
      <x:c r="G1162" s="16" t="str">
        <x:v>正式报告</x:v>
      </x:c>
      <x:c r="H1162" s="19" t="n">
        <x:v>11</x:v>
      </x:c>
      <x:c r="I1162" s="19" t="n">
        <x:v>10</x:v>
      </x:c>
      <x:c r="J1162" s="19" t="n">
        <x:v>2</x:v>
      </x:c>
      <x:c r="K1162" s="16" t="str">
        <x:v>3. Minor deterioration</x:v>
      </x:c>
      <x:c r="L1162" s="16" t="str">
        <x:v>Unlikely</x:v>
      </x:c>
      <x:c r="M1162" s="16" t="str">
        <x:v>Moderate</x:v>
      </x:c>
      <x:c r="N1162" s="16" t="str">
        <x:v>Moderate</x:v>
      </x:c>
    </x:row>
    <x:row r="1163" ht="37" customHeight="1">
      <x:c r="A1163" s="16" t="str">
        <x:v>RAW-01157</x:v>
      </x:c>
      <x:c r="B1163" s="16" t="str">
        <x:v>Observation</x:v>
      </x:c>
      <x:c r="C1163" s="16" t="str">
        <x:v>– Swing overview.</x:v>
      </x:c>
      <x:c r="D1163" s="16" t="str">
        <x:v>Swing</x:v>
      </x:c>
      <x:c r="E1163" s="16" t="str">
        <x:v>SRC-063</x:v>
      </x:c>
      <x:c r="F1163" s="16" t="str">
        <x:v>OBS-0589</x:v>
      </x:c>
      <x:c r="G1163" s="16" t="str">
        <x:v>正式报告</x:v>
      </x:c>
      <x:c r="H1163" s="19" t="n">
        <x:v>12</x:v>
      </x:c>
      <x:c r="I1163" s="19" t="n">
        <x:v>6</x:v>
      </x:c>
      <x:c r="J1163" s="19" t="n">
        <x:v>1</x:v>
      </x:c>
      <x:c r="K1163" s="16" t="str">
        <x:v>3. Minor corrosion</x:v>
      </x:c>
      <x:c r="L1163" s="16" t="str">
        <x:v>Unlikely</x:v>
      </x:c>
      <x:c r="M1163" s="16" t="str">
        <x:v>Minor</x:v>
      </x:c>
      <x:c r="N1163" s="16" t="str">
        <x:v>Low</x:v>
      </x:c>
    </x:row>
    <x:row r="1164" ht="37" customHeight="1">
      <x:c r="A1164" s="16" t="str">
        <x:v>RAW-01158</x:v>
      </x:c>
      <x:c r="B1164" s="16" t="str">
        <x:v>Observation</x:v>
      </x:c>
      <x:c r="C1164" s="16" t="str">
        <x:v>– Minor corrosion on lower section of the struts.</x:v>
      </x:c>
      <x:c r="D1164" s="16" t="str">
        <x:v>Swing</x:v>
      </x:c>
      <x:c r="E1164" s="16" t="str">
        <x:v>SRC-063</x:v>
      </x:c>
      <x:c r="F1164" s="16" t="str">
        <x:v>OBS-0399</x:v>
      </x:c>
      <x:c r="G1164" s="16" t="str">
        <x:v>正式报告</x:v>
      </x:c>
      <x:c r="H1164" s="19" t="n">
        <x:v>12</x:v>
      </x:c>
      <x:c r="I1164" s="19" t="n">
        <x:v>7</x:v>
      </x:c>
      <x:c r="J1164" s="19" t="n">
        <x:v>3</x:v>
      </x:c>
      <x:c r="K1164" s="16" t="str">
        <x:v>3. Minor corrosion</x:v>
      </x:c>
      <x:c r="L1164" s="16" t="str">
        <x:v>Unlikely</x:v>
      </x:c>
      <x:c r="M1164" s="16" t="str">
        <x:v>Minor</x:v>
      </x:c>
      <x:c r="N1164" s="16" t="str">
        <x:v>Low</x:v>
      </x:c>
    </x:row>
    <x:row r="1165" ht="37" customHeight="1">
      <x:c r="A1165" s="16" t="str">
        <x:v>RAW-01159</x:v>
      </x:c>
      <x:c r="B1165" s="16" t="str">
        <x:v>Recommendation</x:v>
      </x:c>
      <x:c r="C1165" s="16" t="str">
        <x:v>– Excavate until base of strut is reached. Clean, remove corrosion and repaint.</x:v>
      </x:c>
      <x:c r="D1165" s="16" t="str">
        <x:v>Swing</x:v>
      </x:c>
      <x:c r="E1165" s="16" t="str">
        <x:v>SRC-063</x:v>
      </x:c>
      <x:c r="F1165" s="16" t="str">
        <x:v>REC-0096</x:v>
      </x:c>
      <x:c r="G1165" s="16" t="str">
        <x:v>正式报告</x:v>
      </x:c>
      <x:c r="H1165" s="19" t="n">
        <x:v>12</x:v>
      </x:c>
      <x:c r="I1165" s="19" t="n">
        <x:v>7</x:v>
      </x:c>
      <x:c r="J1165" s="19" t="n">
        <x:v>3</x:v>
      </x:c>
      <x:c r="K1165" s="16" t="str">
        <x:v>3. Minor corrosion</x:v>
      </x:c>
      <x:c r="L1165" s="16" t="str">
        <x:v>Unlikely</x:v>
      </x:c>
      <x:c r="M1165" s="16" t="str">
        <x:v>Minor</x:v>
      </x:c>
      <x:c r="N1165" s="16" t="str">
        <x:v>Low</x:v>
      </x:c>
    </x:row>
    <x:row r="1166" ht="37" customHeight="1">
      <x:c r="A1166" s="16" t="str">
        <x:v>RAW-01160</x:v>
      </x:c>
      <x:c r="B1166" s="16" t="str">
        <x:v>Observation</x:v>
      </x:c>
      <x:c r="C1166" s="16" t="str">
        <x:v>– Overview of the North side of Multipurpose building.</x:v>
      </x:c>
      <x:c r="D1166" s="16" t="str">
        <x:v>Multipurpose Building - roof beams</x:v>
      </x:c>
      <x:c r="E1166" s="16" t="str">
        <x:v>SRC-063</x:v>
      </x:c>
      <x:c r="F1166" s="16" t="str">
        <x:v>OBS-0439</x:v>
      </x:c>
      <x:c r="G1166" s="16" t="str">
        <x:v>正式报告</x:v>
      </x:c>
      <x:c r="H1166" s="19" t="n">
        <x:v>13</x:v>
      </x:c>
      <x:c r="I1166" s="19" t="n">
        <x:v>6</x:v>
      </x:c>
      <x:c r="J1166" s="19" t="n">
        <x:v>1</x:v>
      </x:c>
      <x:c r="K1166" s="16" t="str">
        <x:v>3. Minor deterioration</x:v>
      </x:c>
      <x:c r="L1166" s="16" t="str">
        <x:v>Unlikely</x:v>
      </x:c>
      <x:c r="M1166" s="16" t="str">
        <x:v>Minor</x:v>
      </x:c>
      <x:c r="N1166" s="16" t="str">
        <x:v>Low</x:v>
      </x:c>
    </x:row>
    <x:row r="1167" ht="37" customHeight="1">
      <x:c r="A1167" s="16" t="str">
        <x:v>RAW-01161</x:v>
      </x:c>
      <x:c r="B1167" s="16" t="str">
        <x:v>Observation</x:v>
      </x:c>
      <x:c r="C1167" s="16" t="str">
        <x:v>– Corrosion on roof beams.</x:v>
      </x:c>
      <x:c r="D1167" s="16" t="str">
        <x:v>Multipurpose Building - roof beams</x:v>
      </x:c>
      <x:c r="E1167" s="16" t="str">
        <x:v>SRC-063</x:v>
      </x:c>
      <x:c r="F1167" s="16" t="str">
        <x:v>OBS-0047</x:v>
      </x:c>
      <x:c r="G1167" s="16" t="str">
        <x:v>正式报告</x:v>
      </x:c>
      <x:c r="H1167" s="19" t="n">
        <x:v>13</x:v>
      </x:c>
      <x:c r="I1167" s="19" t="n">
        <x:v>7</x:v>
      </x:c>
      <x:c r="J1167" s="19" t="n">
        <x:v>2</x:v>
      </x:c>
      <x:c r="K1167" s="16" t="str">
        <x:v>3. Minor deterioration</x:v>
      </x:c>
      <x:c r="L1167" s="16" t="str">
        <x:v>Unlikely</x:v>
      </x:c>
      <x:c r="M1167" s="16" t="str">
        <x:v>Minor</x:v>
      </x:c>
      <x:c r="N1167" s="16" t="str">
        <x:v>Low</x:v>
      </x:c>
    </x:row>
    <x:row r="1168" ht="37" customHeight="1">
      <x:c r="A1168" s="16" t="str">
        <x:v>RAW-01162</x:v>
      </x:c>
      <x:c r="B1168" s="16" t="str">
        <x:v>Recommendation</x:v>
      </x:c>
      <x:c r="C1168" s="16" t="str">
        <x:v>– Clean, remove corrosion and repaint.</x:v>
      </x:c>
      <x:c r="D1168" s="16" t="str">
        <x:v>Multipurpose Building - roof beams</x:v>
      </x:c>
      <x:c r="E1168" s="16" t="str">
        <x:v>SRC-063</x:v>
      </x:c>
      <x:c r="F1168" s="16" t="str">
        <x:v>REC-0002</x:v>
      </x:c>
      <x:c r="G1168" s="16" t="str">
        <x:v>正式报告</x:v>
      </x:c>
      <x:c r="H1168" s="19" t="n">
        <x:v>13</x:v>
      </x:c>
      <x:c r="I1168" s="19" t="n">
        <x:v>7</x:v>
      </x:c>
      <x:c r="J1168" s="19" t="n">
        <x:v>2</x:v>
      </x:c>
      <x:c r="K1168" s="16" t="str">
        <x:v>3. Minor deterioration</x:v>
      </x:c>
      <x:c r="L1168" s="16" t="str">
        <x:v>Unlikely</x:v>
      </x:c>
      <x:c r="M1168" s="16" t="str">
        <x:v>Minor</x:v>
      </x:c>
      <x:c r="N1168" s="16" t="str">
        <x:v>Low</x:v>
      </x:c>
    </x:row>
    <x:row r="1169" ht="37" customHeight="1">
      <x:c r="A1169" s="16" t="str">
        <x:v>RAW-01163</x:v>
      </x:c>
      <x:c r="B1169" s="16" t="str">
        <x:v>Observation</x:v>
      </x:c>
      <x:c r="C1169" s="16" t="str">
        <x:v>– Corrosion on roof beams.</x:v>
      </x:c>
      <x:c r="D1169" s="16" t="str">
        <x:v>Multipurpose Building - roof beams</x:v>
      </x:c>
      <x:c r="E1169" s="16" t="str">
        <x:v>SRC-063</x:v>
      </x:c>
      <x:c r="F1169" s="16" t="str">
        <x:v>OBS-0047</x:v>
      </x:c>
      <x:c r="G1169" s="16" t="str">
        <x:v>正式报告</x:v>
      </x:c>
      <x:c r="H1169" s="19" t="n">
        <x:v>13</x:v>
      </x:c>
      <x:c r="I1169" s="19" t="n">
        <x:v>9</x:v>
      </x:c>
      <x:c r="J1169" s="19" t="n">
        <x:v>1</x:v>
      </x:c>
      <x:c r="K1169" s="16" t="str">
        <x:v>3. Minor deterioration</x:v>
      </x:c>
      <x:c r="L1169" s="16" t="str">
        <x:v>Unlikely</x:v>
      </x:c>
      <x:c r="M1169" s="16" t="str">
        <x:v>Minor</x:v>
      </x:c>
      <x:c r="N1169" s="16" t="str">
        <x:v>Low</x:v>
      </x:c>
    </x:row>
    <x:row r="1170" ht="37" customHeight="1">
      <x:c r="A1170" s="16" t="str">
        <x:v>RAW-01164</x:v>
      </x:c>
      <x:c r="B1170" s="16" t="str">
        <x:v>Recommendation</x:v>
      </x:c>
      <x:c r="C1170" s="16" t="str">
        <x:v>– Clean, remove corrosion and repaint.</x:v>
      </x:c>
      <x:c r="D1170" s="16" t="str">
        <x:v>Multipurpose Building - roof beams</x:v>
      </x:c>
      <x:c r="E1170" s="16" t="str">
        <x:v>SRC-063</x:v>
      </x:c>
      <x:c r="F1170" s="16" t="str">
        <x:v>REC-0002</x:v>
      </x:c>
      <x:c r="G1170" s="16" t="str">
        <x:v>正式报告</x:v>
      </x:c>
      <x:c r="H1170" s="19" t="n">
        <x:v>13</x:v>
      </x:c>
      <x:c r="I1170" s="19" t="n">
        <x:v>9</x:v>
      </x:c>
      <x:c r="J1170" s="19" t="n">
        <x:v>1</x:v>
      </x:c>
      <x:c r="K1170" s="16" t="str">
        <x:v>3. Minor deterioration</x:v>
      </x:c>
      <x:c r="L1170" s="16" t="str">
        <x:v>Unlikely</x:v>
      </x:c>
      <x:c r="M1170" s="16" t="str">
        <x:v>Minor</x:v>
      </x:c>
      <x:c r="N1170" s="16" t="str">
        <x:v>Low</x:v>
      </x:c>
    </x:row>
    <x:row r="1171" ht="37" customHeight="1">
      <x:c r="A1171" s="16" t="str">
        <x:v>RAW-01165</x:v>
      </x:c>
      <x:c r="B1171" s="16" t="str">
        <x:v>Observation</x:v>
      </x:c>
      <x:c r="C1171" s="16" t="str">
        <x:v>– verandah overview.</x:v>
      </x:c>
      <x:c r="D1171" s="16" t="str">
        <x:v>Standalone verandah</x:v>
      </x:c>
      <x:c r="E1171" s="16" t="str">
        <x:v>SRC-063</x:v>
      </x:c>
      <x:c r="F1171" s="16" t="str">
        <x:v>OBS-0090</x:v>
      </x:c>
      <x:c r="G1171" s="16" t="str">
        <x:v>正式报告</x:v>
      </x:c>
      <x:c r="H1171" s="19" t="n">
        <x:v>14</x:v>
      </x:c>
      <x:c r="I1171" s="19" t="n">
        <x:v>6</x:v>
      </x:c>
      <x:c r="J1171" s="19" t="n">
        <x:v>1</x:v>
      </x:c>
      <x:c r="K1171" s="16" t="str">
        <x:v>3. Minor corrosion</x:v>
      </x:c>
      <x:c r="L1171" s="16" t="str">
        <x:v>Unlikely</x:v>
      </x:c>
      <x:c r="M1171" s="16" t="str">
        <x:v>Significant</x:v>
      </x:c>
      <x:c r="N1171" s="16" t="str">
        <x:v>Low</x:v>
      </x:c>
    </x:row>
    <x:row r="1172" ht="37" customHeight="1">
      <x:c r="A1172" s="16" t="str">
        <x:v>RAW-01166</x:v>
      </x:c>
      <x:c r="B1172" s="16" t="str">
        <x:v>Observation</x:v>
      </x:c>
      <x:c r="C1172" s="16" t="str">
        <x:v>– Minor corrosion on roof sheeting.</x:v>
      </x:c>
      <x:c r="D1172" s="16" t="str">
        <x:v>Standalone verandah</x:v>
      </x:c>
      <x:c r="E1172" s="16" t="str">
        <x:v>SRC-063</x:v>
      </x:c>
      <x:c r="F1172" s="16" t="str">
        <x:v>OBS-0066</x:v>
      </x:c>
      <x:c r="G1172" s="16" t="str">
        <x:v>正式报告</x:v>
      </x:c>
      <x:c r="H1172" s="19" t="n">
        <x:v>14</x:v>
      </x:c>
      <x:c r="I1172" s="19" t="n">
        <x:v>7</x:v>
      </x:c>
      <x:c r="J1172" s="19" t="n">
        <x:v>1</x:v>
      </x:c>
      <x:c r="K1172" s="16" t="str">
        <x:v>3. Minor corrosion</x:v>
      </x:c>
      <x:c r="L1172" s="16" t="str">
        <x:v>Unlikely</x:v>
      </x:c>
      <x:c r="M1172" s="16" t="str">
        <x:v>Significant</x:v>
      </x:c>
      <x:c r="N1172" s="16" t="str">
        <x:v>Low</x:v>
      </x:c>
    </x:row>
    <x:row r="1173" ht="37" customHeight="1">
      <x:c r="A1173" s="16" t="str">
        <x:v>RAW-01167</x:v>
      </x:c>
      <x:c r="B1173" s="16" t="str">
        <x:v>Recommendation</x:v>
      </x:c>
      <x:c r="C1173" s="16" t="str">
        <x:v>– Clean, remove corrosion and repaint.</x:v>
      </x:c>
      <x:c r="D1173" s="16" t="str">
        <x:v>Standalone verandah</x:v>
      </x:c>
      <x:c r="E1173" s="16" t="str">
        <x:v>SRC-063</x:v>
      </x:c>
      <x:c r="F1173" s="16" t="str">
        <x:v>REC-0002</x:v>
      </x:c>
      <x:c r="G1173" s="16" t="str">
        <x:v>正式报告</x:v>
      </x:c>
      <x:c r="H1173" s="19" t="n">
        <x:v>14</x:v>
      </x:c>
      <x:c r="I1173" s="19" t="n">
        <x:v>7</x:v>
      </x:c>
      <x:c r="J1173" s="19" t="n">
        <x:v>1</x:v>
      </x:c>
      <x:c r="K1173" s="16" t="str">
        <x:v>3. Minor corrosion</x:v>
      </x:c>
      <x:c r="L1173" s="16" t="str">
        <x:v>Unlikely</x:v>
      </x:c>
      <x:c r="M1173" s="16" t="str">
        <x:v>Significant</x:v>
      </x:c>
      <x:c r="N1173" s="16" t="str">
        <x:v>Low</x:v>
      </x:c>
    </x:row>
    <x:row r="1174" ht="37" customHeight="1">
      <x:c r="A1174" s="16" t="str">
        <x:v>RAW-01168</x:v>
      </x:c>
      <x:c r="B1174" s="16" t="str">
        <x:v>Observation</x:v>
      </x:c>
      <x:c r="C1174" s="16" t="str">
        <x:v>– Row 3 Column 1. Minor corrosion on roof sheeting.</x:v>
      </x:c>
      <x:c r="D1174" s="16" t="str">
        <x:v>Standalone verandah</x:v>
      </x:c>
      <x:c r="E1174" s="16" t="str">
        <x:v>SRC-063</x:v>
      </x:c>
      <x:c r="F1174" s="16" t="str">
        <x:v>OBS-0536</x:v>
      </x:c>
      <x:c r="G1174" s="16" t="str">
        <x:v>正式报告</x:v>
      </x:c>
      <x:c r="H1174" s="19" t="n">
        <x:v>14</x:v>
      </x:c>
      <x:c r="I1174" s="19" t="n">
        <x:v>8</x:v>
      </x:c>
      <x:c r="J1174" s="19" t="n">
        <x:v>1</x:v>
      </x:c>
      <x:c r="K1174" s="16" t="str">
        <x:v>3. Minor corrosion</x:v>
      </x:c>
      <x:c r="L1174" s="16" t="str">
        <x:v>Unlikely</x:v>
      </x:c>
      <x:c r="M1174" s="16" t="str">
        <x:v>Significant</x:v>
      </x:c>
      <x:c r="N1174" s="16" t="str">
        <x:v>Low</x:v>
      </x:c>
    </x:row>
    <x:row r="1175" ht="37" customHeight="1">
      <x:c r="A1175" s="16" t="str">
        <x:v>RAW-01169</x:v>
      </x:c>
      <x:c r="B1175" s="16" t="str">
        <x:v>Recommendation</x:v>
      </x:c>
      <x:c r="C1175" s="16" t="str">
        <x:v>– Clean, remove corrosion and repaint.</x:v>
      </x:c>
      <x:c r="D1175" s="16" t="str">
        <x:v>Standalone verandah</x:v>
      </x:c>
      <x:c r="E1175" s="16" t="str">
        <x:v>SRC-063</x:v>
      </x:c>
      <x:c r="F1175" s="16" t="str">
        <x:v>REC-0002</x:v>
      </x:c>
      <x:c r="G1175" s="16" t="str">
        <x:v>正式报告</x:v>
      </x:c>
      <x:c r="H1175" s="19" t="n">
        <x:v>14</x:v>
      </x:c>
      <x:c r="I1175" s="19" t="n">
        <x:v>8</x:v>
      </x:c>
      <x:c r="J1175" s="19" t="n">
        <x:v>1</x:v>
      </x:c>
      <x:c r="K1175" s="16" t="str">
        <x:v>3. Minor corrosion</x:v>
      </x:c>
      <x:c r="L1175" s="16" t="str">
        <x:v>Unlikely</x:v>
      </x:c>
      <x:c r="M1175" s="16" t="str">
        <x:v>Significant</x:v>
      </x:c>
      <x:c r="N1175" s="16" t="str">
        <x:v>Low</x:v>
      </x:c>
    </x:row>
    <x:row r="1176" ht="37" customHeight="1">
      <x:c r="A1176" s="16" t="str">
        <x:v>RAW-01170</x:v>
      </x:c>
      <x:c r="B1176" s="16" t="str">
        <x:v>Observation</x:v>
      </x:c>
      <x:c r="C1176" s="16" t="str">
        <x:v>– Row 1 Column 1. Footing cracking at column.</x:v>
      </x:c>
      <x:c r="D1176" s="16" t="str">
        <x:v>Standalone verandah</x:v>
      </x:c>
      <x:c r="E1176" s="16" t="str">
        <x:v>SRC-063</x:v>
      </x:c>
      <x:c r="F1176" s="16" t="str">
        <x:v>OBS-0520</x:v>
      </x:c>
      <x:c r="G1176" s="16" t="str">
        <x:v>正式报告</x:v>
      </x:c>
      <x:c r="H1176" s="19" t="n">
        <x:v>14</x:v>
      </x:c>
      <x:c r="I1176" s="19" t="n">
        <x:v>9</x:v>
      </x:c>
      <x:c r="J1176" s="19" t="n">
        <x:v>1</x:v>
      </x:c>
      <x:c r="K1176" s="16" t="str">
        <x:v>3. Minor corrosion</x:v>
      </x:c>
      <x:c r="L1176" s="16" t="str">
        <x:v>Unlikely</x:v>
      </x:c>
      <x:c r="M1176" s="16" t="str">
        <x:v>Significant</x:v>
      </x:c>
      <x:c r="N1176" s="16" t="str">
        <x:v>Low</x:v>
      </x:c>
    </x:row>
    <x:row r="1177" ht="37" customHeight="1">
      <x:c r="A1177" s="16" t="str">
        <x:v>RAW-01171</x:v>
      </x:c>
      <x:c r="B1177" s="16" t="str">
        <x:v>Recommendation</x:v>
      </x:c>
      <x:c r="C1177" s="16" t="str">
        <x:v>– None.</x:v>
      </x:c>
      <x:c r="D1177" s="16" t="str">
        <x:v>Standalone verandah</x:v>
      </x:c>
      <x:c r="E1177" s="16" t="str">
        <x:v>SRC-063</x:v>
      </x:c>
      <x:c r="F1177" s="16" t="str">
        <x:v>REC-0003</x:v>
      </x:c>
      <x:c r="G1177" s="16" t="str">
        <x:v>正式报告</x:v>
      </x:c>
      <x:c r="H1177" s="19" t="n">
        <x:v>14</x:v>
      </x:c>
      <x:c r="I1177" s="19" t="n">
        <x:v>9</x:v>
      </x:c>
      <x:c r="J1177" s="19" t="n">
        <x:v>1</x:v>
      </x:c>
      <x:c r="K1177" s="16" t="str">
        <x:v>3. Minor corrosion</x:v>
      </x:c>
      <x:c r="L1177" s="16" t="str">
        <x:v>Unlikely</x:v>
      </x:c>
      <x:c r="M1177" s="16" t="str">
        <x:v>Significant</x:v>
      </x:c>
      <x:c r="N1177" s="16" t="str">
        <x:v>Low</x:v>
      </x:c>
    </x:row>
    <x:row r="1178" ht="37" customHeight="1">
      <x:c r="A1178" s="16" t="str">
        <x:v>RAW-01172</x:v>
      </x:c>
      <x:c r="B1178" s="16" t="str">
        <x:v>Observation</x:v>
      </x:c>
      <x:c r="C1178" s="16" t="str">
        <x:v>– Verandah overview.</x:v>
      </x:c>
      <x:c r="D1178" s="16" t="str">
        <x:v>Multipurpose Building verandah</x:v>
      </x:c>
      <x:c r="E1178" s="16" t="str">
        <x:v>SRC-063</x:v>
      </x:c>
      <x:c r="F1178" s="16" t="str">
        <x:v>OBS-0090</x:v>
      </x:c>
      <x:c r="G1178" s="16" t="str">
        <x:v>正式报告</x:v>
      </x:c>
      <x:c r="H1178" s="19" t="n">
        <x:v>15</x:v>
      </x:c>
      <x:c r="I1178" s="19" t="n">
        <x:v>6</x:v>
      </x:c>
      <x:c r="J1178" s="19" t="n">
        <x:v>1</x:v>
      </x:c>
      <x:c r="K1178" s="16" t="str">
        <x:v>2. New with slight deterioration</x:v>
      </x:c>
      <x:c r="L1178" s="16" t="str">
        <x:v>Very unlikely</x:v>
      </x:c>
      <x:c r="M1178" s="16" t="str">
        <x:v>Significant</x:v>
      </x:c>
      <x:c r="N1178" s="16" t="str">
        <x:v>Low</x:v>
      </x:c>
    </x:row>
    <x:row r="1179" ht="37" customHeight="1">
      <x:c r="A1179" s="16" t="str">
        <x:v>RAW-01173</x:v>
      </x:c>
      <x:c r="B1179" s="16" t="str">
        <x:v>Observation</x:v>
      </x:c>
      <x:c r="C1179" s="16" t="str">
        <x:v>– Paint deterioration on all steel elements.</x:v>
      </x:c>
      <x:c r="D1179" s="16" t="str">
        <x:v>Multipurpose Building verandah</x:v>
      </x:c>
      <x:c r="E1179" s="16" t="str">
        <x:v>SRC-063</x:v>
      </x:c>
      <x:c r="F1179" s="16" t="str">
        <x:v>OBS-0448</x:v>
      </x:c>
      <x:c r="G1179" s="16" t="str">
        <x:v>正式报告</x:v>
      </x:c>
      <x:c r="H1179" s="19" t="n">
        <x:v>15</x:v>
      </x:c>
      <x:c r="I1179" s="19" t="n">
        <x:v>7</x:v>
      </x:c>
      <x:c r="J1179" s="19" t="n">
        <x:v>1</x:v>
      </x:c>
      <x:c r="K1179" s="16" t="str">
        <x:v>2. New with slight deterioration</x:v>
      </x:c>
      <x:c r="L1179" s="16" t="str">
        <x:v>Very unlikely</x:v>
      </x:c>
      <x:c r="M1179" s="16" t="str">
        <x:v>Significant</x:v>
      </x:c>
      <x:c r="N1179" s="16" t="str">
        <x:v>Low</x:v>
      </x:c>
    </x:row>
    <x:row r="1180" ht="37" customHeight="1">
      <x:c r="A1180" s="16" t="str">
        <x:v>RAW-01174</x:v>
      </x:c>
      <x:c r="B1180" s="16" t="str">
        <x:v>Recommendation</x:v>
      </x:c>
      <x:c r="C1180" s="16" t="str">
        <x:v>– Clean and repaint.</x:v>
      </x:c>
      <x:c r="D1180" s="16" t="str">
        <x:v>Multipurpose Building verandah</x:v>
      </x:c>
      <x:c r="E1180" s="16" t="str">
        <x:v>SRC-063</x:v>
      </x:c>
      <x:c r="F1180" s="16" t="str">
        <x:v>REC-0006</x:v>
      </x:c>
      <x:c r="G1180" s="16" t="str">
        <x:v>正式报告</x:v>
      </x:c>
      <x:c r="H1180" s="19" t="n">
        <x:v>15</x:v>
      </x:c>
      <x:c r="I1180" s="19" t="n">
        <x:v>7</x:v>
      </x:c>
      <x:c r="J1180" s="19" t="n">
        <x:v>1</x:v>
      </x:c>
      <x:c r="K1180" s="16" t="str">
        <x:v>2. New with slight deterioration</x:v>
      </x:c>
      <x:c r="L1180" s="16" t="str">
        <x:v>Very unlikely</x:v>
      </x:c>
      <x:c r="M1180" s="16" t="str">
        <x:v>Significant</x:v>
      </x:c>
      <x:c r="N1180" s="16" t="str">
        <x:v>Low</x:v>
      </x:c>
    </x:row>
    <x:row r="1181" ht="37" customHeight="1">
      <x:c r="A1181" s="16" t="str">
        <x:v>RAW-01175</x:v>
      </x:c>
      <x:c r="B1181" s="16" t="str">
        <x:v>Observation</x:v>
      </x:c>
      <x:c r="C1181" s="16" t="str">
        <x:v>– Salt staining on purlins.</x:v>
      </x:c>
      <x:c r="D1181" s="16" t="str">
        <x:v>Multipurpose Building verandah</x:v>
      </x:c>
      <x:c r="E1181" s="16" t="str">
        <x:v>SRC-063</x:v>
      </x:c>
      <x:c r="F1181" s="16" t="str">
        <x:v>OBS-0549</x:v>
      </x:c>
      <x:c r="G1181" s="16" t="str">
        <x:v>正式报告</x:v>
      </x:c>
      <x:c r="H1181" s="19" t="n">
        <x:v>15</x:v>
      </x:c>
      <x:c r="I1181" s="19" t="n">
        <x:v>8</x:v>
      </x:c>
      <x:c r="J1181" s="19" t="n">
        <x:v>1</x:v>
      </x:c>
      <x:c r="K1181" s="16" t="str">
        <x:v>2. New with slight deterioration</x:v>
      </x:c>
      <x:c r="L1181" s="16" t="str">
        <x:v>Very unlikely</x:v>
      </x:c>
      <x:c r="M1181" s="16" t="str">
        <x:v>Significant</x:v>
      </x:c>
      <x:c r="N1181" s="16" t="str">
        <x:v>Low</x:v>
      </x:c>
    </x:row>
    <x:row r="1182" ht="37" customHeight="1">
      <x:c r="A1182" s="16" t="str">
        <x:v>RAW-01176</x:v>
      </x:c>
      <x:c r="B1182" s="16" t="str">
        <x:v>Recommendation</x:v>
      </x:c>
      <x:c r="C1182" s="16" t="str">
        <x:v>– Clean and repaint.</x:v>
      </x:c>
      <x:c r="D1182" s="16" t="str">
        <x:v>Multipurpose Building verandah</x:v>
      </x:c>
      <x:c r="E1182" s="16" t="str">
        <x:v>SRC-063</x:v>
      </x:c>
      <x:c r="F1182" s="16" t="str">
        <x:v>REC-0006</x:v>
      </x:c>
      <x:c r="G1182" s="16" t="str">
        <x:v>正式报告</x:v>
      </x:c>
      <x:c r="H1182" s="19" t="n">
        <x:v>15</x:v>
      </x:c>
      <x:c r="I1182" s="19" t="n">
        <x:v>8</x:v>
      </x:c>
      <x:c r="J1182" s="19" t="n">
        <x:v>1</x:v>
      </x:c>
      <x:c r="K1182" s="16" t="str">
        <x:v>2. New with slight deterioration</x:v>
      </x:c>
      <x:c r="L1182" s="16" t="str">
        <x:v>Very unlikely</x:v>
      </x:c>
      <x:c r="M1182" s="16" t="str">
        <x:v>Significant</x:v>
      </x:c>
      <x:c r="N1182" s="16" t="str">
        <x:v>Low</x:v>
      </x:c>
    </x:row>
    <x:row r="1183" ht="37" customHeight="1">
      <x:c r="A1183" s="16" t="str">
        <x:v>RAW-01177</x:v>
      </x:c>
      <x:c r="B1183" s="16" t="str">
        <x:v>Observation</x:v>
      </x:c>
      <x:c r="C1183" s="16" t="str">
        <x:v>– Minor corrosion on steel truss.</x:v>
      </x:c>
      <x:c r="D1183" s="16" t="str">
        <x:v>Multipurpose Building verandah</x:v>
      </x:c>
      <x:c r="E1183" s="16" t="str">
        <x:v>SRC-063</x:v>
      </x:c>
      <x:c r="F1183" s="16" t="str">
        <x:v>OBS-0400</x:v>
      </x:c>
      <x:c r="G1183" s="16" t="str">
        <x:v>正式报告</x:v>
      </x:c>
      <x:c r="H1183" s="19" t="n">
        <x:v>15</x:v>
      </x:c>
      <x:c r="I1183" s="19" t="n">
        <x:v>9</x:v>
      </x:c>
      <x:c r="J1183" s="19" t="n">
        <x:v>1</x:v>
      </x:c>
      <x:c r="K1183" s="16" t="str">
        <x:v>2. New with slight deterioration</x:v>
      </x:c>
      <x:c r="L1183" s="16" t="str">
        <x:v>Very unlikely</x:v>
      </x:c>
      <x:c r="M1183" s="16" t="str">
        <x:v>Significant</x:v>
      </x:c>
      <x:c r="N1183" s="16" t="str">
        <x:v>Low</x:v>
      </x:c>
    </x:row>
    <x:row r="1184" ht="37" customHeight="1">
      <x:c r="A1184" s="16" t="str">
        <x:v>RAW-01178</x:v>
      </x:c>
      <x:c r="B1184" s="16" t="str">
        <x:v>Recommendation</x:v>
      </x:c>
      <x:c r="C1184" s="16" t="str">
        <x:v>– Clean, remove corrosion and repaint.</x:v>
      </x:c>
      <x:c r="D1184" s="16" t="str">
        <x:v>Multipurpose Building verandah</x:v>
      </x:c>
      <x:c r="E1184" s="16" t="str">
        <x:v>SRC-063</x:v>
      </x:c>
      <x:c r="F1184" s="16" t="str">
        <x:v>REC-0002</x:v>
      </x:c>
      <x:c r="G1184" s="16" t="str">
        <x:v>正式报告</x:v>
      </x:c>
      <x:c r="H1184" s="19" t="n">
        <x:v>15</x:v>
      </x:c>
      <x:c r="I1184" s="19" t="n">
        <x:v>9</x:v>
      </x:c>
      <x:c r="J1184" s="19" t="n">
        <x:v>1</x:v>
      </x:c>
      <x:c r="K1184" s="16" t="str">
        <x:v>2. New with slight deterioration</x:v>
      </x:c>
      <x:c r="L1184" s="16" t="str">
        <x:v>Very unlikely</x:v>
      </x:c>
      <x:c r="M1184" s="16" t="str">
        <x:v>Significant</x:v>
      </x:c>
      <x:c r="N1184" s="16" t="str">
        <x:v>Low</x:v>
      </x:c>
    </x:row>
    <x:row r="1185" ht="37" customHeight="1">
      <x:c r="A1185" s="16" t="str">
        <x:v>RAW-01179</x:v>
      </x:c>
      <x:c r="B1185" s="16" t="str">
        <x:v>Observation</x:v>
      </x:c>
      <x:c r="C1185" s="16" t="str">
        <x:v>– Overview of fencing.</x:v>
      </x:c>
      <x:c r="D1185" s="16" t="str">
        <x:v>Multipurpose Building verandah</x:v>
      </x:c>
      <x:c r="E1185" s="16" t="str">
        <x:v>SRC-063</x:v>
      </x:c>
      <x:c r="F1185" s="16" t="str">
        <x:v>OBS-0428</x:v>
      </x:c>
      <x:c r="G1185" s="16" t="str">
        <x:v>正式报告</x:v>
      </x:c>
      <x:c r="H1185" s="19" t="n">
        <x:v>15</x:v>
      </x:c>
      <x:c r="I1185" s="19" t="n">
        <x:v>10</x:v>
      </x:c>
      <x:c r="J1185" s="19" t="n">
        <x:v>1</x:v>
      </x:c>
      <x:c r="K1185" s="16" t="str">
        <x:v>2. New with slight deterioration</x:v>
      </x:c>
      <x:c r="L1185" s="16" t="str">
        <x:v>Very unlikely</x:v>
      </x:c>
      <x:c r="M1185" s="16" t="str">
        <x:v>Significant</x:v>
      </x:c>
      <x:c r="N1185" s="16" t="str">
        <x:v>Low</x:v>
      </x:c>
    </x:row>
    <x:row r="1186" ht="37" customHeight="1">
      <x:c r="A1186" s="16" t="str">
        <x:v>RAW-01180</x:v>
      </x:c>
      <x:c r="B1186" s="16" t="str">
        <x:v>Observation</x:v>
      </x:c>
      <x:c r="C1186" s="16" t="str">
        <x:v>– Corrosion on baseplate.</x:v>
      </x:c>
      <x:c r="D1186" s="16" t="str">
        <x:v>Multipurpose Building verandah</x:v>
      </x:c>
      <x:c r="E1186" s="16" t="str">
        <x:v>SRC-063</x:v>
      </x:c>
      <x:c r="F1186" s="16" t="str">
        <x:v>OBS-0229</x:v>
      </x:c>
      <x:c r="G1186" s="16" t="str">
        <x:v>正式报告</x:v>
      </x:c>
      <x:c r="H1186" s="19" t="n">
        <x:v>15</x:v>
      </x:c>
      <x:c r="I1186" s="19" t="n">
        <x:v>11</x:v>
      </x:c>
      <x:c r="J1186" s="19" t="n">
        <x:v>1</x:v>
      </x:c>
      <x:c r="K1186" s="16" t="str">
        <x:v>2. New with slight deterioration</x:v>
      </x:c>
      <x:c r="L1186" s="16" t="str">
        <x:v>Very unlikely</x:v>
      </x:c>
      <x:c r="M1186" s="16" t="str">
        <x:v>Significant</x:v>
      </x:c>
      <x:c r="N1186" s="16" t="str">
        <x:v>Low</x:v>
      </x:c>
    </x:row>
    <x:row r="1187" ht="41" customHeight="1">
      <x:c r="A1187" s="16" t="str">
        <x:v>RAW-01181</x:v>
      </x:c>
      <x:c r="B1187" s="16" t="str">
        <x:v>Recommendation</x:v>
      </x:c>
      <x:c r="C1187" s="16" t="str">
        <x:v>– Clean, remove corrosion, investigate the condition of the remaining steelwork. It may require either replacement or repaint.</x:v>
      </x:c>
      <x:c r="D1187" s="16" t="str">
        <x:v>Multipurpose Building verandah</x:v>
      </x:c>
      <x:c r="E1187" s="16" t="str">
        <x:v>SRC-063</x:v>
      </x:c>
      <x:c r="F1187" s="16" t="str">
        <x:v>REC-0070</x:v>
      </x:c>
      <x:c r="G1187" s="16" t="str">
        <x:v>正式报告</x:v>
      </x:c>
      <x:c r="H1187" s="19" t="n">
        <x:v>15</x:v>
      </x:c>
      <x:c r="I1187" s="19" t="n">
        <x:v>11</x:v>
      </x:c>
      <x:c r="J1187" s="19" t="n">
        <x:v>1</x:v>
      </x:c>
      <x:c r="K1187" s="16" t="str">
        <x:v>2. New with slight deterioration</x:v>
      </x:c>
      <x:c r="L1187" s="16" t="str">
        <x:v>Very unlikely</x:v>
      </x:c>
      <x:c r="M1187" s="16" t="str">
        <x:v>Significant</x:v>
      </x:c>
      <x:c r="N1187" s="16" t="str">
        <x:v>Low</x:v>
      </x:c>
    </x:row>
    <x:row r="1188" ht="37" customHeight="1">
      <x:c r="A1188" s="16" t="str">
        <x:v>RAW-01182</x:v>
      </x:c>
      <x:c r="B1188" s="16" t="str">
        <x:v>Observation</x:v>
      </x:c>
      <x:c r="C1188" s="16" t="str">
        <x:v>– corrosion at connection.</x:v>
      </x:c>
      <x:c r="D1188" s="16" t="str">
        <x:v>Multipurpose Building verandah</x:v>
      </x:c>
      <x:c r="E1188" s="16" t="str">
        <x:v>SRC-063</x:v>
      </x:c>
      <x:c r="F1188" s="16" t="str">
        <x:v>OBS-0614</x:v>
      </x:c>
      <x:c r="G1188" s="16" t="str">
        <x:v>正式报告</x:v>
      </x:c>
      <x:c r="H1188" s="19" t="n">
        <x:v>15</x:v>
      </x:c>
      <x:c r="I1188" s="19" t="n">
        <x:v>12</x:v>
      </x:c>
      <x:c r="J1188" s="19" t="n">
        <x:v>1</x:v>
      </x:c>
      <x:c r="K1188" s="16" t="str">
        <x:v>2. New with slight deterioration</x:v>
      </x:c>
      <x:c r="L1188" s="16" t="str">
        <x:v>Very unlikely</x:v>
      </x:c>
      <x:c r="M1188" s="16" t="str">
        <x:v>Significant</x:v>
      </x:c>
      <x:c r="N1188" s="16" t="str">
        <x:v>Low</x:v>
      </x:c>
    </x:row>
    <x:row r="1189" ht="37" customHeight="1">
      <x:c r="A1189" s="16" t="str">
        <x:v>RAW-01183</x:v>
      </x:c>
      <x:c r="B1189" s="16" t="str">
        <x:v>Recommendation</x:v>
      </x:c>
      <x:c r="C1189" s="16" t="str">
        <x:v>– Clean, remove corrosion and repaint.</x:v>
      </x:c>
      <x:c r="D1189" s="16" t="str">
        <x:v>Multipurpose Building verandah</x:v>
      </x:c>
      <x:c r="E1189" s="16" t="str">
        <x:v>SRC-063</x:v>
      </x:c>
      <x:c r="F1189" s="16" t="str">
        <x:v>REC-0002</x:v>
      </x:c>
      <x:c r="G1189" s="16" t="str">
        <x:v>正式报告</x:v>
      </x:c>
      <x:c r="H1189" s="19" t="n">
        <x:v>15</x:v>
      </x:c>
      <x:c r="I1189" s="19" t="n">
        <x:v>12</x:v>
      </x:c>
      <x:c r="J1189" s="19" t="n">
        <x:v>1</x:v>
      </x:c>
      <x:c r="K1189" s="16" t="str">
        <x:v>2. New with slight deterioration</x:v>
      </x:c>
      <x:c r="L1189" s="16" t="str">
        <x:v>Very unlikely</x:v>
      </x:c>
      <x:c r="M1189" s="16" t="str">
        <x:v>Significant</x:v>
      </x:c>
      <x:c r="N1189" s="16" t="str">
        <x:v>Low</x:v>
      </x:c>
    </x:row>
    <x:row r="1190" ht="37" customHeight="1">
      <x:c r="A1190" s="16" t="str">
        <x:v>RAW-01184</x:v>
      </x:c>
      <x:c r="B1190" s="16" t="str">
        <x:v>Observation</x:v>
      </x:c>
      <x:c r="C1190" s="16" t="str">
        <x:v>– Blocked drain allowing water to pool at steel elements. Staining has occurred where water is pooling.</x:v>
      </x:c>
      <x:c r="D1190" s="16" t="str">
        <x:v>Drain</x:v>
      </x:c>
      <x:c r="E1190" s="16" t="str">
        <x:v>SRC-063</x:v>
      </x:c>
      <x:c r="F1190" s="16" t="str">
        <x:v>OBS-0145</x:v>
      </x:c>
      <x:c r="G1190" s="16" t="str">
        <x:v>正式报告</x:v>
      </x:c>
      <x:c r="H1190" s="19" t="n">
        <x:v>16</x:v>
      </x:c>
      <x:c r="I1190" s="19" t="n">
        <x:v>6</x:v>
      </x:c>
      <x:c r="J1190" s="19" t="n">
        <x:v>3</x:v>
      </x:c>
      <x:c r="K1190" s="16" t="str">
        <x:v>3. Minor deterioration</x:v>
      </x:c>
      <x:c r="L1190" s="16" t="str">
        <x:v>Unlikely</x:v>
      </x:c>
      <x:c r="M1190" s="16" t="str">
        <x:v>Minor</x:v>
      </x:c>
      <x:c r="N1190" s="16" t="str">
        <x:v>Low</x:v>
      </x:c>
    </x:row>
    <x:row r="1191" ht="37" customHeight="1">
      <x:c r="A1191" s="16" t="str">
        <x:v>RAW-01185</x:v>
      </x:c>
      <x:c r="B1191" s="16" t="str">
        <x:v>Recommendation</x:v>
      </x:c>
      <x:c r="C1191" s="16" t="str">
        <x:v>– Remove debris from the drain.</x:v>
      </x:c>
      <x:c r="D1191" s="16" t="str">
        <x:v>Drain</x:v>
      </x:c>
      <x:c r="E1191" s="16" t="str">
        <x:v>SRC-063</x:v>
      </x:c>
      <x:c r="F1191" s="16" t="str">
        <x:v>REC-0129</x:v>
      </x:c>
      <x:c r="G1191" s="16" t="str">
        <x:v>正式报告</x:v>
      </x:c>
      <x:c r="H1191" s="19" t="n">
        <x:v>16</x:v>
      </x:c>
      <x:c r="I1191" s="19" t="n">
        <x:v>6</x:v>
      </x:c>
      <x:c r="J1191" s="19" t="n">
        <x:v>3</x:v>
      </x:c>
      <x:c r="K1191" s="16" t="str">
        <x:v>3. Minor deterioration</x:v>
      </x:c>
      <x:c r="L1191" s="16" t="str">
        <x:v>Unlikely</x:v>
      </x:c>
      <x:c r="M1191" s="16" t="str">
        <x:v>Minor</x:v>
      </x:c>
      <x:c r="N1191" s="16" t="str">
        <x:v>Low</x:v>
      </x:c>
    </x:row>
    <x:row r="1192" ht="37" customHeight="1">
      <x:c r="A1192" s="16" t="str">
        <x:v>RAW-01186</x:v>
      </x:c>
      <x:c r="B1192" s="16" t="str">
        <x:v>Observation</x:v>
      </x:c>
      <x:c r="C1192" s="16" t="str">
        <x:v>– Cracks on footpath.</x:v>
      </x:c>
      <x:c r="D1192" s="16" t="str">
        <x:v>Footpath</x:v>
      </x:c>
      <x:c r="E1192" s="16" t="str">
        <x:v>SRC-063</x:v>
      </x:c>
      <x:c r="F1192" s="16" t="str">
        <x:v>OBS-0244</x:v>
      </x:c>
      <x:c r="G1192" s="16" t="str">
        <x:v>正式报告</x:v>
      </x:c>
      <x:c r="H1192" s="19" t="n">
        <x:v>17</x:v>
      </x:c>
      <x:c r="I1192" s="19" t="n">
        <x:v>6</x:v>
      </x:c>
      <x:c r="J1192" s="19" t="n">
        <x:v>1</x:v>
      </x:c>
      <x:c r="K1192" s="16" t="str">
        <x:v>3. Minor deterioration</x:v>
      </x:c>
      <x:c r="L1192" s="16" t="str">
        <x:v>Unlikely</x:v>
      </x:c>
      <x:c r="M1192" s="16" t="str">
        <x:v>Minor</x:v>
      </x:c>
      <x:c r="N1192" s="16" t="str">
        <x:v>Low</x:v>
      </x:c>
    </x:row>
    <x:row r="1193" ht="37" customHeight="1">
      <x:c r="A1193" s="16" t="str">
        <x:v>RAW-01187</x:v>
      </x:c>
      <x:c r="B1193" s="16" t="str">
        <x:v>Observation</x:v>
      </x:c>
      <x:c r="C1193" s="16" t="str">
        <x:v>– Cracking on concrete footpath.</x:v>
      </x:c>
      <x:c r="D1193" s="16" t="str">
        <x:v>Footpath</x:v>
      </x:c>
      <x:c r="E1193" s="16" t="str">
        <x:v>SRC-063</x:v>
      </x:c>
      <x:c r="F1193" s="16" t="str">
        <x:v>OBS-0243</x:v>
      </x:c>
      <x:c r="G1193" s="16" t="str">
        <x:v>正式报告</x:v>
      </x:c>
      <x:c r="H1193" s="19" t="n">
        <x:v>17</x:v>
      </x:c>
      <x:c r="I1193" s="19" t="n">
        <x:v>7</x:v>
      </x:c>
      <x:c r="J1193" s="19" t="n">
        <x:v>2</x:v>
      </x:c>
      <x:c r="K1193" s="16" t="str">
        <x:v>3. Minor deterioration</x:v>
      </x:c>
      <x:c r="L1193" s="16" t="str">
        <x:v>Unlikely</x:v>
      </x:c>
      <x:c r="M1193" s="16" t="str">
        <x:v>Minor</x:v>
      </x:c>
      <x:c r="N1193" s="16" t="str">
        <x:v>Low</x:v>
      </x:c>
    </x:row>
    <x:row r="1194" ht="37" customHeight="1">
      <x:c r="A1194" s="16" t="str">
        <x:v>RAW-01188</x:v>
      </x:c>
      <x:c r="B1194" s="16" t="str">
        <x:v>Recommendation</x:v>
      </x:c>
      <x:c r="C1194" s="16" t="str">
        <x:v>– Monitor cracking.</x:v>
      </x:c>
      <x:c r="D1194" s="16" t="str">
        <x:v>Footpath</x:v>
      </x:c>
      <x:c r="E1194" s="16" t="str">
        <x:v>SRC-063</x:v>
      </x:c>
      <x:c r="F1194" s="16" t="str">
        <x:v>REC-0111</x:v>
      </x:c>
      <x:c r="G1194" s="16" t="str">
        <x:v>正式报告</x:v>
      </x:c>
      <x:c r="H1194" s="19" t="n">
        <x:v>17</x:v>
      </x:c>
      <x:c r="I1194" s="19" t="n">
        <x:v>7</x:v>
      </x:c>
      <x:c r="J1194" s="19" t="n">
        <x:v>2</x:v>
      </x:c>
      <x:c r="K1194" s="16" t="str">
        <x:v>3. Minor deterioration</x:v>
      </x:c>
      <x:c r="L1194" s="16" t="str">
        <x:v>Unlikely</x:v>
      </x:c>
      <x:c r="M1194" s="16" t="str">
        <x:v>Minor</x:v>
      </x:c>
      <x:c r="N1194" s="16" t="str">
        <x:v>Low</x:v>
      </x:c>
    </x:row>
    <x:row r="1195" ht="37" customHeight="1">
      <x:c r="A1195" s="16" t="str">
        <x:v>RAW-01189</x:v>
      </x:c>
      <x:c r="B1195" s="16" t="str">
        <x:v>Observation</x:v>
      </x:c>
      <x:c r="C1195" s="16" t="str">
        <x:v>– Overview of shade structure.</x:v>
      </x:c>
      <x:c r="D1195" s="16" t="str">
        <x:v>Shade structure 1</x:v>
      </x:c>
      <x:c r="E1195" s="16" t="str">
        <x:v>SRC-063</x:v>
      </x:c>
      <x:c r="F1195" s="16" t="str">
        <x:v>OBS-0437</x:v>
      </x:c>
      <x:c r="G1195" s="16" t="str">
        <x:v>正式报告</x:v>
      </x:c>
      <x:c r="H1195" s="19" t="n">
        <x:v>18</x:v>
      </x:c>
      <x:c r="I1195" s="19" t="n">
        <x:v>6</x:v>
      </x:c>
      <x:c r="J1195" s="19" t="n">
        <x:v>1</x:v>
      </x:c>
      <x:c r="K1195" s="16" t="str">
        <x:v>2. New with slight deterioration</x:v>
      </x:c>
      <x:c r="L1195" s="16" t="str">
        <x:v>Very unlikely</x:v>
      </x:c>
      <x:c r="M1195" s="16" t="str">
        <x:v>Significant</x:v>
      </x:c>
      <x:c r="N1195" s="16" t="str">
        <x:v>Low</x:v>
      </x:c>
    </x:row>
    <x:row r="1196" ht="37" customHeight="1">
      <x:c r="A1196" s="16" t="str">
        <x:v>RAW-01190</x:v>
      </x:c>
      <x:c r="B1196" s="16" t="str">
        <x:v>Observation</x:v>
      </x:c>
      <x:c r="C1196" s="16" t="str">
        <x:v>– Row 2 Column 1. Minor corrosion of bolt and washer.</x:v>
      </x:c>
      <x:c r="D1196" s="16" t="str">
        <x:v>Shade structure 1</x:v>
      </x:c>
      <x:c r="E1196" s="16" t="str">
        <x:v>SRC-063</x:v>
      </x:c>
      <x:c r="F1196" s="16" t="str">
        <x:v>OBS-0527</x:v>
      </x:c>
      <x:c r="G1196" s="16" t="str">
        <x:v>正式报告</x:v>
      </x:c>
      <x:c r="H1196" s="19" t="n">
        <x:v>18</x:v>
      </x:c>
      <x:c r="I1196" s="19" t="n">
        <x:v>7</x:v>
      </x:c>
      <x:c r="J1196" s="19" t="n">
        <x:v>1</x:v>
      </x:c>
      <x:c r="K1196" s="16" t="str">
        <x:v>2. New with slight deterioration</x:v>
      </x:c>
      <x:c r="L1196" s="16" t="str">
        <x:v>Very unlikely</x:v>
      </x:c>
      <x:c r="M1196" s="16" t="str">
        <x:v>Significant</x:v>
      </x:c>
      <x:c r="N1196" s="16" t="str">
        <x:v>Low</x:v>
      </x:c>
    </x:row>
    <x:row r="1197" ht="37" customHeight="1">
      <x:c r="A1197" s="16" t="str">
        <x:v>RAW-01191</x:v>
      </x:c>
      <x:c r="B1197" s="16" t="str">
        <x:v>Recommendation</x:v>
      </x:c>
      <x:c r="C1197" s="16" t="str">
        <x:v>– Clean, remove corrosion and repaint.</x:v>
      </x:c>
      <x:c r="D1197" s="16" t="str">
        <x:v>Shade structure 1</x:v>
      </x:c>
      <x:c r="E1197" s="16" t="str">
        <x:v>SRC-063</x:v>
      </x:c>
      <x:c r="F1197" s="16" t="str">
        <x:v>REC-0002</x:v>
      </x:c>
      <x:c r="G1197" s="16" t="str">
        <x:v>正式报告</x:v>
      </x:c>
      <x:c r="H1197" s="19" t="n">
        <x:v>18</x:v>
      </x:c>
      <x:c r="I1197" s="19" t="n">
        <x:v>7</x:v>
      </x:c>
      <x:c r="J1197" s="19" t="n">
        <x:v>1</x:v>
      </x:c>
      <x:c r="K1197" s="16" t="str">
        <x:v>2. New with slight deterioration</x:v>
      </x:c>
      <x:c r="L1197" s="16" t="str">
        <x:v>Very unlikely</x:v>
      </x:c>
      <x:c r="M1197" s="16" t="str">
        <x:v>Significant</x:v>
      </x:c>
      <x:c r="N1197" s="16" t="str">
        <x:v>Low</x:v>
      </x:c>
    </x:row>
    <x:row r="1198" ht="37" customHeight="1">
      <x:c r="A1198" s="16" t="str">
        <x:v>RAW-01192</x:v>
      </x:c>
      <x:c r="B1198" s="16" t="str">
        <x:v>Observation</x:v>
      </x:c>
      <x:c r="C1198" s="16" t="str">
        <x:v>– Row 3 Column 1. Minor corrosion of bolt and washer.</x:v>
      </x:c>
      <x:c r="D1198" s="16" t="str">
        <x:v>Shade structure 1</x:v>
      </x:c>
      <x:c r="E1198" s="16" t="str">
        <x:v>SRC-063</x:v>
      </x:c>
      <x:c r="F1198" s="16" t="str">
        <x:v>OBS-0535</x:v>
      </x:c>
      <x:c r="G1198" s="16" t="str">
        <x:v>正式报告</x:v>
      </x:c>
      <x:c r="H1198" s="19" t="n">
        <x:v>18</x:v>
      </x:c>
      <x:c r="I1198" s="19" t="n">
        <x:v>8</x:v>
      </x:c>
      <x:c r="J1198" s="19" t="n">
        <x:v>1</x:v>
      </x:c>
      <x:c r="K1198" s="16" t="str">
        <x:v>2. New with slight deterioration</x:v>
      </x:c>
      <x:c r="L1198" s="16" t="str">
        <x:v>Very unlikely</x:v>
      </x:c>
      <x:c r="M1198" s="16" t="str">
        <x:v>Significant</x:v>
      </x:c>
      <x:c r="N1198" s="16" t="str">
        <x:v>Low</x:v>
      </x:c>
    </x:row>
    <x:row r="1199" ht="37" customHeight="1">
      <x:c r="A1199" s="16" t="str">
        <x:v>RAW-01193</x:v>
      </x:c>
      <x:c r="B1199" s="16" t="str">
        <x:v>Recommendation</x:v>
      </x:c>
      <x:c r="C1199" s="16" t="str">
        <x:v>– Clean, remove corrosion and repaint.</x:v>
      </x:c>
      <x:c r="D1199" s="16" t="str">
        <x:v>Shade structure 1</x:v>
      </x:c>
      <x:c r="E1199" s="16" t="str">
        <x:v>SRC-063</x:v>
      </x:c>
      <x:c r="F1199" s="16" t="str">
        <x:v>REC-0002</x:v>
      </x:c>
      <x:c r="G1199" s="16" t="str">
        <x:v>正式报告</x:v>
      </x:c>
      <x:c r="H1199" s="19" t="n">
        <x:v>18</x:v>
      </x:c>
      <x:c r="I1199" s="19" t="n">
        <x:v>8</x:v>
      </x:c>
      <x:c r="J1199" s="19" t="n">
        <x:v>1</x:v>
      </x:c>
      <x:c r="K1199" s="16" t="str">
        <x:v>2. New with slight deterioration</x:v>
      </x:c>
      <x:c r="L1199" s="16" t="str">
        <x:v>Very unlikely</x:v>
      </x:c>
      <x:c r="M1199" s="16" t="str">
        <x:v>Significant</x:v>
      </x:c>
      <x:c r="N1199" s="16" t="str">
        <x:v>Low</x:v>
      </x:c>
    </x:row>
    <x:row r="1200" ht="37" customHeight="1">
      <x:c r="A1200" s="16" t="str">
        <x:v>RAW-01194</x:v>
      </x:c>
      <x:c r="B1200" s="16" t="str">
        <x:v>Observation</x:v>
      </x:c>
      <x:c r="C1200" s="16" t="str">
        <x:v>– Row 4 Column 1. Minor corrosion of bolt and washer.</x:v>
      </x:c>
      <x:c r="D1200" s="16" t="str">
        <x:v>Shade structure 1</x:v>
      </x:c>
      <x:c r="E1200" s="16" t="str">
        <x:v>SRC-063</x:v>
      </x:c>
      <x:c r="F1200" s="16" t="str">
        <x:v>OBS-0539</x:v>
      </x:c>
      <x:c r="G1200" s="16" t="str">
        <x:v>正式报告</x:v>
      </x:c>
      <x:c r="H1200" s="19" t="n">
        <x:v>18</x:v>
      </x:c>
      <x:c r="I1200" s="19" t="n">
        <x:v>9</x:v>
      </x:c>
      <x:c r="J1200" s="19" t="n">
        <x:v>1</x:v>
      </x:c>
      <x:c r="K1200" s="16" t="str">
        <x:v>2. New with slight deterioration</x:v>
      </x:c>
      <x:c r="L1200" s="16" t="str">
        <x:v>Very unlikely</x:v>
      </x:c>
      <x:c r="M1200" s="16" t="str">
        <x:v>Significant</x:v>
      </x:c>
      <x:c r="N1200" s="16" t="str">
        <x:v>Low</x:v>
      </x:c>
    </x:row>
    <x:row r="1201" ht="37" customHeight="1">
      <x:c r="A1201" s="16" t="str">
        <x:v>RAW-01195</x:v>
      </x:c>
      <x:c r="B1201" s="16" t="str">
        <x:v>Recommendation</x:v>
      </x:c>
      <x:c r="C1201" s="16" t="str">
        <x:v>– Clean, remove corrosion and repaint.</x:v>
      </x:c>
      <x:c r="D1201" s="16" t="str">
        <x:v>Shade structure 1</x:v>
      </x:c>
      <x:c r="E1201" s="16" t="str">
        <x:v>SRC-063</x:v>
      </x:c>
      <x:c r="F1201" s="16" t="str">
        <x:v>REC-0002</x:v>
      </x:c>
      <x:c r="G1201" s="16" t="str">
        <x:v>正式报告</x:v>
      </x:c>
      <x:c r="H1201" s="19" t="n">
        <x:v>18</x:v>
      </x:c>
      <x:c r="I1201" s="19" t="n">
        <x:v>9</x:v>
      </x:c>
      <x:c r="J1201" s="19" t="n">
        <x:v>1</x:v>
      </x:c>
      <x:c r="K1201" s="16" t="str">
        <x:v>2. New with slight deterioration</x:v>
      </x:c>
      <x:c r="L1201" s="16" t="str">
        <x:v>Very unlikely</x:v>
      </x:c>
      <x:c r="M1201" s="16" t="str">
        <x:v>Significant</x:v>
      </x:c>
      <x:c r="N1201" s="16" t="str">
        <x:v>Low</x:v>
      </x:c>
    </x:row>
    <x:row r="1202" ht="37" customHeight="1">
      <x:c r="A1202" s="16" t="str">
        <x:v>RAW-01196</x:v>
      </x:c>
      <x:c r="B1202" s="16" t="str">
        <x:v>Observation</x:v>
      </x:c>
      <x:c r="C1202" s="16" t="str">
        <x:v>– Typical paint deterioration on all columns.</x:v>
      </x:c>
      <x:c r="D1202" s="16" t="str">
        <x:v>Shade structure 1</x:v>
      </x:c>
      <x:c r="E1202" s="16" t="str">
        <x:v>SRC-063</x:v>
      </x:c>
      <x:c r="F1202" s="16" t="str">
        <x:v>OBS-0599</x:v>
      </x:c>
      <x:c r="G1202" s="16" t="str">
        <x:v>正式报告</x:v>
      </x:c>
      <x:c r="H1202" s="19" t="n">
        <x:v>18</x:v>
      </x:c>
      <x:c r="I1202" s="19" t="n">
        <x:v>10</x:v>
      </x:c>
      <x:c r="J1202" s="19" t="n">
        <x:v>1</x:v>
      </x:c>
      <x:c r="K1202" s="16" t="str">
        <x:v>2. New with slight deterioration</x:v>
      </x:c>
      <x:c r="L1202" s="16" t="str">
        <x:v>Very unlikely</x:v>
      </x:c>
      <x:c r="M1202" s="16" t="str">
        <x:v>Significant</x:v>
      </x:c>
      <x:c r="N1202" s="16" t="str">
        <x:v>Low</x:v>
      </x:c>
    </x:row>
    <x:row r="1203" ht="37" customHeight="1">
      <x:c r="A1203" s="16" t="str">
        <x:v>RAW-01197</x:v>
      </x:c>
      <x:c r="B1203" s="16" t="str">
        <x:v>Recommendation</x:v>
      </x:c>
      <x:c r="C1203" s="16" t="str">
        <x:v>– Excavate until base is reached. Clean and repaint.</x:v>
      </x:c>
      <x:c r="D1203" s="16" t="str">
        <x:v>Shade structure 1</x:v>
      </x:c>
      <x:c r="E1203" s="16" t="str">
        <x:v>SRC-063</x:v>
      </x:c>
      <x:c r="F1203" s="16" t="str">
        <x:v>REC-0095</x:v>
      </x:c>
      <x:c r="G1203" s="16" t="str">
        <x:v>正式报告</x:v>
      </x:c>
      <x:c r="H1203" s="19" t="n">
        <x:v>18</x:v>
      </x:c>
      <x:c r="I1203" s="19" t="n">
        <x:v>10</x:v>
      </x:c>
      <x:c r="J1203" s="19" t="n">
        <x:v>1</x:v>
      </x:c>
      <x:c r="K1203" s="16" t="str">
        <x:v>2. New with slight deterioration</x:v>
      </x:c>
      <x:c r="L1203" s="16" t="str">
        <x:v>Very unlikely</x:v>
      </x:c>
      <x:c r="M1203" s="16" t="str">
        <x:v>Significant</x:v>
      </x:c>
      <x:c r="N1203" s="16" t="str">
        <x:v>Low</x:v>
      </x:c>
    </x:row>
    <x:row r="1204" ht="37" customHeight="1">
      <x:c r="A1204" s="16" t="str">
        <x:v>RAW-01198</x:v>
      </x:c>
      <x:c r="B1204" s="16" t="str">
        <x:v>Observation</x:v>
      </x:c>
      <x:c r="C1204" s="16" t="str">
        <x:v>– Overview of shed.</x:v>
      </x:c>
      <x:c r="D1204" s="16" t="str">
        <x:v>Shed cladding</x:v>
      </x:c>
      <x:c r="E1204" s="16" t="str">
        <x:v>SRC-063</x:v>
      </x:c>
      <x:c r="F1204" s="16" t="str">
        <x:v>OBS-0438</x:v>
      </x:c>
      <x:c r="G1204" s="16" t="str">
        <x:v>正式报告</x:v>
      </x:c>
      <x:c r="H1204" s="19" t="n">
        <x:v>19</x:v>
      </x:c>
      <x:c r="I1204" s="19" t="n">
        <x:v>6</x:v>
      </x:c>
      <x:c r="J1204" s="19" t="n">
        <x:v>1</x:v>
      </x:c>
      <x:c r="K1204" s="16" t="str">
        <x:v>3. Minor deterioration</x:v>
      </x:c>
      <x:c r="L1204" s="16" t="str">
        <x:v>Unlikely</x:v>
      </x:c>
      <x:c r="M1204" s="16" t="str">
        <x:v>Minor</x:v>
      </x:c>
      <x:c r="N1204" s="16" t="str">
        <x:v>Low</x:v>
      </x:c>
    </x:row>
    <x:row r="1205" ht="37" customHeight="1">
      <x:c r="A1205" s="16" t="str">
        <x:v>RAW-01199</x:v>
      </x:c>
      <x:c r="B1205" s="16" t="str">
        <x:v>Observation</x:v>
      </x:c>
      <x:c r="C1205" s="16" t="str">
        <x:v>– Minor corrosion where water ponding has occurred.</x:v>
      </x:c>
      <x:c r="D1205" s="16" t="str">
        <x:v>Shed cladding</x:v>
      </x:c>
      <x:c r="E1205" s="16" t="str">
        <x:v>SRC-063</x:v>
      </x:c>
      <x:c r="F1205" s="16" t="str">
        <x:v>OBS-0068</x:v>
      </x:c>
      <x:c r="G1205" s="16" t="str">
        <x:v>正式报告</x:v>
      </x:c>
      <x:c r="H1205" s="19" t="n">
        <x:v>19</x:v>
      </x:c>
      <x:c r="I1205" s="19" t="n">
        <x:v>7</x:v>
      </x:c>
      <x:c r="J1205" s="19" t="n">
        <x:v>1</x:v>
      </x:c>
      <x:c r="K1205" s="16" t="str">
        <x:v>3. Minor deterioration</x:v>
      </x:c>
      <x:c r="L1205" s="16" t="str">
        <x:v>Unlikely</x:v>
      </x:c>
      <x:c r="M1205" s="16" t="str">
        <x:v>Minor</x:v>
      </x:c>
      <x:c r="N1205" s="16" t="str">
        <x:v>Low</x:v>
      </x:c>
    </x:row>
    <x:row r="1206" ht="37" customHeight="1">
      <x:c r="A1206" s="16" t="str">
        <x:v>RAW-01200</x:v>
      </x:c>
      <x:c r="B1206" s="16" t="str">
        <x:v>Recommendation</x:v>
      </x:c>
      <x:c r="C1206" s="16" t="str">
        <x:v>– Clean, remove corrosion and repaint.</x:v>
      </x:c>
      <x:c r="D1206" s="16" t="str">
        <x:v>Shed cladding</x:v>
      </x:c>
      <x:c r="E1206" s="16" t="str">
        <x:v>SRC-063</x:v>
      </x:c>
      <x:c r="F1206" s="16" t="str">
        <x:v>REC-0002</x:v>
      </x:c>
      <x:c r="G1206" s="16" t="str">
        <x:v>正式报告</x:v>
      </x:c>
      <x:c r="H1206" s="19" t="n">
        <x:v>19</x:v>
      </x:c>
      <x:c r="I1206" s="19" t="n">
        <x:v>7</x:v>
      </x:c>
      <x:c r="J1206" s="19" t="n">
        <x:v>1</x:v>
      </x:c>
      <x:c r="K1206" s="16" t="str">
        <x:v>3. Minor deterioration</x:v>
      </x:c>
      <x:c r="L1206" s="16" t="str">
        <x:v>Unlikely</x:v>
      </x:c>
      <x:c r="M1206" s="16" t="str">
        <x:v>Minor</x:v>
      </x:c>
      <x:c r="N1206" s="16" t="str">
        <x:v>Low</x:v>
      </x:c>
    </x:row>
    <x:row r="1207" ht="37" customHeight="1">
      <x:c r="A1207" s="16" t="str">
        <x:v>RAW-01201</x:v>
      </x:c>
      <x:c r="B1207" s="16" t="str">
        <x:v>Observation</x:v>
      </x:c>
      <x:c r="C1207" s="16" t="str">
        <x:v>– Minor corrosion where water ponding has occurred.</x:v>
      </x:c>
      <x:c r="D1207" s="16" t="str">
        <x:v>Shed cladding</x:v>
      </x:c>
      <x:c r="E1207" s="16" t="str">
        <x:v>SRC-063</x:v>
      </x:c>
      <x:c r="F1207" s="16" t="str">
        <x:v>OBS-0068</x:v>
      </x:c>
      <x:c r="G1207" s="16" t="str">
        <x:v>正式报告</x:v>
      </x:c>
      <x:c r="H1207" s="19" t="n">
        <x:v>19</x:v>
      </x:c>
      <x:c r="I1207" s="19" t="n">
        <x:v>8</x:v>
      </x:c>
      <x:c r="J1207" s="19" t="n">
        <x:v>1</x:v>
      </x:c>
      <x:c r="K1207" s="16" t="str">
        <x:v>3. Minor deterioration</x:v>
      </x:c>
      <x:c r="L1207" s="16" t="str">
        <x:v>Unlikely</x:v>
      </x:c>
      <x:c r="M1207" s="16" t="str">
        <x:v>Minor</x:v>
      </x:c>
      <x:c r="N1207" s="16" t="str">
        <x:v>Low</x:v>
      </x:c>
    </x:row>
    <x:row r="1208" ht="37" customHeight="1">
      <x:c r="A1208" s="16" t="str">
        <x:v>RAW-01202</x:v>
      </x:c>
      <x:c r="B1208" s="16" t="str">
        <x:v>Recommendation</x:v>
      </x:c>
      <x:c r="C1208" s="16" t="str">
        <x:v>– Clean, remove corrosion and repaint.</x:v>
      </x:c>
      <x:c r="D1208" s="16" t="str">
        <x:v>Shed cladding</x:v>
      </x:c>
      <x:c r="E1208" s="16" t="str">
        <x:v>SRC-063</x:v>
      </x:c>
      <x:c r="F1208" s="16" t="str">
        <x:v>REC-0002</x:v>
      </x:c>
      <x:c r="G1208" s="16" t="str">
        <x:v>正式报告</x:v>
      </x:c>
      <x:c r="H1208" s="19" t="n">
        <x:v>19</x:v>
      </x:c>
      <x:c r="I1208" s="19" t="n">
        <x:v>8</x:v>
      </x:c>
      <x:c r="J1208" s="19" t="n">
        <x:v>1</x:v>
      </x:c>
      <x:c r="K1208" s="16" t="str">
        <x:v>3. Minor deterioration</x:v>
      </x:c>
      <x:c r="L1208" s="16" t="str">
        <x:v>Unlikely</x:v>
      </x:c>
      <x:c r="M1208" s="16" t="str">
        <x:v>Minor</x:v>
      </x:c>
      <x:c r="N1208" s="16" t="str">
        <x:v>Low</x:v>
      </x:c>
    </x:row>
    <x:row r="1209" ht="41" customHeight="1">
      <x:c r="A1209" s="16" t="str">
        <x:v>RAW-01203</x:v>
      </x:c>
      <x:c r="B1209" s="16" t="str">
        <x:v>Observation</x:v>
      </x:c>
      <x:c r="C1209" s="16" t="str">
        <x:v>–The structural steel and timber members appear to be in good condition as recent repairs have been undertaken.</x:v>
      </x:c>
      <x:c r="D1209" s="16" t="str">
        <x:v>Childhood Centre verandah</x:v>
      </x:c>
      <x:c r="E1209" s="16" t="str">
        <x:v>SRC-063</x:v>
      </x:c>
      <x:c r="F1209" s="16" t="str">
        <x:v>OBS-0593</x:v>
      </x:c>
      <x:c r="G1209" s="16" t="str">
        <x:v>正式报告</x:v>
      </x:c>
      <x:c r="H1209" s="19" t="n">
        <x:v>20</x:v>
      </x:c>
      <x:c r="I1209" s="19" t="n">
        <x:v>6</x:v>
      </x:c>
      <x:c r="J1209" s="19" t="n">
        <x:v>1</x:v>
      </x:c>
      <x:c r="K1209" s="16" t="str">
        <x:v>2. New with slight deterioration</x:v>
      </x:c>
      <x:c r="L1209" s="16" t="str">
        <x:v>Very unlikely</x:v>
      </x:c>
      <x:c r="M1209" s="16" t="str">
        <x:v>Significant</x:v>
      </x:c>
      <x:c r="N1209" s="16" t="str">
        <x:v>Low</x:v>
      </x:c>
    </x:row>
    <x:row r="1210" ht="37" customHeight="1">
      <x:c r="A1210" s="16" t="str">
        <x:v>RAW-01204</x:v>
      </x:c>
      <x:c r="B1210" s="16" t="str">
        <x:v>Observation</x:v>
      </x:c>
      <x:c r="C1210" s="16" t="str">
        <x:v>– Minor corrosion on bolts.</x:v>
      </x:c>
      <x:c r="D1210" s="16" t="str">
        <x:v>Childhood Centre verandah</x:v>
      </x:c>
      <x:c r="E1210" s="16" t="str">
        <x:v>SRC-063</x:v>
      </x:c>
      <x:c r="F1210" s="16" t="str">
        <x:v>OBS-0065</x:v>
      </x:c>
      <x:c r="G1210" s="16" t="str">
        <x:v>正式报告</x:v>
      </x:c>
      <x:c r="H1210" s="19" t="n">
        <x:v>20</x:v>
      </x:c>
      <x:c r="I1210" s="19" t="n">
        <x:v>7</x:v>
      </x:c>
      <x:c r="J1210" s="19" t="n">
        <x:v>1</x:v>
      </x:c>
      <x:c r="K1210" s="16" t="str">
        <x:v>2. New with slight deterioration</x:v>
      </x:c>
      <x:c r="L1210" s="16" t="str">
        <x:v>Very unlikely</x:v>
      </x:c>
      <x:c r="M1210" s="16" t="str">
        <x:v>Significant</x:v>
      </x:c>
      <x:c r="N1210" s="16" t="str">
        <x:v>Low</x:v>
      </x:c>
    </x:row>
    <x:row r="1211" ht="37" customHeight="1">
      <x:c r="A1211" s="16" t="str">
        <x:v>RAW-01205</x:v>
      </x:c>
      <x:c r="B1211" s="16" t="str">
        <x:v>Recommendation</x:v>
      </x:c>
      <x:c r="C1211" s="16" t="str">
        <x:v>– Clean, remove corrosion and repaint.</x:v>
      </x:c>
      <x:c r="D1211" s="16" t="str">
        <x:v>Childhood Centre verandah</x:v>
      </x:c>
      <x:c r="E1211" s="16" t="str">
        <x:v>SRC-063</x:v>
      </x:c>
      <x:c r="F1211" s="16" t="str">
        <x:v>REC-0002</x:v>
      </x:c>
      <x:c r="G1211" s="16" t="str">
        <x:v>正式报告</x:v>
      </x:c>
      <x:c r="H1211" s="19" t="n">
        <x:v>20</x:v>
      </x:c>
      <x:c r="I1211" s="19" t="n">
        <x:v>7</x:v>
      </x:c>
      <x:c r="J1211" s="19" t="n">
        <x:v>1</x:v>
      </x:c>
      <x:c r="K1211" s="16" t="str">
        <x:v>2. New with slight deterioration</x:v>
      </x:c>
      <x:c r="L1211" s="16" t="str">
        <x:v>Very unlikely</x:v>
      </x:c>
      <x:c r="M1211" s="16" t="str">
        <x:v>Significant</x:v>
      </x:c>
      <x:c r="N1211" s="16" t="str">
        <x:v>Low</x:v>
      </x:c>
    </x:row>
    <x:row r="1212" ht="37" customHeight="1">
      <x:c r="A1212" s="16" t="str">
        <x:v>RAW-01206</x:v>
      </x:c>
      <x:c r="B1212" s="16" t="str">
        <x:v>Observation</x:v>
      </x:c>
      <x:c r="C1212" s="16" t="str">
        <x:v>– Minor corrosion on bolts.</x:v>
      </x:c>
      <x:c r="D1212" s="16" t="str">
        <x:v>Childhood Centre verandah</x:v>
      </x:c>
      <x:c r="E1212" s="16" t="str">
        <x:v>SRC-063</x:v>
      </x:c>
      <x:c r="F1212" s="16" t="str">
        <x:v>OBS-0065</x:v>
      </x:c>
      <x:c r="G1212" s="16" t="str">
        <x:v>正式报告</x:v>
      </x:c>
      <x:c r="H1212" s="19" t="n">
        <x:v>20</x:v>
      </x:c>
      <x:c r="I1212" s="19" t="n">
        <x:v>8</x:v>
      </x:c>
      <x:c r="J1212" s="19" t="n">
        <x:v>1</x:v>
      </x:c>
      <x:c r="K1212" s="16" t="str">
        <x:v>2. New with slight deterioration</x:v>
      </x:c>
      <x:c r="L1212" s="16" t="str">
        <x:v>Very unlikely</x:v>
      </x:c>
      <x:c r="M1212" s="16" t="str">
        <x:v>Significant</x:v>
      </x:c>
      <x:c r="N1212" s="16" t="str">
        <x:v>Low</x:v>
      </x:c>
    </x:row>
    <x:row r="1213" ht="37" customHeight="1">
      <x:c r="A1213" s="16" t="str">
        <x:v>RAW-01207</x:v>
      </x:c>
      <x:c r="B1213" s="16" t="str">
        <x:v>Recommendation</x:v>
      </x:c>
      <x:c r="C1213" s="16" t="str">
        <x:v>– Clean, remove corrosion and repaint.</x:v>
      </x:c>
      <x:c r="D1213" s="16" t="str">
        <x:v>Childhood Centre verandah</x:v>
      </x:c>
      <x:c r="E1213" s="16" t="str">
        <x:v>SRC-063</x:v>
      </x:c>
      <x:c r="F1213" s="16" t="str">
        <x:v>REC-0002</x:v>
      </x:c>
      <x:c r="G1213" s="16" t="str">
        <x:v>正式报告</x:v>
      </x:c>
      <x:c r="H1213" s="19" t="n">
        <x:v>20</x:v>
      </x:c>
      <x:c r="I1213" s="19" t="n">
        <x:v>8</x:v>
      </x:c>
      <x:c r="J1213" s="19" t="n">
        <x:v>1</x:v>
      </x:c>
      <x:c r="K1213" s="16" t="str">
        <x:v>2. New with slight deterioration</x:v>
      </x:c>
      <x:c r="L1213" s="16" t="str">
        <x:v>Very unlikely</x:v>
      </x:c>
      <x:c r="M1213" s="16" t="str">
        <x:v>Significant</x:v>
      </x:c>
      <x:c r="N1213" s="16" t="str">
        <x:v>Low</x:v>
      </x:c>
    </x:row>
    <x:row r="1214" ht="37" customHeight="1">
      <x:c r="A1214" s="16" t="str">
        <x:v>RAW-01208</x:v>
      </x:c>
      <x:c r="B1214" s="16" t="str">
        <x:v>Observation</x:v>
      </x:c>
      <x:c r="C1214" s="16" t="str">
        <x:v>– West face of the multipurpose building.</x:v>
      </x:c>
      <x:c r="D1214" s="16" t="str">
        <x:v>Multipurpose Building – brick wall</x:v>
      </x:c>
      <x:c r="E1214" s="16" t="str">
        <x:v>SRC-063</x:v>
      </x:c>
      <x:c r="F1214" s="16" t="str">
        <x:v>OBS-0606</x:v>
      </x:c>
      <x:c r="G1214" s="16" t="str">
        <x:v>正式报告</x:v>
      </x:c>
      <x:c r="H1214" s="19" t="n">
        <x:v>21</x:v>
      </x:c>
      <x:c r="I1214" s="19" t="n">
        <x:v>6</x:v>
      </x:c>
      <x:c r="J1214" s="19" t="n">
        <x:v>1</x:v>
      </x:c>
      <x:c r="K1214" s="16" t="str">
        <x:v>3. Minor deterioration</x:v>
      </x:c>
      <x:c r="L1214" s="16" t="str">
        <x:v>Unlikely</x:v>
      </x:c>
      <x:c r="M1214" s="16" t="str">
        <x:v>Minor</x:v>
      </x:c>
      <x:c r="N1214" s="16" t="str">
        <x:v>Low</x:v>
      </x:c>
    </x:row>
    <x:row r="1215" ht="37" customHeight="1">
      <x:c r="A1215" s="16" t="str">
        <x:v>RAW-01209</x:v>
      </x:c>
      <x:c r="B1215" s="16" t="str">
        <x:v>Observation</x:v>
      </x:c>
      <x:c r="C1215" s="16" t="str">
        <x:v>– hole in brick wall.</x:v>
      </x:c>
      <x:c r="D1215" s="16" t="str">
        <x:v>Multipurpose Building – brick wall</x:v>
      </x:c>
      <x:c r="E1215" s="16" t="str">
        <x:v>SRC-063</x:v>
      </x:c>
      <x:c r="F1215" s="16" t="str">
        <x:v>OBS-0616</x:v>
      </x:c>
      <x:c r="G1215" s="16" t="str">
        <x:v>正式报告</x:v>
      </x:c>
      <x:c r="H1215" s="19" t="n">
        <x:v>21</x:v>
      </x:c>
      <x:c r="I1215" s="19" t="n">
        <x:v>7</x:v>
      </x:c>
      <x:c r="J1215" s="19" t="n">
        <x:v>1</x:v>
      </x:c>
      <x:c r="K1215" s="16" t="str">
        <x:v>3. Minor deterioration</x:v>
      </x:c>
      <x:c r="L1215" s="16" t="str">
        <x:v>Unlikely</x:v>
      </x:c>
      <x:c r="M1215" s="16" t="str">
        <x:v>Minor</x:v>
      </x:c>
      <x:c r="N1215" s="16" t="str">
        <x:v>Low</x:v>
      </x:c>
    </x:row>
    <x:row r="1216" ht="37" customHeight="1">
      <x:c r="A1216" s="16" t="str">
        <x:v>RAW-01210</x:v>
      </x:c>
      <x:c r="B1216" s="16" t="str">
        <x:v>Recommendation</x:v>
      </x:c>
      <x:c r="C1216" s="16" t="str">
        <x:v>– Replace brick.</x:v>
      </x:c>
      <x:c r="D1216" s="16" t="str">
        <x:v>Multipurpose Building – brick wall</x:v>
      </x:c>
      <x:c r="E1216" s="16" t="str">
        <x:v>SRC-063</x:v>
      </x:c>
      <x:c r="F1216" s="16" t="str">
        <x:v>REC-0144</x:v>
      </x:c>
      <x:c r="G1216" s="16" t="str">
        <x:v>正式报告</x:v>
      </x:c>
      <x:c r="H1216" s="19" t="n">
        <x:v>21</x:v>
      </x:c>
      <x:c r="I1216" s="19" t="n">
        <x:v>7</x:v>
      </x:c>
      <x:c r="J1216" s="19" t="n">
        <x:v>1</x:v>
      </x:c>
      <x:c r="K1216" s="16" t="str">
        <x:v>3. Minor deterioration</x:v>
      </x:c>
      <x:c r="L1216" s="16" t="str">
        <x:v>Unlikely</x:v>
      </x:c>
      <x:c r="M1216" s="16" t="str">
        <x:v>Minor</x:v>
      </x:c>
      <x:c r="N1216" s="16" t="str">
        <x:v>Low</x:v>
      </x:c>
    </x:row>
    <x:row r="1217" ht="37" customHeight="1">
      <x:c r="A1217" s="16" t="str">
        <x:v>RAW-01211</x:v>
      </x:c>
      <x:c r="B1217" s="16" t="str">
        <x:v>Observation</x:v>
      </x:c>
      <x:c r="C1217" s="16" t="str">
        <x:v>– Cracking along the mortar bed. Typical building defect.</x:v>
      </x:c>
      <x:c r="D1217" s="16" t="str">
        <x:v>Multipurpose Building – brick wall</x:v>
      </x:c>
      <x:c r="E1217" s="16" t="str">
        <x:v>SRC-063</x:v>
      </x:c>
      <x:c r="F1217" s="16" t="str">
        <x:v>OBS-0240</x:v>
      </x:c>
      <x:c r="G1217" s="16" t="str">
        <x:v>正式报告</x:v>
      </x:c>
      <x:c r="H1217" s="19" t="n">
        <x:v>21</x:v>
      </x:c>
      <x:c r="I1217" s="19" t="n">
        <x:v>8</x:v>
      </x:c>
      <x:c r="J1217" s="19" t="n">
        <x:v>1</x:v>
      </x:c>
      <x:c r="K1217" s="16" t="str">
        <x:v>3. Minor deterioration</x:v>
      </x:c>
      <x:c r="L1217" s="16" t="str">
        <x:v>Unlikely</x:v>
      </x:c>
      <x:c r="M1217" s="16" t="str">
        <x:v>Minor</x:v>
      </x:c>
      <x:c r="N1217" s="16" t="str">
        <x:v>Low</x:v>
      </x:c>
    </x:row>
    <x:row r="1218" ht="37" customHeight="1">
      <x:c r="A1218" s="16" t="str">
        <x:v>RAW-01212</x:v>
      </x:c>
      <x:c r="B1218" s="16" t="str">
        <x:v>Recommendation</x:v>
      </x:c>
      <x:c r="C1218" s="16" t="str">
        <x:v>– Repoint mortar around the brick. Monitor cracking.</x:v>
      </x:c>
      <x:c r="D1218" s="16" t="str">
        <x:v>Multipurpose Building – brick wall</x:v>
      </x:c>
      <x:c r="E1218" s="16" t="str">
        <x:v>SRC-063</x:v>
      </x:c>
      <x:c r="F1218" s="16" t="str">
        <x:v>REC-0161</x:v>
      </x:c>
      <x:c r="G1218" s="16" t="str">
        <x:v>正式报告</x:v>
      </x:c>
      <x:c r="H1218" s="19" t="n">
        <x:v>21</x:v>
      </x:c>
      <x:c r="I1218" s="19" t="n">
        <x:v>8</x:v>
      </x:c>
      <x:c r="J1218" s="19" t="n">
        <x:v>1</x:v>
      </x:c>
      <x:c r="K1218" s="16" t="str">
        <x:v>3. Minor deterioration</x:v>
      </x:c>
      <x:c r="L1218" s="16" t="str">
        <x:v>Unlikely</x:v>
      </x:c>
      <x:c r="M1218" s="16" t="str">
        <x:v>Minor</x:v>
      </x:c>
      <x:c r="N1218" s="16" t="str">
        <x:v>Low</x:v>
      </x:c>
    </x:row>
    <x:row r="1219" ht="37" customHeight="1">
      <x:c r="A1219" s="16" t="str">
        <x:v>RAW-01213</x:v>
      </x:c>
      <x:c r="B1219" s="16" t="str">
        <x:v>Observation</x:v>
      </x:c>
      <x:c r="C1219" s="16" t="str">
        <x:v>– Mortar deterioration at the top corner brick.</x:v>
      </x:c>
      <x:c r="D1219" s="16" t="str">
        <x:v>Multipurpose Building – brick wall</x:v>
      </x:c>
      <x:c r="E1219" s="16" t="str">
        <x:v>SRC-063</x:v>
      </x:c>
      <x:c r="F1219" s="16" t="str">
        <x:v>OBS-0419</x:v>
      </x:c>
      <x:c r="G1219" s="16" t="str">
        <x:v>正式报告</x:v>
      </x:c>
      <x:c r="H1219" s="19" t="n">
        <x:v>21</x:v>
      </x:c>
      <x:c r="I1219" s="19" t="n">
        <x:v>9</x:v>
      </x:c>
      <x:c r="J1219" s="19" t="n">
        <x:v>1</x:v>
      </x:c>
      <x:c r="K1219" s="16" t="str">
        <x:v>3. Minor deterioration</x:v>
      </x:c>
      <x:c r="L1219" s="16" t="str">
        <x:v>Unlikely</x:v>
      </x:c>
      <x:c r="M1219" s="16" t="str">
        <x:v>Minor</x:v>
      </x:c>
      <x:c r="N1219" s="16" t="str">
        <x:v>Low</x:v>
      </x:c>
    </x:row>
    <x:row r="1220" ht="37" customHeight="1">
      <x:c r="A1220" s="16" t="str">
        <x:v>RAW-01214</x:v>
      </x:c>
      <x:c r="B1220" s="16" t="str">
        <x:v>Recommendation</x:v>
      </x:c>
      <x:c r="C1220" s="16" t="str">
        <x:v>– repoint mortar around brick.</x:v>
      </x:c>
      <x:c r="D1220" s="16" t="str">
        <x:v>Multipurpose Building – brick wall</x:v>
      </x:c>
      <x:c r="E1220" s="16" t="str">
        <x:v>SRC-063</x:v>
      </x:c>
      <x:c r="F1220" s="16" t="str">
        <x:v>REC-0175</x:v>
      </x:c>
      <x:c r="G1220" s="16" t="str">
        <x:v>正式报告</x:v>
      </x:c>
      <x:c r="H1220" s="19" t="n">
        <x:v>21</x:v>
      </x:c>
      <x:c r="I1220" s="19" t="n">
        <x:v>9</x:v>
      </x:c>
      <x:c r="J1220" s="19" t="n">
        <x:v>1</x:v>
      </x:c>
      <x:c r="K1220" s="16" t="str">
        <x:v>3. Minor deterioration</x:v>
      </x:c>
      <x:c r="L1220" s="16" t="str">
        <x:v>Unlikely</x:v>
      </x:c>
      <x:c r="M1220" s="16" t="str">
        <x:v>Minor</x:v>
      </x:c>
      <x:c r="N1220" s="16" t="str">
        <x:v>Low</x:v>
      </x:c>
    </x:row>
    <x:row r="1221" ht="37" customHeight="1">
      <x:c r="A1221" s="16" t="str">
        <x:v>RAW-01215</x:v>
      </x:c>
      <x:c r="B1221" s="16" t="str">
        <x:v>Observation</x:v>
      </x:c>
      <x:c r="C1221" s="16" t="str">
        <x:v>– East end of site, left hand side light post. Overview of light post.</x:v>
      </x:c>
      <x:c r="D1221" s="16" t="str">
        <x:v>Light post</x:v>
      </x:c>
      <x:c r="E1221" s="16" t="str">
        <x:v>SRC-064</x:v>
      </x:c>
      <x:c r="F1221" s="16" t="str">
        <x:v>OBS-0250</x:v>
      </x:c>
      <x:c r="G1221" s="16" t="str">
        <x:v>审阅或辅助文档</x:v>
      </x:c>
      <x:c r="H1221" s="19" t="n">
        <x:v>3</x:v>
      </x:c>
      <x:c r="I1221" s="19" t="n">
        <x:v>6</x:v>
      </x:c>
      <x:c r="J1221" s="19" t="n">
        <x:v>1</x:v>
      </x:c>
      <x:c r="K1221" s="16" t="str">
        <x:v>6. Severe deterioration</x:v>
      </x:c>
      <x:c r="L1221" s="16" t="str">
        <x:v>Very likely</x:v>
      </x:c>
      <x:c r="M1221" s="16" t="str">
        <x:v>Significant</x:v>
      </x:c>
      <x:c r="N1221" s="16" t="str">
        <x:v>Urgent</x:v>
      </x:c>
    </x:row>
    <x:row r="1222" ht="37" customHeight="1">
      <x:c r="A1222" s="16" t="str">
        <x:v>RAW-01216</x:v>
      </x:c>
      <x:c r="B1222" s="16" t="str">
        <x:v>Observation</x:v>
      </x:c>
      <x:c r="C1222" s="16" t="str">
        <x:v>– East end of site, left hand side light post. Lights removed or failed due to corroded connection.</x:v>
      </x:c>
      <x:c r="D1222" s="16" t="str">
        <x:v>Light post</x:v>
      </x:c>
      <x:c r="E1222" s="16" t="str">
        <x:v>SRC-064</x:v>
      </x:c>
      <x:c r="F1222" s="16" t="str">
        <x:v>OBS-0249</x:v>
      </x:c>
      <x:c r="G1222" s="16" t="str">
        <x:v>审阅或辅助文档</x:v>
      </x:c>
      <x:c r="H1222" s="19" t="n">
        <x:v>3</x:v>
      </x:c>
      <x:c r="I1222" s="19" t="n">
        <x:v>7</x:v>
      </x:c>
      <x:c r="J1222" s="19" t="n">
        <x:v>1</x:v>
      </x:c>
      <x:c r="K1222" s="16" t="str">
        <x:v>6. Severe deterioration</x:v>
      </x:c>
      <x:c r="L1222" s="16" t="str">
        <x:v>Very likely</x:v>
      </x:c>
      <x:c r="M1222" s="16" t="str">
        <x:v>Significant</x:v>
      </x:c>
      <x:c r="N1222" s="16" t="str">
        <x:v>Urgent</x:v>
      </x:c>
    </x:row>
    <x:row r="1223" ht="37" customHeight="1">
      <x:c r="A1223" s="16" t="str">
        <x:v>RAW-01217</x:v>
      </x:c>
      <x:c r="B1223" s="16" t="str">
        <x:v>Observation</x:v>
      </x:c>
      <x:c r="C1223" s="16" t="str">
        <x:v>– East end of site, left hand side light post. Severely corroded baseplate and stiffeners.</x:v>
      </x:c>
      <x:c r="D1223" s="16" t="str">
        <x:v>Light post</x:v>
      </x:c>
      <x:c r="E1223" s="16" t="str">
        <x:v>SRC-064</x:v>
      </x:c>
      <x:c r="F1223" s="16" t="str">
        <x:v>OBS-0251</x:v>
      </x:c>
      <x:c r="G1223" s="16" t="str">
        <x:v>审阅或辅助文档</x:v>
      </x:c>
      <x:c r="H1223" s="19" t="n">
        <x:v>3</x:v>
      </x:c>
      <x:c r="I1223" s="19" t="n">
        <x:v>8</x:v>
      </x:c>
      <x:c r="J1223" s="19" t="n">
        <x:v>2</x:v>
      </x:c>
      <x:c r="K1223" s="16" t="str">
        <x:v>6. Severe deterioration</x:v>
      </x:c>
      <x:c r="L1223" s="16" t="str">
        <x:v>Very likely</x:v>
      </x:c>
      <x:c r="M1223" s="16" t="str">
        <x:v>Significant</x:v>
      </x:c>
      <x:c r="N1223" s="16" t="str">
        <x:v>Urgent</x:v>
      </x:c>
    </x:row>
    <x:row r="1224" ht="41" customHeight="1">
      <x:c r="A1224" s="16" t="str">
        <x:v>RAW-01218</x:v>
      </x:c>
      <x:c r="B1224" s="16" t="str">
        <x:v>Recommendation</x:v>
      </x:c>
      <x:c r="C1224" s="16" t="str">
        <x:v>– In the short term, light pole should be removed as there is a risk of collapse. In the long term baseplate to be replaced.</x:v>
      </x:c>
      <x:c r="D1224" s="16" t="str">
        <x:v>Light post</x:v>
      </x:c>
      <x:c r="E1224" s="16" t="str">
        <x:v>SRC-064</x:v>
      </x:c>
      <x:c r="F1224" s="16" t="str"/>
      <x:c r="G1224" s="16" t="str">
        <x:v>审阅或辅助文档</x:v>
      </x:c>
      <x:c r="H1224" s="19" t="n">
        <x:v>3</x:v>
      </x:c>
      <x:c r="I1224" s="19" t="n">
        <x:v>8</x:v>
      </x:c>
      <x:c r="J1224" s="19" t="n">
        <x:v>2</x:v>
      </x:c>
      <x:c r="K1224" s="16" t="str">
        <x:v>6. Severe deterioration</x:v>
      </x:c>
      <x:c r="L1224" s="16" t="str">
        <x:v>Very likely</x:v>
      </x:c>
      <x:c r="M1224" s="16" t="str">
        <x:v>Significant</x:v>
      </x:c>
      <x:c r="N1224" s="16" t="str">
        <x:v>Urgent</x:v>
      </x:c>
    </x:row>
    <x:row r="1225" ht="37" customHeight="1">
      <x:c r="A1225" s="16" t="str">
        <x:v>RAW-01219</x:v>
      </x:c>
      <x:c r="B1225" s="16" t="str">
        <x:v>Observation</x:v>
      </x:c>
      <x:c r="C1225" s="16" t="str">
        <x:v>– East end of site, right hand side light post. Overview.</x:v>
      </x:c>
      <x:c r="D1225" s="16" t="str">
        <x:v>Light post</x:v>
      </x:c>
      <x:c r="E1225" s="16" t="str">
        <x:v>SRC-064</x:v>
      </x:c>
      <x:c r="F1225" s="16" t="str">
        <x:v>OBS-0254</x:v>
      </x:c>
      <x:c r="G1225" s="16" t="str">
        <x:v>审阅或辅助文档</x:v>
      </x:c>
      <x:c r="H1225" s="19" t="n">
        <x:v>4</x:v>
      </x:c>
      <x:c r="I1225" s="19" t="n">
        <x:v>6</x:v>
      </x:c>
      <x:c r="J1225" s="19" t="n">
        <x:v>1</x:v>
      </x:c>
      <x:c r="K1225" s="16" t="str">
        <x:v>7. Very severe deterioration</x:v>
      </x:c>
      <x:c r="L1225" s="16" t="str">
        <x:v>Very likely</x:v>
      </x:c>
      <x:c r="M1225" s="16" t="str">
        <x:v>Significant</x:v>
      </x:c>
      <x:c r="N1225" s="16" t="str">
        <x:v>Urgent</x:v>
      </x:c>
    </x:row>
    <x:row r="1226" ht="37" customHeight="1">
      <x:c r="A1226" s="16" t="str">
        <x:v>RAW-01220</x:v>
      </x:c>
      <x:c r="B1226" s="16" t="str">
        <x:v>Observation</x:v>
      </x:c>
      <x:c r="C1226" s="16" t="str">
        <x:v>– East end of site, right hand side light post. Corroded plate and bolt connection.</x:v>
      </x:c>
      <x:c r="D1226" s="16" t="str">
        <x:v>Light post</x:v>
      </x:c>
      <x:c r="E1226" s="16" t="str">
        <x:v>SRC-064</x:v>
      </x:c>
      <x:c r="F1226" s="16" t="str">
        <x:v>OBS-0252</x:v>
      </x:c>
      <x:c r="G1226" s="16" t="str">
        <x:v>审阅或辅助文档</x:v>
      </x:c>
      <x:c r="H1226" s="19" t="n">
        <x:v>4</x:v>
      </x:c>
      <x:c r="I1226" s="19" t="n">
        <x:v>7</x:v>
      </x:c>
      <x:c r="J1226" s="19" t="n">
        <x:v>1</x:v>
      </x:c>
      <x:c r="K1226" s="16" t="str">
        <x:v>7. Very severe deterioration</x:v>
      </x:c>
      <x:c r="L1226" s="16" t="str">
        <x:v>Very likely</x:v>
      </x:c>
      <x:c r="M1226" s="16" t="str">
        <x:v>Significant</x:v>
      </x:c>
      <x:c r="N1226" s="16" t="str">
        <x:v>Urgent</x:v>
      </x:c>
    </x:row>
    <x:row r="1227" ht="41" customHeight="1">
      <x:c r="A1227" s="16" t="str">
        <x:v>RAW-01221</x:v>
      </x:c>
      <x:c r="B1227" s="16" t="str">
        <x:v>Recommendation</x:v>
      </x:c>
      <x:c r="C1227" s="16" t="str">
        <x:v>– In the short term remove light to negate the risk of injury or damage to property. In the long term replace plate and bolts.</x:v>
      </x:c>
      <x:c r="D1227" s="16" t="str">
        <x:v>Light post</x:v>
      </x:c>
      <x:c r="E1227" s="16" t="str">
        <x:v>SRC-064</x:v>
      </x:c>
      <x:c r="F1227" s="16" t="str">
        <x:v>REC-0102</x:v>
      </x:c>
      <x:c r="G1227" s="16" t="str">
        <x:v>审阅或辅助文档</x:v>
      </x:c>
      <x:c r="H1227" s="19" t="n">
        <x:v>4</x:v>
      </x:c>
      <x:c r="I1227" s="19" t="n">
        <x:v>7</x:v>
      </x:c>
      <x:c r="J1227" s="19" t="n">
        <x:v>1</x:v>
      </x:c>
      <x:c r="K1227" s="16" t="str">
        <x:v>7. Very severe deterioration</x:v>
      </x:c>
      <x:c r="L1227" s="16" t="str">
        <x:v>Very likely</x:v>
      </x:c>
      <x:c r="M1227" s="16" t="str">
        <x:v>Significant</x:v>
      </x:c>
      <x:c r="N1227" s="16" t="str">
        <x:v>Urgent</x:v>
      </x:c>
    </x:row>
    <x:row r="1228" ht="37" customHeight="1">
      <x:c r="A1228" s="16" t="str">
        <x:v>RAW-01222</x:v>
      </x:c>
      <x:c r="B1228" s="16" t="str">
        <x:v>Observation</x:v>
      </x:c>
      <x:c r="C1228" s="16" t="str">
        <x:v>– East end of site, right hand side light post. Minor corrosion on stiffener and baseplate.</x:v>
      </x:c>
      <x:c r="D1228" s="16" t="str">
        <x:v>Light post</x:v>
      </x:c>
      <x:c r="E1228" s="16" t="str">
        <x:v>SRC-064</x:v>
      </x:c>
      <x:c r="F1228" s="16" t="str">
        <x:v>OBS-0253</x:v>
      </x:c>
      <x:c r="G1228" s="16" t="str">
        <x:v>审阅或辅助文档</x:v>
      </x:c>
      <x:c r="H1228" s="19" t="n">
        <x:v>4</x:v>
      </x:c>
      <x:c r="I1228" s="19" t="n">
        <x:v>8</x:v>
      </x:c>
      <x:c r="J1228" s="19" t="n">
        <x:v>2</x:v>
      </x:c>
      <x:c r="K1228" s="16" t="str">
        <x:v>7. Very severe deterioration</x:v>
      </x:c>
      <x:c r="L1228" s="16" t="str">
        <x:v>Very likely</x:v>
      </x:c>
      <x:c r="M1228" s="16" t="str">
        <x:v>Significant</x:v>
      </x:c>
      <x:c r="N1228" s="16" t="str">
        <x:v>Urgent</x:v>
      </x:c>
    </x:row>
    <x:row r="1229" ht="37" customHeight="1">
      <x:c r="A1229" s="16" t="str">
        <x:v>RAW-01223</x:v>
      </x:c>
      <x:c r="B1229" s="16" t="str">
        <x:v>Recommendation</x:v>
      </x:c>
      <x:c r="C1229" s="16" t="str">
        <x:v>– Clean, remove corrosion and repaint.</x:v>
      </x:c>
      <x:c r="D1229" s="16" t="str">
        <x:v>Light post</x:v>
      </x:c>
      <x:c r="E1229" s="16" t="str">
        <x:v>SRC-064</x:v>
      </x:c>
      <x:c r="F1229" s="16" t="str">
        <x:v>REC-0002</x:v>
      </x:c>
      <x:c r="G1229" s="16" t="str">
        <x:v>审阅或辅助文档</x:v>
      </x:c>
      <x:c r="H1229" s="19" t="n">
        <x:v>4</x:v>
      </x:c>
      <x:c r="I1229" s="19" t="n">
        <x:v>8</x:v>
      </x:c>
      <x:c r="J1229" s="19" t="n">
        <x:v>2</x:v>
      </x:c>
      <x:c r="K1229" s="16" t="str">
        <x:v>7. Very severe deterioration</x:v>
      </x:c>
      <x:c r="L1229" s="16" t="str">
        <x:v>Very likely</x:v>
      </x:c>
      <x:c r="M1229" s="16" t="str">
        <x:v>Significant</x:v>
      </x:c>
      <x:c r="N1229" s="16" t="str">
        <x:v>Urgent</x:v>
      </x:c>
    </x:row>
    <x:row r="1230" ht="37" customHeight="1">
      <x:c r="A1230" s="16" t="str">
        <x:v>RAW-01224</x:v>
      </x:c>
      <x:c r="B1230" s="16" t="str">
        <x:v>Observation</x:v>
      </x:c>
      <x:c r="C1230" s="16" t="str">
        <x:v>– Overview of front entrance verandah.</x:v>
      </x:c>
      <x:c r="D1230" s="16" t="str">
        <x:v>Childhood Centre verandah</x:v>
      </x:c>
      <x:c r="E1230" s="16" t="str">
        <x:v>SRC-064</x:v>
      </x:c>
      <x:c r="F1230" s="16" t="str">
        <x:v>OBS-0429</x:v>
      </x:c>
      <x:c r="G1230" s="16" t="str">
        <x:v>审阅或辅助文档</x:v>
      </x:c>
      <x:c r="H1230" s="19" t="n">
        <x:v>5</x:v>
      </x:c>
      <x:c r="I1230" s="19" t="n">
        <x:v>6</x:v>
      </x:c>
      <x:c r="J1230" s="19" t="n">
        <x:v>1</x:v>
      </x:c>
      <x:c r="K1230" s="16" t="str">
        <x:v>7. Very severe deterioration</x:v>
      </x:c>
      <x:c r="L1230" s="16" t="str">
        <x:v>Very likely</x:v>
      </x:c>
      <x:c r="M1230" s="16" t="str">
        <x:v>Significant</x:v>
      </x:c>
      <x:c r="N1230" s="16" t="str">
        <x:v>Urgent</x:v>
      </x:c>
    </x:row>
    <x:row r="1231" ht="37" customHeight="1">
      <x:c r="A1231" s="16" t="str">
        <x:v>RAW-01225</x:v>
      </x:c>
      <x:c r="B1231" s="16" t="str">
        <x:v>Observation</x:v>
      </x:c>
      <x:c r="C1231" s="16" t="str">
        <x:v>– Hole through steel due to corrosion. Close up photo below.</x:v>
      </x:c>
      <x:c r="D1231" s="16" t="str">
        <x:v>Childhood Centre verandah</x:v>
      </x:c>
      <x:c r="E1231" s="16" t="str">
        <x:v>SRC-064</x:v>
      </x:c>
      <x:c r="F1231" s="16" t="str">
        <x:v>OBS-0327</x:v>
      </x:c>
      <x:c r="G1231" s="16" t="str">
        <x:v>审阅或辅助文档</x:v>
      </x:c>
      <x:c r="H1231" s="19" t="n">
        <x:v>5</x:v>
      </x:c>
      <x:c r="I1231" s="19" t="n">
        <x:v>7</x:v>
      </x:c>
      <x:c r="J1231" s="19" t="n">
        <x:v>2</x:v>
      </x:c>
      <x:c r="K1231" s="16" t="str">
        <x:v>7. Very severe deterioration</x:v>
      </x:c>
      <x:c r="L1231" s="16" t="str">
        <x:v>Very likely</x:v>
      </x:c>
      <x:c r="M1231" s="16" t="str">
        <x:v>Significant</x:v>
      </x:c>
      <x:c r="N1231" s="16" t="str">
        <x:v>Urgent</x:v>
      </x:c>
    </x:row>
    <x:row r="1232" ht="37" customHeight="1">
      <x:c r="A1232" s="16" t="str">
        <x:v>RAW-01226</x:v>
      </x:c>
      <x:c r="B1232" s="16" t="str">
        <x:v>Recommendation</x:v>
      </x:c>
      <x:c r="C1232" s="16" t="str">
        <x:v>– Remove beam could collapse. Replacement is not required, as the element is non-structural.</x:v>
      </x:c>
      <x:c r="D1232" s="16" t="str">
        <x:v>Childhood Centre verandah</x:v>
      </x:c>
      <x:c r="E1232" s="16" t="str">
        <x:v>SRC-064</x:v>
      </x:c>
      <x:c r="F1232" s="16" t="str"/>
      <x:c r="G1232" s="16" t="str">
        <x:v>审阅或辅助文档</x:v>
      </x:c>
      <x:c r="H1232" s="19" t="n">
        <x:v>5</x:v>
      </x:c>
      <x:c r="I1232" s="19" t="n">
        <x:v>7</x:v>
      </x:c>
      <x:c r="J1232" s="19" t="n">
        <x:v>2</x:v>
      </x:c>
      <x:c r="K1232" s="16" t="str">
        <x:v>7. Very severe deterioration</x:v>
      </x:c>
      <x:c r="L1232" s="16" t="str">
        <x:v>Very likely</x:v>
      </x:c>
      <x:c r="M1232" s="16" t="str">
        <x:v>Significant</x:v>
      </x:c>
      <x:c r="N1232" s="16" t="str">
        <x:v>Urgent</x:v>
      </x:c>
    </x:row>
    <x:row r="1233" ht="37" customHeight="1">
      <x:c r="A1233" s="16" t="str">
        <x:v>RAW-01227</x:v>
      </x:c>
      <x:c r="B1233" s="16" t="str">
        <x:v>Observation</x:v>
      </x:c>
      <x:c r="C1233" s="16" t="str">
        <x:v>– Minor corrosion at lower section of column.</x:v>
      </x:c>
      <x:c r="D1233" s="16" t="str">
        <x:v>Childhood Centre verandah</x:v>
      </x:c>
      <x:c r="E1233" s="16" t="str">
        <x:v>SRC-064</x:v>
      </x:c>
      <x:c r="F1233" s="16" t="str">
        <x:v>OBS-0384</x:v>
      </x:c>
      <x:c r="G1233" s="16" t="str">
        <x:v>审阅或辅助文档</x:v>
      </x:c>
      <x:c r="H1233" s="19" t="n">
        <x:v>5</x:v>
      </x:c>
      <x:c r="I1233" s="19" t="n">
        <x:v>11</x:v>
      </x:c>
      <x:c r="J1233" s="19" t="n">
        <x:v>2</x:v>
      </x:c>
      <x:c r="K1233" s="16" t="str">
        <x:v>7. Very severe deterioration</x:v>
      </x:c>
      <x:c r="L1233" s="16" t="str">
        <x:v>Very likely</x:v>
      </x:c>
      <x:c r="M1233" s="16" t="str">
        <x:v>Significant</x:v>
      </x:c>
      <x:c r="N1233" s="16" t="str">
        <x:v>Urgent</x:v>
      </x:c>
    </x:row>
    <x:row r="1234" ht="37" customHeight="1">
      <x:c r="A1234" s="16" t="str">
        <x:v>RAW-01228</x:v>
      </x:c>
      <x:c r="B1234" s="16" t="str">
        <x:v>Recommendation</x:v>
      </x:c>
      <x:c r="C1234" s="16" t="str">
        <x:v>– Clean, remove corrosion and repaint.</x:v>
      </x:c>
      <x:c r="D1234" s="16" t="str">
        <x:v>Childhood Centre verandah</x:v>
      </x:c>
      <x:c r="E1234" s="16" t="str">
        <x:v>SRC-064</x:v>
      </x:c>
      <x:c r="F1234" s="16" t="str">
        <x:v>REC-0002</x:v>
      </x:c>
      <x:c r="G1234" s="16" t="str">
        <x:v>审阅或辅助文档</x:v>
      </x:c>
      <x:c r="H1234" s="19" t="n">
        <x:v>5</x:v>
      </x:c>
      <x:c r="I1234" s="19" t="n">
        <x:v>11</x:v>
      </x:c>
      <x:c r="J1234" s="19" t="n">
        <x:v>2</x:v>
      </x:c>
      <x:c r="K1234" s="16" t="str">
        <x:v>7. Very severe deterioration</x:v>
      </x:c>
      <x:c r="L1234" s="16" t="str">
        <x:v>Very likely</x:v>
      </x:c>
      <x:c r="M1234" s="16" t="str">
        <x:v>Significant</x:v>
      </x:c>
      <x:c r="N1234" s="16" t="str">
        <x:v>Urgent</x:v>
      </x:c>
    </x:row>
    <x:row r="1235" ht="37" customHeight="1">
      <x:c r="A1235" s="16" t="str">
        <x:v>RAW-01229</x:v>
      </x:c>
      <x:c r="B1235" s="16" t="str">
        <x:v>Observation</x:v>
      </x:c>
      <x:c r="C1235" s="16" t="str">
        <x:v>– Overview of verandah</x:v>
      </x:c>
      <x:c r="D1235" s="16" t="str">
        <x:v>Multipurpose Building verandah</x:v>
      </x:c>
      <x:c r="E1235" s="16" t="str">
        <x:v>SRC-064</x:v>
      </x:c>
      <x:c r="F1235" s="16" t="str">
        <x:v>OBS-0441</x:v>
      </x:c>
      <x:c r="G1235" s="16" t="str">
        <x:v>审阅或辅助文档</x:v>
      </x:c>
      <x:c r="H1235" s="19" t="n">
        <x:v>6</x:v>
      </x:c>
      <x:c r="I1235" s="19" t="n">
        <x:v>6</x:v>
      </x:c>
      <x:c r="J1235" s="19" t="n">
        <x:v>1</x:v>
      </x:c>
      <x:c r="K1235" s="16" t="str">
        <x:v>6. Severe deterioration</x:v>
      </x:c>
      <x:c r="L1235" s="16" t="str">
        <x:v>Very likely</x:v>
      </x:c>
      <x:c r="M1235" s="16" t="str">
        <x:v>Minor</x:v>
      </x:c>
      <x:c r="N1235" s="16" t="str">
        <x:v>High</x:v>
      </x:c>
    </x:row>
    <x:row r="1236" ht="37" customHeight="1">
      <x:c r="A1236" s="16" t="str">
        <x:v>RAW-01230</x:v>
      </x:c>
      <x:c r="B1236" s="16" t="str">
        <x:v>Observation</x:v>
      </x:c>
      <x:c r="C1236" s="16" t="str">
        <x:v>– Holes through steel beam.</x:v>
      </x:c>
      <x:c r="D1236" s="16" t="str">
        <x:v>Multipurpose Building verandah</x:v>
      </x:c>
      <x:c r="E1236" s="16" t="str">
        <x:v>SRC-064</x:v>
      </x:c>
      <x:c r="F1236" s="16" t="str">
        <x:v>OBS-0329</x:v>
      </x:c>
      <x:c r="G1236" s="16" t="str">
        <x:v>审阅或辅助文档</x:v>
      </x:c>
      <x:c r="H1236" s="19" t="n">
        <x:v>6</x:v>
      </x:c>
      <x:c r="I1236" s="19" t="n">
        <x:v>7</x:v>
      </x:c>
      <x:c r="J1236" s="19" t="n">
        <x:v>2</x:v>
      </x:c>
      <x:c r="K1236" s="16" t="str">
        <x:v>6. Severe deterioration</x:v>
      </x:c>
      <x:c r="L1236" s="16" t="str">
        <x:v>Very likely</x:v>
      </x:c>
      <x:c r="M1236" s="16" t="str">
        <x:v>Minor</x:v>
      </x:c>
      <x:c r="N1236" s="16" t="str">
        <x:v>High</x:v>
      </x:c>
    </x:row>
    <x:row r="1237" ht="37" customHeight="1">
      <x:c r="A1237" s="16" t="str">
        <x:v>RAW-01231</x:v>
      </x:c>
      <x:c r="B1237" s="16" t="str">
        <x:v>Recommendation</x:v>
      </x:c>
      <x:c r="C1237" s="16" t="str">
        <x:v>– Remove beam. Replacement is not required, as the element is non-structural.</x:v>
      </x:c>
      <x:c r="D1237" s="16" t="str">
        <x:v>Multipurpose Building verandah</x:v>
      </x:c>
      <x:c r="E1237" s="16" t="str">
        <x:v>SRC-064</x:v>
      </x:c>
      <x:c r="F1237" s="16" t="str"/>
      <x:c r="G1237" s="16" t="str">
        <x:v>审阅或辅助文档</x:v>
      </x:c>
      <x:c r="H1237" s="19" t="n">
        <x:v>6</x:v>
      </x:c>
      <x:c r="I1237" s="19" t="n">
        <x:v>7</x:v>
      </x:c>
      <x:c r="J1237" s="19" t="n">
        <x:v>2</x:v>
      </x:c>
      <x:c r="K1237" s="16" t="str">
        <x:v>6. Severe deterioration</x:v>
      </x:c>
      <x:c r="L1237" s="16" t="str">
        <x:v>Very likely</x:v>
      </x:c>
      <x:c r="M1237" s="16" t="str">
        <x:v>Minor</x:v>
      </x:c>
      <x:c r="N1237" s="16" t="str">
        <x:v>High</x:v>
      </x:c>
    </x:row>
    <x:row r="1238" ht="37" customHeight="1">
      <x:c r="A1238" s="16" t="str">
        <x:v>RAW-01232</x:v>
      </x:c>
      <x:c r="B1238" s="16" t="str">
        <x:v>Observation</x:v>
      </x:c>
      <x:c r="C1238" s="16" t="str">
        <x:v>– Corrosion on roof sheeting.</x:v>
      </x:c>
      <x:c r="D1238" s="16" t="str">
        <x:v>Multipurpose Building verandah</x:v>
      </x:c>
      <x:c r="E1238" s="16" t="str">
        <x:v>SRC-064</x:v>
      </x:c>
      <x:c r="F1238" s="16" t="str">
        <x:v>OBS-0233</x:v>
      </x:c>
      <x:c r="G1238" s="16" t="str">
        <x:v>审阅或辅助文档</x:v>
      </x:c>
      <x:c r="H1238" s="19" t="n">
        <x:v>6</x:v>
      </x:c>
      <x:c r="I1238" s="19" t="n">
        <x:v>9</x:v>
      </x:c>
      <x:c r="J1238" s="19" t="n">
        <x:v>1</x:v>
      </x:c>
      <x:c r="K1238" s="16" t="str">
        <x:v>6. Severe deterioration</x:v>
      </x:c>
      <x:c r="L1238" s="16" t="str">
        <x:v>Very likely</x:v>
      </x:c>
      <x:c r="M1238" s="16" t="str">
        <x:v>Minor</x:v>
      </x:c>
      <x:c r="N1238" s="16" t="str">
        <x:v>High</x:v>
      </x:c>
    </x:row>
    <x:row r="1239" ht="37" customHeight="1">
      <x:c r="A1239" s="16" t="str">
        <x:v>RAW-01233</x:v>
      </x:c>
      <x:c r="B1239" s="16" t="str">
        <x:v>Recommendation</x:v>
      </x:c>
      <x:c r="C1239" s="16" t="str">
        <x:v>– Clean, remove corrosion and repaint.</x:v>
      </x:c>
      <x:c r="D1239" s="16" t="str">
        <x:v>Multipurpose Building verandah</x:v>
      </x:c>
      <x:c r="E1239" s="16" t="str">
        <x:v>SRC-064</x:v>
      </x:c>
      <x:c r="F1239" s="16" t="str">
        <x:v>REC-0002</x:v>
      </x:c>
      <x:c r="G1239" s="16" t="str">
        <x:v>审阅或辅助文档</x:v>
      </x:c>
      <x:c r="H1239" s="19" t="n">
        <x:v>6</x:v>
      </x:c>
      <x:c r="I1239" s="19" t="n">
        <x:v>9</x:v>
      </x:c>
      <x:c r="J1239" s="19" t="n">
        <x:v>1</x:v>
      </x:c>
      <x:c r="K1239" s="16" t="str">
        <x:v>6. Severe deterioration</x:v>
      </x:c>
      <x:c r="L1239" s="16" t="str">
        <x:v>Very likely</x:v>
      </x:c>
      <x:c r="M1239" s="16" t="str">
        <x:v>Minor</x:v>
      </x:c>
      <x:c r="N1239" s="16" t="str">
        <x:v>High</x:v>
      </x:c>
    </x:row>
    <x:row r="1240" ht="37" customHeight="1">
      <x:c r="A1240" s="16" t="str">
        <x:v>RAW-01234</x:v>
      </x:c>
      <x:c r="B1240" s="16" t="str">
        <x:v>Observation</x:v>
      </x:c>
      <x:c r="C1240" s="16" t="str">
        <x:v>– Roof deformed and detached from purlin.</x:v>
      </x:c>
      <x:c r="D1240" s="16" t="str">
        <x:v>Multipurpose Building verandah</x:v>
      </x:c>
      <x:c r="E1240" s="16" t="str">
        <x:v>SRC-064</x:v>
      </x:c>
      <x:c r="F1240" s="16" t="str">
        <x:v>OBS-0513</x:v>
      </x:c>
      <x:c r="G1240" s="16" t="str">
        <x:v>审阅或辅助文档</x:v>
      </x:c>
      <x:c r="H1240" s="19" t="n">
        <x:v>6</x:v>
      </x:c>
      <x:c r="I1240" s="19" t="n">
        <x:v>10</x:v>
      </x:c>
      <x:c r="J1240" s="19" t="n">
        <x:v>2</x:v>
      </x:c>
      <x:c r="K1240" s="16" t="str">
        <x:v>6. Severe deterioration</x:v>
      </x:c>
      <x:c r="L1240" s="16" t="str">
        <x:v>Very likely</x:v>
      </x:c>
      <x:c r="M1240" s="16" t="str">
        <x:v>Minor</x:v>
      </x:c>
      <x:c r="N1240" s="16" t="str">
        <x:v>High</x:v>
      </x:c>
    </x:row>
    <x:row r="1241" ht="37" customHeight="1">
      <x:c r="A1241" s="16" t="str">
        <x:v>RAW-01235</x:v>
      </x:c>
      <x:c r="B1241" s="16" t="str">
        <x:v>Recommendation</x:v>
      </x:c>
      <x:c r="C1241" s="16" t="str">
        <x:v>– Reattach sheeting to purlin.</x:v>
      </x:c>
      <x:c r="D1241" s="16" t="str">
        <x:v>Multipurpose Building verandah</x:v>
      </x:c>
      <x:c r="E1241" s="16" t="str">
        <x:v>SRC-064</x:v>
      </x:c>
      <x:c r="F1241" s="16" t="str">
        <x:v>REC-0118</x:v>
      </x:c>
      <x:c r="G1241" s="16" t="str">
        <x:v>审阅或辅助文档</x:v>
      </x:c>
      <x:c r="H1241" s="19" t="n">
        <x:v>6</x:v>
      </x:c>
      <x:c r="I1241" s="19" t="n">
        <x:v>10</x:v>
      </x:c>
      <x:c r="J1241" s="19" t="n">
        <x:v>2</x:v>
      </x:c>
      <x:c r="K1241" s="16" t="str">
        <x:v>6. Severe deterioration</x:v>
      </x:c>
      <x:c r="L1241" s="16" t="str">
        <x:v>Very likely</x:v>
      </x:c>
      <x:c r="M1241" s="16" t="str">
        <x:v>Minor</x:v>
      </x:c>
      <x:c r="N1241" s="16" t="str">
        <x:v>High</x:v>
      </x:c>
    </x:row>
    <x:row r="1242" ht="37" customHeight="1">
      <x:c r="A1242" s="16" t="str">
        <x:v>RAW-01236</x:v>
      </x:c>
      <x:c r="B1242" s="16" t="str">
        <x:v>Observation</x:v>
      </x:c>
      <x:c r="C1242" s="16" t="str">
        <x:v>– Minor corrosion at the lower section of the post.</x:v>
      </x:c>
      <x:c r="D1242" s="16" t="str">
        <x:v>Fencing posts</x:v>
      </x:c>
      <x:c r="E1242" s="16" t="str">
        <x:v>SRC-064</x:v>
      </x:c>
      <x:c r="F1242" s="16" t="str">
        <x:v>OBS-0386</x:v>
      </x:c>
      <x:c r="G1242" s="16" t="str">
        <x:v>审阅或辅助文档</x:v>
      </x:c>
      <x:c r="H1242" s="19" t="n">
        <x:v>7</x:v>
      </x:c>
      <x:c r="I1242" s="19" t="n">
        <x:v>6</x:v>
      </x:c>
      <x:c r="J1242" s="19" t="n">
        <x:v>1</x:v>
      </x:c>
      <x:c r="K1242" s="16" t="str">
        <x:v>3. Minor deterioration</x:v>
      </x:c>
      <x:c r="L1242" s="16" t="str">
        <x:v>Unlikely</x:v>
      </x:c>
      <x:c r="M1242" s="16" t="str">
        <x:v>Moderate</x:v>
      </x:c>
      <x:c r="N1242" s="16" t="str">
        <x:v>Moderate</x:v>
      </x:c>
    </x:row>
    <x:row r="1243" ht="37" customHeight="1">
      <x:c r="A1243" s="16" t="str">
        <x:v>RAW-01237</x:v>
      </x:c>
      <x:c r="B1243" s="16" t="str">
        <x:v>Recommendation</x:v>
      </x:c>
      <x:c r="C1243" s="16" t="str">
        <x:v>– Excavate to the base of all fencing posts. Clean, remove corrosion and repaint.</x:v>
      </x:c>
      <x:c r="D1243" s="16" t="str">
        <x:v>Fencing posts</x:v>
      </x:c>
      <x:c r="E1243" s="16" t="str">
        <x:v>SRC-064</x:v>
      </x:c>
      <x:c r="F1243" s="16" t="str">
        <x:v>REC-0094</x:v>
      </x:c>
      <x:c r="G1243" s="16" t="str">
        <x:v>审阅或辅助文档</x:v>
      </x:c>
      <x:c r="H1243" s="19" t="n">
        <x:v>7</x:v>
      </x:c>
      <x:c r="I1243" s="19" t="n">
        <x:v>6</x:v>
      </x:c>
      <x:c r="J1243" s="19" t="n">
        <x:v>1</x:v>
      </x:c>
      <x:c r="K1243" s="16" t="str">
        <x:v>3. Minor deterioration</x:v>
      </x:c>
      <x:c r="L1243" s="16" t="str">
        <x:v>Unlikely</x:v>
      </x:c>
      <x:c r="M1243" s="16" t="str">
        <x:v>Moderate</x:v>
      </x:c>
      <x:c r="N1243" s="16" t="str">
        <x:v>Moderate</x:v>
      </x:c>
    </x:row>
    <x:row r="1244" ht="37" customHeight="1">
      <x:c r="A1244" s="16" t="str">
        <x:v>RAW-01238</x:v>
      </x:c>
      <x:c r="B1244" s="16" t="str">
        <x:v>Observation</x:v>
      </x:c>
      <x:c r="C1244" s="16" t="str">
        <x:v>– Minor corrosion and paint deterioration.</x:v>
      </x:c>
      <x:c r="D1244" s="16" t="str">
        <x:v>Shade structure 2</x:v>
      </x:c>
      <x:c r="E1244" s="16" t="str">
        <x:v>SRC-064</x:v>
      </x:c>
      <x:c r="F1244" s="16" t="str">
        <x:v>OBS-0379</x:v>
      </x:c>
      <x:c r="G1244" s="16" t="str">
        <x:v>审阅或辅助文档</x:v>
      </x:c>
      <x:c r="H1244" s="19" t="n">
        <x:v>8</x:v>
      </x:c>
      <x:c r="I1244" s="19" t="n">
        <x:v>6</x:v>
      </x:c>
      <x:c r="J1244" s="19" t="n">
        <x:v>2</x:v>
      </x:c>
      <x:c r="K1244" s="16" t="str">
        <x:v>3. Minor deterioration</x:v>
      </x:c>
      <x:c r="L1244" s="16" t="str">
        <x:v>Unlikely</x:v>
      </x:c>
      <x:c r="M1244" s="16" t="str">
        <x:v>Significant</x:v>
      </x:c>
      <x:c r="N1244" s="16" t="str">
        <x:v>Moderate</x:v>
      </x:c>
    </x:row>
    <x:row r="1245" ht="37" customHeight="1">
      <x:c r="A1245" s="16" t="str">
        <x:v>RAW-01239</x:v>
      </x:c>
      <x:c r="B1245" s="16" t="str">
        <x:v>Recommendation</x:v>
      </x:c>
      <x:c r="C1245" s="16" t="str">
        <x:v>– Clean, remove corrosion and repaint.</x:v>
      </x:c>
      <x:c r="D1245" s="16" t="str">
        <x:v>Shade structure 2</x:v>
      </x:c>
      <x:c r="E1245" s="16" t="str">
        <x:v>SRC-064</x:v>
      </x:c>
      <x:c r="F1245" s="16" t="str">
        <x:v>REC-0002</x:v>
      </x:c>
      <x:c r="G1245" s="16" t="str">
        <x:v>审阅或辅助文档</x:v>
      </x:c>
      <x:c r="H1245" s="19" t="n">
        <x:v>8</x:v>
      </x:c>
      <x:c r="I1245" s="19" t="n">
        <x:v>6</x:v>
      </x:c>
      <x:c r="J1245" s="19" t="n">
        <x:v>2</x:v>
      </x:c>
      <x:c r="K1245" s="16" t="str">
        <x:v>3. Minor deterioration</x:v>
      </x:c>
      <x:c r="L1245" s="16" t="str">
        <x:v>Unlikely</x:v>
      </x:c>
      <x:c r="M1245" s="16" t="str">
        <x:v>Significant</x:v>
      </x:c>
      <x:c r="N1245" s="16" t="str">
        <x:v>Moderate</x:v>
      </x:c>
    </x:row>
    <x:row r="1246" ht="37" customHeight="1">
      <x:c r="A1246" s="16" t="str">
        <x:v>RAW-01240</x:v>
      </x:c>
      <x:c r="B1246" s="16" t="str">
        <x:v>Observation</x:v>
      </x:c>
      <x:c r="C1246" s="16" t="str">
        <x:v>– Minor corrosion at connections.</x:v>
      </x:c>
      <x:c r="D1246" s="16" t="str">
        <x:v>Shade structure 2</x:v>
      </x:c>
      <x:c r="E1246" s="16" t="str">
        <x:v>SRC-064</x:v>
      </x:c>
      <x:c r="F1246" s="16" t="str">
        <x:v>OBS-0382</x:v>
      </x:c>
      <x:c r="G1246" s="16" t="str">
        <x:v>审阅或辅助文档</x:v>
      </x:c>
      <x:c r="H1246" s="19" t="n">
        <x:v>8</x:v>
      </x:c>
      <x:c r="I1246" s="19" t="n">
        <x:v>8</x:v>
      </x:c>
      <x:c r="J1246" s="19" t="n">
        <x:v>1</x:v>
      </x:c>
      <x:c r="K1246" s="16" t="str">
        <x:v>3. Minor deterioration</x:v>
      </x:c>
      <x:c r="L1246" s="16" t="str">
        <x:v>Unlikely</x:v>
      </x:c>
      <x:c r="M1246" s="16" t="str">
        <x:v>Significant</x:v>
      </x:c>
      <x:c r="N1246" s="16" t="str">
        <x:v>Moderate</x:v>
      </x:c>
    </x:row>
    <x:row r="1247" ht="37" customHeight="1">
      <x:c r="A1247" s="16" t="str">
        <x:v>RAW-01241</x:v>
      </x:c>
      <x:c r="B1247" s="16" t="str">
        <x:v>Recommendation</x:v>
      </x:c>
      <x:c r="C1247" s="16" t="str">
        <x:v>– Clean, remove corrosion and repaint.</x:v>
      </x:c>
      <x:c r="D1247" s="16" t="str">
        <x:v>Shade structure 2</x:v>
      </x:c>
      <x:c r="E1247" s="16" t="str">
        <x:v>SRC-064</x:v>
      </x:c>
      <x:c r="F1247" s="16" t="str">
        <x:v>REC-0002</x:v>
      </x:c>
      <x:c r="G1247" s="16" t="str">
        <x:v>审阅或辅助文档</x:v>
      </x:c>
      <x:c r="H1247" s="19" t="n">
        <x:v>8</x:v>
      </x:c>
      <x:c r="I1247" s="19" t="n">
        <x:v>8</x:v>
      </x:c>
      <x:c r="J1247" s="19" t="n">
        <x:v>1</x:v>
      </x:c>
      <x:c r="K1247" s="16" t="str">
        <x:v>3. Minor deterioration</x:v>
      </x:c>
      <x:c r="L1247" s="16" t="str">
        <x:v>Unlikely</x:v>
      </x:c>
      <x:c r="M1247" s="16" t="str">
        <x:v>Significant</x:v>
      </x:c>
      <x:c r="N1247" s="16" t="str">
        <x:v>Moderate</x:v>
      </x:c>
    </x:row>
    <x:row r="1248" ht="37" customHeight="1">
      <x:c r="A1248" s="16" t="str">
        <x:v>RAW-01242</x:v>
      </x:c>
      <x:c r="B1248" s="16" t="str">
        <x:v>Observation</x:v>
      </x:c>
      <x:c r="C1248" s="16" t="str">
        <x:v>– Minor corrosion on all steel elements.</x:v>
      </x:c>
      <x:c r="D1248" s="16" t="str">
        <x:v>Shade structure 2</x:v>
      </x:c>
      <x:c r="E1248" s="16" t="str">
        <x:v>SRC-064</x:v>
      </x:c>
      <x:c r="F1248" s="16" t="str">
        <x:v>OBS-0395</x:v>
      </x:c>
      <x:c r="G1248" s="16" t="str">
        <x:v>审阅或辅助文档</x:v>
      </x:c>
      <x:c r="H1248" s="19" t="n">
        <x:v>8</x:v>
      </x:c>
      <x:c r="I1248" s="19" t="n">
        <x:v>9</x:v>
      </x:c>
      <x:c r="J1248" s="19" t="n">
        <x:v>3</x:v>
      </x:c>
      <x:c r="K1248" s="16" t="str">
        <x:v>3. Minor deterioration</x:v>
      </x:c>
      <x:c r="L1248" s="16" t="str">
        <x:v>Unlikely</x:v>
      </x:c>
      <x:c r="M1248" s="16" t="str">
        <x:v>Significant</x:v>
      </x:c>
      <x:c r="N1248" s="16" t="str">
        <x:v>Moderate</x:v>
      </x:c>
    </x:row>
    <x:row r="1249" ht="37" customHeight="1">
      <x:c r="A1249" s="16" t="str">
        <x:v>RAW-01243</x:v>
      </x:c>
      <x:c r="B1249" s="16" t="str">
        <x:v>Recommendation</x:v>
      </x:c>
      <x:c r="C1249" s="16" t="str">
        <x:v>– Clean, remove corrosion and repaint.</x:v>
      </x:c>
      <x:c r="D1249" s="16" t="str">
        <x:v>Shade structure 2</x:v>
      </x:c>
      <x:c r="E1249" s="16" t="str">
        <x:v>SRC-064</x:v>
      </x:c>
      <x:c r="F1249" s="16" t="str">
        <x:v>REC-0002</x:v>
      </x:c>
      <x:c r="G1249" s="16" t="str">
        <x:v>审阅或辅助文档</x:v>
      </x:c>
      <x:c r="H1249" s="19" t="n">
        <x:v>8</x:v>
      </x:c>
      <x:c r="I1249" s="19" t="n">
        <x:v>9</x:v>
      </x:c>
      <x:c r="J1249" s="19" t="n">
        <x:v>3</x:v>
      </x:c>
      <x:c r="K1249" s="16" t="str">
        <x:v>3. Minor deterioration</x:v>
      </x:c>
      <x:c r="L1249" s="16" t="str">
        <x:v>Unlikely</x:v>
      </x:c>
      <x:c r="M1249" s="16" t="str">
        <x:v>Significant</x:v>
      </x:c>
      <x:c r="N1249" s="16" t="str">
        <x:v>Moderate</x:v>
      </x:c>
    </x:row>
    <x:row r="1250" ht="37" customHeight="1">
      <x:c r="A1250" s="16" t="str">
        <x:v>RAW-01244</x:v>
      </x:c>
      <x:c r="B1250" s="16" t="str">
        <x:v>Observation</x:v>
      </x:c>
      <x:c r="C1250" s="16" t="str">
        <x:v>– Overview of seat.</x:v>
      </x:c>
      <x:c r="D1250" s="16" t="str">
        <x:v>Front entrance seat</x:v>
      </x:c>
      <x:c r="E1250" s="16" t="str">
        <x:v>SRC-064</x:v>
      </x:c>
      <x:c r="F1250" s="16" t="str">
        <x:v>OBS-0076</x:v>
      </x:c>
      <x:c r="G1250" s="16" t="str">
        <x:v>审阅或辅助文档</x:v>
      </x:c>
      <x:c r="H1250" s="19" t="n">
        <x:v>9</x:v>
      </x:c>
      <x:c r="I1250" s="19" t="n">
        <x:v>6</x:v>
      </x:c>
      <x:c r="J1250" s="19" t="n">
        <x:v>1</x:v>
      </x:c>
      <x:c r="K1250" s="16" t="str">
        <x:v>5. Major deterioration</x:v>
      </x:c>
      <x:c r="L1250" s="16" t="str">
        <x:v>Likely</x:v>
      </x:c>
      <x:c r="M1250" s="16" t="str">
        <x:v>Minor</x:v>
      </x:c>
      <x:c r="N1250" s="16" t="str">
        <x:v>Moderate</x:v>
      </x:c>
    </x:row>
    <x:row r="1251" ht="37" customHeight="1">
      <x:c r="A1251" s="16" t="str">
        <x:v>RAW-01245</x:v>
      </x:c>
      <x:c r="B1251" s="16" t="str">
        <x:v>Observation</x:v>
      </x:c>
      <x:c r="C1251" s="16" t="str">
        <x:v>– Welds at baseplate corroded away.</x:v>
      </x:c>
      <x:c r="D1251" s="16" t="str">
        <x:v>Front entrance seat</x:v>
      </x:c>
      <x:c r="E1251" s="16" t="str">
        <x:v>SRC-064</x:v>
      </x:c>
      <x:c r="F1251" s="16" t="str">
        <x:v>OBS-0088</x:v>
      </x:c>
      <x:c r="G1251" s="16" t="str">
        <x:v>审阅或辅助文档</x:v>
      </x:c>
      <x:c r="H1251" s="19" t="n">
        <x:v>9</x:v>
      </x:c>
      <x:c r="I1251" s="19" t="n">
        <x:v>8</x:v>
      </x:c>
      <x:c r="J1251" s="19" t="n">
        <x:v>1</x:v>
      </x:c>
      <x:c r="K1251" s="16" t="str">
        <x:v>5. Major deterioration</x:v>
      </x:c>
      <x:c r="L1251" s="16" t="str">
        <x:v>Likely</x:v>
      </x:c>
      <x:c r="M1251" s="16" t="str">
        <x:v>Minor</x:v>
      </x:c>
      <x:c r="N1251" s="16" t="str">
        <x:v>Moderate</x:v>
      </x:c>
    </x:row>
    <x:row r="1252" ht="37" customHeight="1">
      <x:c r="A1252" s="16" t="str">
        <x:v>RAW-01246</x:v>
      </x:c>
      <x:c r="B1252" s="16" t="str">
        <x:v>Recommendation</x:v>
      </x:c>
      <x:c r="C1252" s="16" t="str">
        <x:v>– Reweld.</x:v>
      </x:c>
      <x:c r="D1252" s="16" t="str">
        <x:v>Front entrance seat</x:v>
      </x:c>
      <x:c r="E1252" s="16" t="str">
        <x:v>SRC-064</x:v>
      </x:c>
      <x:c r="F1252" s="16" t="str"/>
      <x:c r="G1252" s="16" t="str">
        <x:v>审阅或辅助文档</x:v>
      </x:c>
      <x:c r="H1252" s="19" t="n">
        <x:v>9</x:v>
      </x:c>
      <x:c r="I1252" s="19" t="n">
        <x:v>8</x:v>
      </x:c>
      <x:c r="J1252" s="19" t="n">
        <x:v>1</x:v>
      </x:c>
      <x:c r="K1252" s="16" t="str">
        <x:v>5. Major deterioration</x:v>
      </x:c>
      <x:c r="L1252" s="16" t="str">
        <x:v>Likely</x:v>
      </x:c>
      <x:c r="M1252" s="16" t="str">
        <x:v>Minor</x:v>
      </x:c>
      <x:c r="N1252" s="16" t="str">
        <x:v>Moderate</x:v>
      </x:c>
    </x:row>
    <x:row r="1253" ht="37" customHeight="1">
      <x:c r="A1253" s="16" t="str">
        <x:v>RAW-01247</x:v>
      </x:c>
      <x:c r="B1253" s="16" t="str">
        <x:v>Observation</x:v>
      </x:c>
      <x:c r="C1253" s="16" t="str">
        <x:v>– Overview of seat.</x:v>
      </x:c>
      <x:c r="D1253" s="16" t="str">
        <x:v>Seats</x:v>
      </x:c>
      <x:c r="E1253" s="16" t="str">
        <x:v>SRC-064</x:v>
      </x:c>
      <x:c r="F1253" s="16" t="str">
        <x:v>OBS-0076</x:v>
      </x:c>
      <x:c r="G1253" s="16" t="str">
        <x:v>审阅或辅助文档</x:v>
      </x:c>
      <x:c r="H1253" s="19" t="n">
        <x:v>10</x:v>
      </x:c>
      <x:c r="I1253" s="19" t="n">
        <x:v>6</x:v>
      </x:c>
      <x:c r="J1253" s="19" t="n">
        <x:v>1</x:v>
      </x:c>
      <x:c r="K1253" s="16" t="str">
        <x:v>4. Moderate deterioration</x:v>
      </x:c>
      <x:c r="L1253" s="16" t="str">
        <x:v>Possible</x:v>
      </x:c>
      <x:c r="M1253" s="16" t="str">
        <x:v>Minor</x:v>
      </x:c>
      <x:c r="N1253" s="16" t="str">
        <x:v>Moderate</x:v>
      </x:c>
    </x:row>
    <x:row r="1254" ht="37" customHeight="1">
      <x:c r="A1254" s="16" t="str">
        <x:v>RAW-01248</x:v>
      </x:c>
      <x:c r="B1254" s="16" t="str">
        <x:v>Observation</x:v>
      </x:c>
      <x:c r="C1254" s="16" t="str">
        <x:v>– Welds at baseplate corroded away.</x:v>
      </x:c>
      <x:c r="D1254" s="16" t="str">
        <x:v>Seats</x:v>
      </x:c>
      <x:c r="E1254" s="16" t="str">
        <x:v>SRC-064</x:v>
      </x:c>
      <x:c r="F1254" s="16" t="str">
        <x:v>OBS-0088</x:v>
      </x:c>
      <x:c r="G1254" s="16" t="str">
        <x:v>审阅或辅助文档</x:v>
      </x:c>
      <x:c r="H1254" s="19" t="n">
        <x:v>10</x:v>
      </x:c>
      <x:c r="I1254" s="19" t="n">
        <x:v>7</x:v>
      </x:c>
      <x:c r="J1254" s="19" t="n">
        <x:v>1</x:v>
      </x:c>
      <x:c r="K1254" s="16" t="str">
        <x:v>4. Moderate deterioration</x:v>
      </x:c>
      <x:c r="L1254" s="16" t="str">
        <x:v>Possible</x:v>
      </x:c>
      <x:c r="M1254" s="16" t="str">
        <x:v>Minor</x:v>
      </x:c>
      <x:c r="N1254" s="16" t="str">
        <x:v>Moderate</x:v>
      </x:c>
    </x:row>
    <x:row r="1255" ht="37" customHeight="1">
      <x:c r="A1255" s="16" t="str">
        <x:v>RAW-01249</x:v>
      </x:c>
      <x:c r="B1255" s="16" t="str">
        <x:v>Recommendation</x:v>
      </x:c>
      <x:c r="C1255" s="16" t="str">
        <x:v>– Reweld.</x:v>
      </x:c>
      <x:c r="D1255" s="16" t="str">
        <x:v>Seats</x:v>
      </x:c>
      <x:c r="E1255" s="16" t="str">
        <x:v>SRC-064</x:v>
      </x:c>
      <x:c r="F1255" s="16" t="str"/>
      <x:c r="G1255" s="16" t="str">
        <x:v>审阅或辅助文档</x:v>
      </x:c>
      <x:c r="H1255" s="19" t="n">
        <x:v>10</x:v>
      </x:c>
      <x:c r="I1255" s="19" t="n">
        <x:v>7</x:v>
      </x:c>
      <x:c r="J1255" s="19" t="n">
        <x:v>1</x:v>
      </x:c>
      <x:c r="K1255" s="16" t="str">
        <x:v>4. Moderate deterioration</x:v>
      </x:c>
      <x:c r="L1255" s="16" t="str">
        <x:v>Possible</x:v>
      </x:c>
      <x:c r="M1255" s="16" t="str">
        <x:v>Minor</x:v>
      </x:c>
      <x:c r="N1255" s="16" t="str">
        <x:v>Moderate</x:v>
      </x:c>
    </x:row>
    <x:row r="1256" ht="37" customHeight="1">
      <x:c r="A1256" s="16" t="str">
        <x:v>RAW-01250</x:v>
      </x:c>
      <x:c r="B1256" s="16" t="str">
        <x:v>Observation</x:v>
      </x:c>
      <x:c r="C1256" s="16" t="str">
        <x:v>– Timber splitting at end of rafter.</x:v>
      </x:c>
      <x:c r="D1256" s="16" t="str">
        <x:v>Childhood Centre - timber rafters</x:v>
      </x:c>
      <x:c r="E1256" s="16" t="str">
        <x:v>SRC-064</x:v>
      </x:c>
      <x:c r="F1256" s="16" t="str">
        <x:v>OBS-0596</x:v>
      </x:c>
      <x:c r="G1256" s="16" t="str">
        <x:v>审阅或辅助文档</x:v>
      </x:c>
      <x:c r="H1256" s="19" t="n">
        <x:v>11</x:v>
      </x:c>
      <x:c r="I1256" s="19" t="n">
        <x:v>6</x:v>
      </x:c>
      <x:c r="J1256" s="19" t="n">
        <x:v>1</x:v>
      </x:c>
      <x:c r="K1256" s="16" t="str">
        <x:v>3. Minor deterioration</x:v>
      </x:c>
      <x:c r="L1256" s="16" t="str">
        <x:v>Unlikely</x:v>
      </x:c>
      <x:c r="M1256" s="16" t="str">
        <x:v>Moderate</x:v>
      </x:c>
      <x:c r="N1256" s="16" t="str">
        <x:v>Moderate</x:v>
      </x:c>
    </x:row>
    <x:row r="1257" ht="37" customHeight="1">
      <x:c r="A1257" s="16" t="str">
        <x:v>RAW-01251</x:v>
      </x:c>
      <x:c r="B1257" s="16" t="str">
        <x:v>Observation</x:v>
      </x:c>
      <x:c r="C1257" s="16" t="str">
        <x:v>– Timber splitting in the middle of rafter.</x:v>
      </x:c>
      <x:c r="D1257" s="16" t="str">
        <x:v>Childhood Centre - timber rafters</x:v>
      </x:c>
      <x:c r="E1257" s="16" t="str">
        <x:v>SRC-064</x:v>
      </x:c>
      <x:c r="F1257" s="16" t="str">
        <x:v>OBS-0597</x:v>
      </x:c>
      <x:c r="G1257" s="16" t="str">
        <x:v>审阅或辅助文档</x:v>
      </x:c>
      <x:c r="H1257" s="19" t="n">
        <x:v>11</x:v>
      </x:c>
      <x:c r="I1257" s="19" t="n">
        <x:v>7</x:v>
      </x:c>
      <x:c r="J1257" s="19" t="n">
        <x:v>1</x:v>
      </x:c>
      <x:c r="K1257" s="16" t="str">
        <x:v>3. Minor deterioration</x:v>
      </x:c>
      <x:c r="L1257" s="16" t="str">
        <x:v>Unlikely</x:v>
      </x:c>
      <x:c r="M1257" s="16" t="str">
        <x:v>Moderate</x:v>
      </x:c>
      <x:c r="N1257" s="16" t="str">
        <x:v>Moderate</x:v>
      </x:c>
    </x:row>
    <x:row r="1258" ht="37" customHeight="1">
      <x:c r="A1258" s="16" t="str">
        <x:v>RAW-01252</x:v>
      </x:c>
      <x:c r="B1258" s="16" t="str">
        <x:v>Recommendation</x:v>
      </x:c>
      <x:c r="C1258" s="16" t="str">
        <x:v>– Replace timber rafter.</x:v>
      </x:c>
      <x:c r="D1258" s="16" t="str">
        <x:v>Childhood Centre - timber rafters</x:v>
      </x:c>
      <x:c r="E1258" s="16" t="str">
        <x:v>SRC-064</x:v>
      </x:c>
      <x:c r="F1258" s="16" t="str">
        <x:v>REC-0044</x:v>
      </x:c>
      <x:c r="G1258" s="16" t="str">
        <x:v>审阅或辅助文档</x:v>
      </x:c>
      <x:c r="H1258" s="19" t="n">
        <x:v>11</x:v>
      </x:c>
      <x:c r="I1258" s="19" t="n">
        <x:v>7</x:v>
      </x:c>
      <x:c r="J1258" s="19" t="n">
        <x:v>1</x:v>
      </x:c>
      <x:c r="K1258" s="16" t="str">
        <x:v>3. Minor deterioration</x:v>
      </x:c>
      <x:c r="L1258" s="16" t="str">
        <x:v>Unlikely</x:v>
      </x:c>
      <x:c r="M1258" s="16" t="str">
        <x:v>Moderate</x:v>
      </x:c>
      <x:c r="N1258" s="16" t="str">
        <x:v>Moderate</x:v>
      </x:c>
    </x:row>
    <x:row r="1259" ht="37" customHeight="1">
      <x:c r="A1259" s="16" t="str">
        <x:v>RAW-01253</x:v>
      </x:c>
      <x:c r="B1259" s="16" t="str">
        <x:v>Observation</x:v>
      </x:c>
      <x:c r="C1259" s="16" t="str">
        <x:v>– Timber splitting at end of rafter.</x:v>
      </x:c>
      <x:c r="D1259" s="16" t="str">
        <x:v>Childhood Centre - timber rafters</x:v>
      </x:c>
      <x:c r="E1259" s="16" t="str">
        <x:v>SRC-064</x:v>
      </x:c>
      <x:c r="F1259" s="16" t="str">
        <x:v>OBS-0596</x:v>
      </x:c>
      <x:c r="G1259" s="16" t="str">
        <x:v>审阅或辅助文档</x:v>
      </x:c>
      <x:c r="H1259" s="19" t="n">
        <x:v>11</x:v>
      </x:c>
      <x:c r="I1259" s="19" t="n">
        <x:v>8</x:v>
      </x:c>
      <x:c r="J1259" s="19" t="n">
        <x:v>1</x:v>
      </x:c>
      <x:c r="K1259" s="16" t="str">
        <x:v>3. Minor deterioration</x:v>
      </x:c>
      <x:c r="L1259" s="16" t="str">
        <x:v>Unlikely</x:v>
      </x:c>
      <x:c r="M1259" s="16" t="str">
        <x:v>Moderate</x:v>
      </x:c>
      <x:c r="N1259" s="16" t="str">
        <x:v>Moderate</x:v>
      </x:c>
    </x:row>
    <x:row r="1260" ht="37" customHeight="1">
      <x:c r="A1260" s="16" t="str">
        <x:v>RAW-01254</x:v>
      </x:c>
      <x:c r="B1260" s="16" t="str">
        <x:v>Observation</x:v>
      </x:c>
      <x:c r="C1260" s="16" t="str">
        <x:v>– Facing the east end of the building.</x:v>
      </x:c>
      <x:c r="D1260" s="16" t="str">
        <x:v>Childhood Centre - timber rafters</x:v>
      </x:c>
      <x:c r="E1260" s="16" t="str">
        <x:v>SRC-064</x:v>
      </x:c>
      <x:c r="F1260" s="16" t="str">
        <x:v>OBS-0258</x:v>
      </x:c>
      <x:c r="G1260" s="16" t="str">
        <x:v>审阅或辅助文档</x:v>
      </x:c>
      <x:c r="H1260" s="19" t="n">
        <x:v>11</x:v>
      </x:c>
      <x:c r="I1260" s="19" t="n">
        <x:v>9</x:v>
      </x:c>
      <x:c r="J1260" s="19" t="n">
        <x:v>1</x:v>
      </x:c>
      <x:c r="K1260" s="16" t="str">
        <x:v>3. Minor deterioration</x:v>
      </x:c>
      <x:c r="L1260" s="16" t="str">
        <x:v>Unlikely</x:v>
      </x:c>
      <x:c r="M1260" s="16" t="str">
        <x:v>Moderate</x:v>
      </x:c>
      <x:c r="N1260" s="16" t="str">
        <x:v>Moderate</x:v>
      </x:c>
    </x:row>
    <x:row r="1261" ht="37" customHeight="1">
      <x:c r="A1261" s="16" t="str">
        <x:v>RAW-01255</x:v>
      </x:c>
      <x:c r="B1261" s="16" t="str">
        <x:v>Observation</x:v>
      </x:c>
      <x:c r="C1261" s="16" t="str">
        <x:v>– Splitting timber at the end of rafter.</x:v>
      </x:c>
      <x:c r="D1261" s="16" t="str">
        <x:v>Childhood Centre - timber rafters</x:v>
      </x:c>
      <x:c r="E1261" s="16" t="str">
        <x:v>SRC-064</x:v>
      </x:c>
      <x:c r="F1261" s="16" t="str">
        <x:v>OBS-0578</x:v>
      </x:c>
      <x:c r="G1261" s="16" t="str">
        <x:v>审阅或辅助文档</x:v>
      </x:c>
      <x:c r="H1261" s="19" t="n">
        <x:v>11</x:v>
      </x:c>
      <x:c r="I1261" s="19" t="n">
        <x:v>10</x:v>
      </x:c>
      <x:c r="J1261" s="19" t="n">
        <x:v>1</x:v>
      </x:c>
      <x:c r="K1261" s="16" t="str">
        <x:v>3. Minor deterioration</x:v>
      </x:c>
      <x:c r="L1261" s="16" t="str">
        <x:v>Unlikely</x:v>
      </x:c>
      <x:c r="M1261" s="16" t="str">
        <x:v>Moderate</x:v>
      </x:c>
      <x:c r="N1261" s="16" t="str">
        <x:v>Moderate</x:v>
      </x:c>
    </x:row>
    <x:row r="1262" ht="37" customHeight="1">
      <x:c r="A1262" s="16" t="str">
        <x:v>RAW-01256</x:v>
      </x:c>
      <x:c r="B1262" s="16" t="str">
        <x:v>Observation</x:v>
      </x:c>
      <x:c r="C1262" s="16" t="str">
        <x:v>– Hole in timber.</x:v>
      </x:c>
      <x:c r="D1262" s="16" t="str">
        <x:v>Childhood Centre - timber rafters</x:v>
      </x:c>
      <x:c r="E1262" s="16" t="str">
        <x:v>SRC-064</x:v>
      </x:c>
      <x:c r="F1262" s="16" t="str">
        <x:v>OBS-0326</x:v>
      </x:c>
      <x:c r="G1262" s="16" t="str">
        <x:v>审阅或辅助文档</x:v>
      </x:c>
      <x:c r="H1262" s="19" t="n">
        <x:v>11</x:v>
      </x:c>
      <x:c r="I1262" s="19" t="n">
        <x:v>11</x:v>
      </x:c>
      <x:c r="J1262" s="19" t="n">
        <x:v>2</x:v>
      </x:c>
      <x:c r="K1262" s="16" t="str">
        <x:v>3. Minor deterioration</x:v>
      </x:c>
      <x:c r="L1262" s="16" t="str">
        <x:v>Unlikely</x:v>
      </x:c>
      <x:c r="M1262" s="16" t="str">
        <x:v>Moderate</x:v>
      </x:c>
      <x:c r="N1262" s="16" t="str">
        <x:v>Moderate</x:v>
      </x:c>
    </x:row>
    <x:row r="1263" ht="37" customHeight="1">
      <x:c r="A1263" s="16" t="str">
        <x:v>RAW-01257</x:v>
      </x:c>
      <x:c r="B1263" s="16" t="str">
        <x:v>Recommendation</x:v>
      </x:c>
      <x:c r="C1263" s="16" t="str">
        <x:v>– Replace timber rafter.</x:v>
      </x:c>
      <x:c r="D1263" s="16" t="str">
        <x:v>Childhood Centre - timber rafters</x:v>
      </x:c>
      <x:c r="E1263" s="16" t="str">
        <x:v>SRC-064</x:v>
      </x:c>
      <x:c r="F1263" s="16" t="str">
        <x:v>REC-0044</x:v>
      </x:c>
      <x:c r="G1263" s="16" t="str">
        <x:v>审阅或辅助文档</x:v>
      </x:c>
      <x:c r="H1263" s="19" t="n">
        <x:v>11</x:v>
      </x:c>
      <x:c r="I1263" s="19" t="n">
        <x:v>11</x:v>
      </x:c>
      <x:c r="J1263" s="19" t="n">
        <x:v>2</x:v>
      </x:c>
      <x:c r="K1263" s="16" t="str">
        <x:v>3. Minor deterioration</x:v>
      </x:c>
      <x:c r="L1263" s="16" t="str">
        <x:v>Unlikely</x:v>
      </x:c>
      <x:c r="M1263" s="16" t="str">
        <x:v>Moderate</x:v>
      </x:c>
      <x:c r="N1263" s="16" t="str">
        <x:v>Moderate</x:v>
      </x:c>
    </x:row>
    <x:row r="1264" ht="37" customHeight="1">
      <x:c r="A1264" s="16" t="str">
        <x:v>RAW-01258</x:v>
      </x:c>
      <x:c r="B1264" s="16" t="str">
        <x:v>Observation</x:v>
      </x:c>
      <x:c r="C1264" s="16" t="str">
        <x:v>– Swing overview.</x:v>
      </x:c>
      <x:c r="D1264" s="16" t="str">
        <x:v>Swing</x:v>
      </x:c>
      <x:c r="E1264" s="16" t="str">
        <x:v>SRC-064</x:v>
      </x:c>
      <x:c r="F1264" s="16" t="str">
        <x:v>OBS-0589</x:v>
      </x:c>
      <x:c r="G1264" s="16" t="str">
        <x:v>审阅或辅助文档</x:v>
      </x:c>
      <x:c r="H1264" s="19" t="n">
        <x:v>12</x:v>
      </x:c>
      <x:c r="I1264" s="19" t="n">
        <x:v>6</x:v>
      </x:c>
      <x:c r="J1264" s="19" t="n">
        <x:v>1</x:v>
      </x:c>
      <x:c r="K1264" s="16" t="str">
        <x:v>3. Minor corrosion</x:v>
      </x:c>
      <x:c r="L1264" s="16" t="str">
        <x:v>Unlikely</x:v>
      </x:c>
      <x:c r="M1264" s="16" t="str">
        <x:v>Minor</x:v>
      </x:c>
      <x:c r="N1264" s="16" t="str">
        <x:v>Low</x:v>
      </x:c>
    </x:row>
    <x:row r="1265" ht="37" customHeight="1">
      <x:c r="A1265" s="16" t="str">
        <x:v>RAW-01259</x:v>
      </x:c>
      <x:c r="B1265" s="16" t="str">
        <x:v>Observation</x:v>
      </x:c>
      <x:c r="C1265" s="16" t="str">
        <x:v>– Minor corrosion on lower section of the struts.</x:v>
      </x:c>
      <x:c r="D1265" s="16" t="str">
        <x:v>Swing</x:v>
      </x:c>
      <x:c r="E1265" s="16" t="str">
        <x:v>SRC-064</x:v>
      </x:c>
      <x:c r="F1265" s="16" t="str">
        <x:v>OBS-0399</x:v>
      </x:c>
      <x:c r="G1265" s="16" t="str">
        <x:v>审阅或辅助文档</x:v>
      </x:c>
      <x:c r="H1265" s="19" t="n">
        <x:v>12</x:v>
      </x:c>
      <x:c r="I1265" s="19" t="n">
        <x:v>7</x:v>
      </x:c>
      <x:c r="J1265" s="19" t="n">
        <x:v>3</x:v>
      </x:c>
      <x:c r="K1265" s="16" t="str">
        <x:v>3. Minor corrosion</x:v>
      </x:c>
      <x:c r="L1265" s="16" t="str">
        <x:v>Unlikely</x:v>
      </x:c>
      <x:c r="M1265" s="16" t="str">
        <x:v>Minor</x:v>
      </x:c>
      <x:c r="N1265" s="16" t="str">
        <x:v>Low</x:v>
      </x:c>
    </x:row>
    <x:row r="1266" ht="37" customHeight="1">
      <x:c r="A1266" s="16" t="str">
        <x:v>RAW-01260</x:v>
      </x:c>
      <x:c r="B1266" s="16" t="str">
        <x:v>Recommendation</x:v>
      </x:c>
      <x:c r="C1266" s="16" t="str">
        <x:v>– Excavate until base of strut is reached. Clean, remove corrosion and repaint.</x:v>
      </x:c>
      <x:c r="D1266" s="16" t="str">
        <x:v>Swing</x:v>
      </x:c>
      <x:c r="E1266" s="16" t="str">
        <x:v>SRC-064</x:v>
      </x:c>
      <x:c r="F1266" s="16" t="str">
        <x:v>REC-0096</x:v>
      </x:c>
      <x:c r="G1266" s="16" t="str">
        <x:v>审阅或辅助文档</x:v>
      </x:c>
      <x:c r="H1266" s="19" t="n">
        <x:v>12</x:v>
      </x:c>
      <x:c r="I1266" s="19" t="n">
        <x:v>7</x:v>
      </x:c>
      <x:c r="J1266" s="19" t="n">
        <x:v>3</x:v>
      </x:c>
      <x:c r="K1266" s="16" t="str">
        <x:v>3. Minor corrosion</x:v>
      </x:c>
      <x:c r="L1266" s="16" t="str">
        <x:v>Unlikely</x:v>
      </x:c>
      <x:c r="M1266" s="16" t="str">
        <x:v>Minor</x:v>
      </x:c>
      <x:c r="N1266" s="16" t="str">
        <x:v>Low</x:v>
      </x:c>
    </x:row>
    <x:row r="1267" ht="37" customHeight="1">
      <x:c r="A1267" s="16" t="str">
        <x:v>RAW-01261</x:v>
      </x:c>
      <x:c r="B1267" s="16" t="str">
        <x:v>Observation</x:v>
      </x:c>
      <x:c r="C1267" s="16" t="str">
        <x:v>– Overview of the North side of Multipurpose building.</x:v>
      </x:c>
      <x:c r="D1267" s="16" t="str">
        <x:v>Multipurpose Building - roof beams</x:v>
      </x:c>
      <x:c r="E1267" s="16" t="str">
        <x:v>SRC-064</x:v>
      </x:c>
      <x:c r="F1267" s="16" t="str">
        <x:v>OBS-0439</x:v>
      </x:c>
      <x:c r="G1267" s="16" t="str">
        <x:v>审阅或辅助文档</x:v>
      </x:c>
      <x:c r="H1267" s="19" t="n">
        <x:v>13</x:v>
      </x:c>
      <x:c r="I1267" s="19" t="n">
        <x:v>6</x:v>
      </x:c>
      <x:c r="J1267" s="19" t="n">
        <x:v>1</x:v>
      </x:c>
      <x:c r="K1267" s="16" t="str">
        <x:v>3. Minor deterioration</x:v>
      </x:c>
      <x:c r="L1267" s="16" t="str">
        <x:v>Unlikely</x:v>
      </x:c>
      <x:c r="M1267" s="16" t="str">
        <x:v>Minor</x:v>
      </x:c>
      <x:c r="N1267" s="16" t="str">
        <x:v>Low</x:v>
      </x:c>
    </x:row>
    <x:row r="1268" ht="37" customHeight="1">
      <x:c r="A1268" s="16" t="str">
        <x:v>RAW-01262</x:v>
      </x:c>
      <x:c r="B1268" s="16" t="str">
        <x:v>Observation</x:v>
      </x:c>
      <x:c r="C1268" s="16" t="str">
        <x:v>– Corrosion on roof beams.</x:v>
      </x:c>
      <x:c r="D1268" s="16" t="str">
        <x:v>Multipurpose Building - roof beams</x:v>
      </x:c>
      <x:c r="E1268" s="16" t="str">
        <x:v>SRC-064</x:v>
      </x:c>
      <x:c r="F1268" s="16" t="str">
        <x:v>OBS-0047</x:v>
      </x:c>
      <x:c r="G1268" s="16" t="str">
        <x:v>审阅或辅助文档</x:v>
      </x:c>
      <x:c r="H1268" s="19" t="n">
        <x:v>13</x:v>
      </x:c>
      <x:c r="I1268" s="19" t="n">
        <x:v>7</x:v>
      </x:c>
      <x:c r="J1268" s="19" t="n">
        <x:v>2</x:v>
      </x:c>
      <x:c r="K1268" s="16" t="str">
        <x:v>3. Minor deterioration</x:v>
      </x:c>
      <x:c r="L1268" s="16" t="str">
        <x:v>Unlikely</x:v>
      </x:c>
      <x:c r="M1268" s="16" t="str">
        <x:v>Minor</x:v>
      </x:c>
      <x:c r="N1268" s="16" t="str">
        <x:v>Low</x:v>
      </x:c>
    </x:row>
    <x:row r="1269" ht="37" customHeight="1">
      <x:c r="A1269" s="16" t="str">
        <x:v>RAW-01263</x:v>
      </x:c>
      <x:c r="B1269" s="16" t="str">
        <x:v>Recommendation</x:v>
      </x:c>
      <x:c r="C1269" s="16" t="str">
        <x:v>– Clean, remove corrosion and repaint.</x:v>
      </x:c>
      <x:c r="D1269" s="16" t="str">
        <x:v>Multipurpose Building - roof beams</x:v>
      </x:c>
      <x:c r="E1269" s="16" t="str">
        <x:v>SRC-064</x:v>
      </x:c>
      <x:c r="F1269" s="16" t="str">
        <x:v>REC-0002</x:v>
      </x:c>
      <x:c r="G1269" s="16" t="str">
        <x:v>审阅或辅助文档</x:v>
      </x:c>
      <x:c r="H1269" s="19" t="n">
        <x:v>13</x:v>
      </x:c>
      <x:c r="I1269" s="19" t="n">
        <x:v>7</x:v>
      </x:c>
      <x:c r="J1269" s="19" t="n">
        <x:v>2</x:v>
      </x:c>
      <x:c r="K1269" s="16" t="str">
        <x:v>3. Minor deterioration</x:v>
      </x:c>
      <x:c r="L1269" s="16" t="str">
        <x:v>Unlikely</x:v>
      </x:c>
      <x:c r="M1269" s="16" t="str">
        <x:v>Minor</x:v>
      </x:c>
      <x:c r="N1269" s="16" t="str">
        <x:v>Low</x:v>
      </x:c>
    </x:row>
    <x:row r="1270" ht="37" customHeight="1">
      <x:c r="A1270" s="16" t="str">
        <x:v>RAW-01264</x:v>
      </x:c>
      <x:c r="B1270" s="16" t="str">
        <x:v>Observation</x:v>
      </x:c>
      <x:c r="C1270" s="16" t="str">
        <x:v>– Corrosion on roof beams.</x:v>
      </x:c>
      <x:c r="D1270" s="16" t="str">
        <x:v>Multipurpose Building - roof beams</x:v>
      </x:c>
      <x:c r="E1270" s="16" t="str">
        <x:v>SRC-064</x:v>
      </x:c>
      <x:c r="F1270" s="16" t="str">
        <x:v>OBS-0047</x:v>
      </x:c>
      <x:c r="G1270" s="16" t="str">
        <x:v>审阅或辅助文档</x:v>
      </x:c>
      <x:c r="H1270" s="19" t="n">
        <x:v>13</x:v>
      </x:c>
      <x:c r="I1270" s="19" t="n">
        <x:v>9</x:v>
      </x:c>
      <x:c r="J1270" s="19" t="n">
        <x:v>1</x:v>
      </x:c>
      <x:c r="K1270" s="16" t="str">
        <x:v>3. Minor deterioration</x:v>
      </x:c>
      <x:c r="L1270" s="16" t="str">
        <x:v>Unlikely</x:v>
      </x:c>
      <x:c r="M1270" s="16" t="str">
        <x:v>Minor</x:v>
      </x:c>
      <x:c r="N1270" s="16" t="str">
        <x:v>Low</x:v>
      </x:c>
    </x:row>
    <x:row r="1271" ht="37" customHeight="1">
      <x:c r="A1271" s="16" t="str">
        <x:v>RAW-01265</x:v>
      </x:c>
      <x:c r="B1271" s="16" t="str">
        <x:v>Recommendation</x:v>
      </x:c>
      <x:c r="C1271" s="16" t="str">
        <x:v>– Clean, remove corrosion and repaint.</x:v>
      </x:c>
      <x:c r="D1271" s="16" t="str">
        <x:v>Multipurpose Building - roof beams</x:v>
      </x:c>
      <x:c r="E1271" s="16" t="str">
        <x:v>SRC-064</x:v>
      </x:c>
      <x:c r="F1271" s="16" t="str">
        <x:v>REC-0002</x:v>
      </x:c>
      <x:c r="G1271" s="16" t="str">
        <x:v>审阅或辅助文档</x:v>
      </x:c>
      <x:c r="H1271" s="19" t="n">
        <x:v>13</x:v>
      </x:c>
      <x:c r="I1271" s="19" t="n">
        <x:v>9</x:v>
      </x:c>
      <x:c r="J1271" s="19" t="n">
        <x:v>1</x:v>
      </x:c>
      <x:c r="K1271" s="16" t="str">
        <x:v>3. Minor deterioration</x:v>
      </x:c>
      <x:c r="L1271" s="16" t="str">
        <x:v>Unlikely</x:v>
      </x:c>
      <x:c r="M1271" s="16" t="str">
        <x:v>Minor</x:v>
      </x:c>
      <x:c r="N1271" s="16" t="str">
        <x:v>Low</x:v>
      </x:c>
    </x:row>
    <x:row r="1272" ht="37" customHeight="1">
      <x:c r="A1272" s="16" t="str">
        <x:v>RAW-01266</x:v>
      </x:c>
      <x:c r="B1272" s="16" t="str">
        <x:v>Observation</x:v>
      </x:c>
      <x:c r="C1272" s="16" t="str">
        <x:v>– verandah overview.</x:v>
      </x:c>
      <x:c r="D1272" s="16" t="str">
        <x:v>Standalone verandah</x:v>
      </x:c>
      <x:c r="E1272" s="16" t="str">
        <x:v>SRC-064</x:v>
      </x:c>
      <x:c r="F1272" s="16" t="str">
        <x:v>OBS-0090</x:v>
      </x:c>
      <x:c r="G1272" s="16" t="str">
        <x:v>审阅或辅助文档</x:v>
      </x:c>
      <x:c r="H1272" s="19" t="n">
        <x:v>14</x:v>
      </x:c>
      <x:c r="I1272" s="19" t="n">
        <x:v>6</x:v>
      </x:c>
      <x:c r="J1272" s="19" t="n">
        <x:v>1</x:v>
      </x:c>
      <x:c r="K1272" s="16" t="str">
        <x:v>3. Minor corrosion</x:v>
      </x:c>
      <x:c r="L1272" s="16" t="str">
        <x:v>Unlikely</x:v>
      </x:c>
      <x:c r="M1272" s="16" t="str">
        <x:v>Significant</x:v>
      </x:c>
      <x:c r="N1272" s="16" t="str">
        <x:v>Low</x:v>
      </x:c>
    </x:row>
    <x:row r="1273" ht="37" customHeight="1">
      <x:c r="A1273" s="16" t="str">
        <x:v>RAW-01267</x:v>
      </x:c>
      <x:c r="B1273" s="16" t="str">
        <x:v>Observation</x:v>
      </x:c>
      <x:c r="C1273" s="16" t="str">
        <x:v>– Minor corrosion on roof sheeting.</x:v>
      </x:c>
      <x:c r="D1273" s="16" t="str">
        <x:v>Standalone verandah</x:v>
      </x:c>
      <x:c r="E1273" s="16" t="str">
        <x:v>SRC-064</x:v>
      </x:c>
      <x:c r="F1273" s="16" t="str">
        <x:v>OBS-0066</x:v>
      </x:c>
      <x:c r="G1273" s="16" t="str">
        <x:v>审阅或辅助文档</x:v>
      </x:c>
      <x:c r="H1273" s="19" t="n">
        <x:v>14</x:v>
      </x:c>
      <x:c r="I1273" s="19" t="n">
        <x:v>7</x:v>
      </x:c>
      <x:c r="J1273" s="19" t="n">
        <x:v>1</x:v>
      </x:c>
      <x:c r="K1273" s="16" t="str">
        <x:v>3. Minor corrosion</x:v>
      </x:c>
      <x:c r="L1273" s="16" t="str">
        <x:v>Unlikely</x:v>
      </x:c>
      <x:c r="M1273" s="16" t="str">
        <x:v>Significant</x:v>
      </x:c>
      <x:c r="N1273" s="16" t="str">
        <x:v>Low</x:v>
      </x:c>
    </x:row>
    <x:row r="1274" ht="37" customHeight="1">
      <x:c r="A1274" s="16" t="str">
        <x:v>RAW-01268</x:v>
      </x:c>
      <x:c r="B1274" s="16" t="str">
        <x:v>Observation</x:v>
      </x:c>
      <x:c r="C1274" s="16" t="str">
        <x:v>– Row 3 Column 1. Minor corrosion on roof sheeting.</x:v>
      </x:c>
      <x:c r="D1274" s="16" t="str">
        <x:v>Standalone verandah</x:v>
      </x:c>
      <x:c r="E1274" s="16" t="str">
        <x:v>SRC-064</x:v>
      </x:c>
      <x:c r="F1274" s="16" t="str">
        <x:v>OBS-0536</x:v>
      </x:c>
      <x:c r="G1274" s="16" t="str">
        <x:v>审阅或辅助文档</x:v>
      </x:c>
      <x:c r="H1274" s="19" t="n">
        <x:v>14</x:v>
      </x:c>
      <x:c r="I1274" s="19" t="n">
        <x:v>8</x:v>
      </x:c>
      <x:c r="J1274" s="19" t="n">
        <x:v>1</x:v>
      </x:c>
      <x:c r="K1274" s="16" t="str">
        <x:v>3. Minor corrosion</x:v>
      </x:c>
      <x:c r="L1274" s="16" t="str">
        <x:v>Unlikely</x:v>
      </x:c>
      <x:c r="M1274" s="16" t="str">
        <x:v>Significant</x:v>
      </x:c>
      <x:c r="N1274" s="16" t="str">
        <x:v>Low</x:v>
      </x:c>
    </x:row>
    <x:row r="1275" ht="37" customHeight="1">
      <x:c r="A1275" s="16" t="str">
        <x:v>RAW-01269</x:v>
      </x:c>
      <x:c r="B1275" s="16" t="str">
        <x:v>Recommendation</x:v>
      </x:c>
      <x:c r="C1275" s="16" t="str">
        <x:v>– Clean, remove corrosion and repaint.</x:v>
      </x:c>
      <x:c r="D1275" s="16" t="str">
        <x:v>Standalone verandah</x:v>
      </x:c>
      <x:c r="E1275" s="16" t="str">
        <x:v>SRC-064</x:v>
      </x:c>
      <x:c r="F1275" s="16" t="str">
        <x:v>REC-0002</x:v>
      </x:c>
      <x:c r="G1275" s="16" t="str">
        <x:v>审阅或辅助文档</x:v>
      </x:c>
      <x:c r="H1275" s="19" t="n">
        <x:v>14</x:v>
      </x:c>
      <x:c r="I1275" s="19" t="n">
        <x:v>8</x:v>
      </x:c>
      <x:c r="J1275" s="19" t="n">
        <x:v>1</x:v>
      </x:c>
      <x:c r="K1275" s="16" t="str">
        <x:v>3. Minor corrosion</x:v>
      </x:c>
      <x:c r="L1275" s="16" t="str">
        <x:v>Unlikely</x:v>
      </x:c>
      <x:c r="M1275" s="16" t="str">
        <x:v>Significant</x:v>
      </x:c>
      <x:c r="N1275" s="16" t="str">
        <x:v>Low</x:v>
      </x:c>
    </x:row>
    <x:row r="1276" ht="37" customHeight="1">
      <x:c r="A1276" s="16" t="str">
        <x:v>RAW-01270</x:v>
      </x:c>
      <x:c r="B1276" s="16" t="str">
        <x:v>Observation</x:v>
      </x:c>
      <x:c r="C1276" s="16" t="str">
        <x:v>– Row 1 Column 1. Footing cracking at column.</x:v>
      </x:c>
      <x:c r="D1276" s="16" t="str">
        <x:v>Standalone verandah</x:v>
      </x:c>
      <x:c r="E1276" s="16" t="str">
        <x:v>SRC-064</x:v>
      </x:c>
      <x:c r="F1276" s="16" t="str">
        <x:v>OBS-0520</x:v>
      </x:c>
      <x:c r="G1276" s="16" t="str">
        <x:v>审阅或辅助文档</x:v>
      </x:c>
      <x:c r="H1276" s="19" t="n">
        <x:v>14</x:v>
      </x:c>
      <x:c r="I1276" s="19" t="n">
        <x:v>9</x:v>
      </x:c>
      <x:c r="J1276" s="19" t="n">
        <x:v>1</x:v>
      </x:c>
      <x:c r="K1276" s="16" t="str">
        <x:v>3. Minor corrosion</x:v>
      </x:c>
      <x:c r="L1276" s="16" t="str">
        <x:v>Unlikely</x:v>
      </x:c>
      <x:c r="M1276" s="16" t="str">
        <x:v>Significant</x:v>
      </x:c>
      <x:c r="N1276" s="16" t="str">
        <x:v>Low</x:v>
      </x:c>
    </x:row>
    <x:row r="1277" ht="37" customHeight="1">
      <x:c r="A1277" s="16" t="str">
        <x:v>RAW-01271</x:v>
      </x:c>
      <x:c r="B1277" s="16" t="str">
        <x:v>Recommendation</x:v>
      </x:c>
      <x:c r="C1277" s="16" t="str">
        <x:v>– None.</x:v>
      </x:c>
      <x:c r="D1277" s="16" t="str">
        <x:v>Standalone verandah</x:v>
      </x:c>
      <x:c r="E1277" s="16" t="str">
        <x:v>SRC-064</x:v>
      </x:c>
      <x:c r="F1277" s="16" t="str">
        <x:v>REC-0003</x:v>
      </x:c>
      <x:c r="G1277" s="16" t="str">
        <x:v>审阅或辅助文档</x:v>
      </x:c>
      <x:c r="H1277" s="19" t="n">
        <x:v>14</x:v>
      </x:c>
      <x:c r="I1277" s="19" t="n">
        <x:v>9</x:v>
      </x:c>
      <x:c r="J1277" s="19" t="n">
        <x:v>1</x:v>
      </x:c>
      <x:c r="K1277" s="16" t="str">
        <x:v>3. Minor corrosion</x:v>
      </x:c>
      <x:c r="L1277" s="16" t="str">
        <x:v>Unlikely</x:v>
      </x:c>
      <x:c r="M1277" s="16" t="str">
        <x:v>Significant</x:v>
      </x:c>
      <x:c r="N1277" s="16" t="str">
        <x:v>Low</x:v>
      </x:c>
    </x:row>
    <x:row r="1278" ht="37" customHeight="1">
      <x:c r="A1278" s="16" t="str">
        <x:v>RAW-01272</x:v>
      </x:c>
      <x:c r="B1278" s="16" t="str">
        <x:v>Observation</x:v>
      </x:c>
      <x:c r="C1278" s="16" t="str">
        <x:v>– Verandah overview.</x:v>
      </x:c>
      <x:c r="D1278" s="16" t="str">
        <x:v>Multipurpose Building verandah</x:v>
      </x:c>
      <x:c r="E1278" s="16" t="str">
        <x:v>SRC-064</x:v>
      </x:c>
      <x:c r="F1278" s="16" t="str">
        <x:v>OBS-0090</x:v>
      </x:c>
      <x:c r="G1278" s="16" t="str">
        <x:v>审阅或辅助文档</x:v>
      </x:c>
      <x:c r="H1278" s="19" t="n">
        <x:v>15</x:v>
      </x:c>
      <x:c r="I1278" s="19" t="n">
        <x:v>6</x:v>
      </x:c>
      <x:c r="J1278" s="19" t="n">
        <x:v>1</x:v>
      </x:c>
      <x:c r="K1278" s="16" t="str">
        <x:v>2. New with slight deterioration</x:v>
      </x:c>
      <x:c r="L1278" s="16" t="str">
        <x:v>Very unlikely</x:v>
      </x:c>
      <x:c r="M1278" s="16" t="str">
        <x:v>Significant</x:v>
      </x:c>
      <x:c r="N1278" s="16" t="str">
        <x:v>Low</x:v>
      </x:c>
    </x:row>
    <x:row r="1279" ht="37" customHeight="1">
      <x:c r="A1279" s="16" t="str">
        <x:v>RAW-01273</x:v>
      </x:c>
      <x:c r="B1279" s="16" t="str">
        <x:v>Observation</x:v>
      </x:c>
      <x:c r="C1279" s="16" t="str">
        <x:v>– Paint deterioration on all steel elements.</x:v>
      </x:c>
      <x:c r="D1279" s="16" t="str">
        <x:v>Multipurpose Building verandah</x:v>
      </x:c>
      <x:c r="E1279" s="16" t="str">
        <x:v>SRC-064</x:v>
      </x:c>
      <x:c r="F1279" s="16" t="str">
        <x:v>OBS-0448</x:v>
      </x:c>
      <x:c r="G1279" s="16" t="str">
        <x:v>审阅或辅助文档</x:v>
      </x:c>
      <x:c r="H1279" s="19" t="n">
        <x:v>15</x:v>
      </x:c>
      <x:c r="I1279" s="19" t="n">
        <x:v>7</x:v>
      </x:c>
      <x:c r="J1279" s="19" t="n">
        <x:v>1</x:v>
      </x:c>
      <x:c r="K1279" s="16" t="str">
        <x:v>2. New with slight deterioration</x:v>
      </x:c>
      <x:c r="L1279" s="16" t="str">
        <x:v>Very unlikely</x:v>
      </x:c>
      <x:c r="M1279" s="16" t="str">
        <x:v>Significant</x:v>
      </x:c>
      <x:c r="N1279" s="16" t="str">
        <x:v>Low</x:v>
      </x:c>
    </x:row>
    <x:row r="1280" ht="37" customHeight="1">
      <x:c r="A1280" s="16" t="str">
        <x:v>RAW-01274</x:v>
      </x:c>
      <x:c r="B1280" s="16" t="str">
        <x:v>Recommendation</x:v>
      </x:c>
      <x:c r="C1280" s="16" t="str">
        <x:v>– Clean and repaint.</x:v>
      </x:c>
      <x:c r="D1280" s="16" t="str">
        <x:v>Multipurpose Building verandah</x:v>
      </x:c>
      <x:c r="E1280" s="16" t="str">
        <x:v>SRC-064</x:v>
      </x:c>
      <x:c r="F1280" s="16" t="str">
        <x:v>REC-0006</x:v>
      </x:c>
      <x:c r="G1280" s="16" t="str">
        <x:v>审阅或辅助文档</x:v>
      </x:c>
      <x:c r="H1280" s="19" t="n">
        <x:v>15</x:v>
      </x:c>
      <x:c r="I1280" s="19" t="n">
        <x:v>7</x:v>
      </x:c>
      <x:c r="J1280" s="19" t="n">
        <x:v>1</x:v>
      </x:c>
      <x:c r="K1280" s="16" t="str">
        <x:v>2. New with slight deterioration</x:v>
      </x:c>
      <x:c r="L1280" s="16" t="str">
        <x:v>Very unlikely</x:v>
      </x:c>
      <x:c r="M1280" s="16" t="str">
        <x:v>Significant</x:v>
      </x:c>
      <x:c r="N1280" s="16" t="str">
        <x:v>Low</x:v>
      </x:c>
    </x:row>
    <x:row r="1281" ht="37" customHeight="1">
      <x:c r="A1281" s="16" t="str">
        <x:v>RAW-01275</x:v>
      </x:c>
      <x:c r="B1281" s="16" t="str">
        <x:v>Observation</x:v>
      </x:c>
      <x:c r="C1281" s="16" t="str">
        <x:v>– Salt staining on purlins.</x:v>
      </x:c>
      <x:c r="D1281" s="16" t="str">
        <x:v>Multipurpose Building verandah</x:v>
      </x:c>
      <x:c r="E1281" s="16" t="str">
        <x:v>SRC-064</x:v>
      </x:c>
      <x:c r="F1281" s="16" t="str">
        <x:v>OBS-0549</x:v>
      </x:c>
      <x:c r="G1281" s="16" t="str">
        <x:v>审阅或辅助文档</x:v>
      </x:c>
      <x:c r="H1281" s="19" t="n">
        <x:v>15</x:v>
      </x:c>
      <x:c r="I1281" s="19" t="n">
        <x:v>8</x:v>
      </x:c>
      <x:c r="J1281" s="19" t="n">
        <x:v>1</x:v>
      </x:c>
      <x:c r="K1281" s="16" t="str">
        <x:v>2. New with slight deterioration</x:v>
      </x:c>
      <x:c r="L1281" s="16" t="str">
        <x:v>Very unlikely</x:v>
      </x:c>
      <x:c r="M1281" s="16" t="str">
        <x:v>Significant</x:v>
      </x:c>
      <x:c r="N1281" s="16" t="str">
        <x:v>Low</x:v>
      </x:c>
    </x:row>
    <x:row r="1282" ht="37" customHeight="1">
      <x:c r="A1282" s="16" t="str">
        <x:v>RAW-01276</x:v>
      </x:c>
      <x:c r="B1282" s="16" t="str">
        <x:v>Recommendation</x:v>
      </x:c>
      <x:c r="C1282" s="16" t="str">
        <x:v>– Clean and repaint.</x:v>
      </x:c>
      <x:c r="D1282" s="16" t="str">
        <x:v>Multipurpose Building verandah</x:v>
      </x:c>
      <x:c r="E1282" s="16" t="str">
        <x:v>SRC-064</x:v>
      </x:c>
      <x:c r="F1282" s="16" t="str">
        <x:v>REC-0006</x:v>
      </x:c>
      <x:c r="G1282" s="16" t="str">
        <x:v>审阅或辅助文档</x:v>
      </x:c>
      <x:c r="H1282" s="19" t="n">
        <x:v>15</x:v>
      </x:c>
      <x:c r="I1282" s="19" t="n">
        <x:v>8</x:v>
      </x:c>
      <x:c r="J1282" s="19" t="n">
        <x:v>1</x:v>
      </x:c>
      <x:c r="K1282" s="16" t="str">
        <x:v>2. New with slight deterioration</x:v>
      </x:c>
      <x:c r="L1282" s="16" t="str">
        <x:v>Very unlikely</x:v>
      </x:c>
      <x:c r="M1282" s="16" t="str">
        <x:v>Significant</x:v>
      </x:c>
      <x:c r="N1282" s="16" t="str">
        <x:v>Low</x:v>
      </x:c>
    </x:row>
    <x:row r="1283" ht="37" customHeight="1">
      <x:c r="A1283" s="16" t="str">
        <x:v>RAW-01277</x:v>
      </x:c>
      <x:c r="B1283" s="16" t="str">
        <x:v>Observation</x:v>
      </x:c>
      <x:c r="C1283" s="16" t="str">
        <x:v>– Minor corrosion on steel truss.</x:v>
      </x:c>
      <x:c r="D1283" s="16" t="str">
        <x:v>Multipurpose Building verandah</x:v>
      </x:c>
      <x:c r="E1283" s="16" t="str">
        <x:v>SRC-064</x:v>
      </x:c>
      <x:c r="F1283" s="16" t="str">
        <x:v>OBS-0400</x:v>
      </x:c>
      <x:c r="G1283" s="16" t="str">
        <x:v>审阅或辅助文档</x:v>
      </x:c>
      <x:c r="H1283" s="19" t="n">
        <x:v>15</x:v>
      </x:c>
      <x:c r="I1283" s="19" t="n">
        <x:v>9</x:v>
      </x:c>
      <x:c r="J1283" s="19" t="n">
        <x:v>1</x:v>
      </x:c>
      <x:c r="K1283" s="16" t="str">
        <x:v>2. New with slight deterioration</x:v>
      </x:c>
      <x:c r="L1283" s="16" t="str">
        <x:v>Very unlikely</x:v>
      </x:c>
      <x:c r="M1283" s="16" t="str">
        <x:v>Significant</x:v>
      </x:c>
      <x:c r="N1283" s="16" t="str">
        <x:v>Low</x:v>
      </x:c>
    </x:row>
    <x:row r="1284" ht="37" customHeight="1">
      <x:c r="A1284" s="16" t="str">
        <x:v>RAW-01278</x:v>
      </x:c>
      <x:c r="B1284" s="16" t="str">
        <x:v>Recommendation</x:v>
      </x:c>
      <x:c r="C1284" s="16" t="str">
        <x:v>– Clean, remove corrosion and repaint.</x:v>
      </x:c>
      <x:c r="D1284" s="16" t="str">
        <x:v>Multipurpose Building verandah</x:v>
      </x:c>
      <x:c r="E1284" s="16" t="str">
        <x:v>SRC-064</x:v>
      </x:c>
      <x:c r="F1284" s="16" t="str">
        <x:v>REC-0002</x:v>
      </x:c>
      <x:c r="G1284" s="16" t="str">
        <x:v>审阅或辅助文档</x:v>
      </x:c>
      <x:c r="H1284" s="19" t="n">
        <x:v>15</x:v>
      </x:c>
      <x:c r="I1284" s="19" t="n">
        <x:v>9</x:v>
      </x:c>
      <x:c r="J1284" s="19" t="n">
        <x:v>1</x:v>
      </x:c>
      <x:c r="K1284" s="16" t="str">
        <x:v>2. New with slight deterioration</x:v>
      </x:c>
      <x:c r="L1284" s="16" t="str">
        <x:v>Very unlikely</x:v>
      </x:c>
      <x:c r="M1284" s="16" t="str">
        <x:v>Significant</x:v>
      </x:c>
      <x:c r="N1284" s="16" t="str">
        <x:v>Low</x:v>
      </x:c>
    </x:row>
    <x:row r="1285" ht="37" customHeight="1">
      <x:c r="A1285" s="16" t="str">
        <x:v>RAW-01279</x:v>
      </x:c>
      <x:c r="B1285" s="16" t="str">
        <x:v>Observation</x:v>
      </x:c>
      <x:c r="C1285" s="16" t="str">
        <x:v>– Overview of fencing.</x:v>
      </x:c>
      <x:c r="D1285" s="16" t="str">
        <x:v>Multipurpose Building verandah</x:v>
      </x:c>
      <x:c r="E1285" s="16" t="str">
        <x:v>SRC-064</x:v>
      </x:c>
      <x:c r="F1285" s="16" t="str">
        <x:v>OBS-0428</x:v>
      </x:c>
      <x:c r="G1285" s="16" t="str">
        <x:v>审阅或辅助文档</x:v>
      </x:c>
      <x:c r="H1285" s="19" t="n">
        <x:v>15</x:v>
      </x:c>
      <x:c r="I1285" s="19" t="n">
        <x:v>10</x:v>
      </x:c>
      <x:c r="J1285" s="19" t="n">
        <x:v>1</x:v>
      </x:c>
      <x:c r="K1285" s="16" t="str">
        <x:v>2. New with slight deterioration</x:v>
      </x:c>
      <x:c r="L1285" s="16" t="str">
        <x:v>Very unlikely</x:v>
      </x:c>
      <x:c r="M1285" s="16" t="str">
        <x:v>Significant</x:v>
      </x:c>
      <x:c r="N1285" s="16" t="str">
        <x:v>Low</x:v>
      </x:c>
    </x:row>
    <x:row r="1286" ht="37" customHeight="1">
      <x:c r="A1286" s="16" t="str">
        <x:v>RAW-01280</x:v>
      </x:c>
      <x:c r="B1286" s="16" t="str">
        <x:v>Observation</x:v>
      </x:c>
      <x:c r="C1286" s="16" t="str">
        <x:v>– Flaking corrosion on baseplate.</x:v>
      </x:c>
      <x:c r="D1286" s="16" t="str">
        <x:v>Multipurpose Building verandah</x:v>
      </x:c>
      <x:c r="E1286" s="16" t="str">
        <x:v>SRC-064</x:v>
      </x:c>
      <x:c r="F1286" s="16" t="str"/>
      <x:c r="G1286" s="16" t="str">
        <x:v>审阅或辅助文档</x:v>
      </x:c>
      <x:c r="H1286" s="19" t="n">
        <x:v>15</x:v>
      </x:c>
      <x:c r="I1286" s="19" t="n">
        <x:v>11</x:v>
      </x:c>
      <x:c r="J1286" s="19" t="n">
        <x:v>1</x:v>
      </x:c>
      <x:c r="K1286" s="16" t="str">
        <x:v>2. New with slight deterioration</x:v>
      </x:c>
      <x:c r="L1286" s="16" t="str">
        <x:v>Very unlikely</x:v>
      </x:c>
      <x:c r="M1286" s="16" t="str">
        <x:v>Significant</x:v>
      </x:c>
      <x:c r="N1286" s="16" t="str">
        <x:v>Low</x:v>
      </x:c>
    </x:row>
    <x:row r="1287" ht="37" customHeight="1">
      <x:c r="A1287" s="16" t="str">
        <x:v>RAW-01281</x:v>
      </x:c>
      <x:c r="B1287" s="16" t="str">
        <x:v>Recommendation</x:v>
      </x:c>
      <x:c r="C1287" s="16" t="str">
        <x:v>– Clean, remove corrosion and repaint.</x:v>
      </x:c>
      <x:c r="D1287" s="16" t="str">
        <x:v>Multipurpose Building verandah</x:v>
      </x:c>
      <x:c r="E1287" s="16" t="str">
        <x:v>SRC-064</x:v>
      </x:c>
      <x:c r="F1287" s="16" t="str">
        <x:v>REC-0002</x:v>
      </x:c>
      <x:c r="G1287" s="16" t="str">
        <x:v>审阅或辅助文档</x:v>
      </x:c>
      <x:c r="H1287" s="19" t="n">
        <x:v>15</x:v>
      </x:c>
      <x:c r="I1287" s="19" t="n">
        <x:v>11</x:v>
      </x:c>
      <x:c r="J1287" s="19" t="n">
        <x:v>1</x:v>
      </x:c>
      <x:c r="K1287" s="16" t="str">
        <x:v>2. New with slight deterioration</x:v>
      </x:c>
      <x:c r="L1287" s="16" t="str">
        <x:v>Very unlikely</x:v>
      </x:c>
      <x:c r="M1287" s="16" t="str">
        <x:v>Significant</x:v>
      </x:c>
      <x:c r="N1287" s="16" t="str">
        <x:v>Low</x:v>
      </x:c>
    </x:row>
    <x:row r="1288" ht="37" customHeight="1">
      <x:c r="A1288" s="16" t="str">
        <x:v>RAW-01282</x:v>
      </x:c>
      <x:c r="B1288" s="16" t="str">
        <x:v>Observation</x:v>
      </x:c>
      <x:c r="C1288" s="16" t="str">
        <x:v>– corrosion at connection.</x:v>
      </x:c>
      <x:c r="D1288" s="16" t="str">
        <x:v>Multipurpose Building verandah</x:v>
      </x:c>
      <x:c r="E1288" s="16" t="str">
        <x:v>SRC-064</x:v>
      </x:c>
      <x:c r="F1288" s="16" t="str">
        <x:v>OBS-0614</x:v>
      </x:c>
      <x:c r="G1288" s="16" t="str">
        <x:v>审阅或辅助文档</x:v>
      </x:c>
      <x:c r="H1288" s="19" t="n">
        <x:v>15</x:v>
      </x:c>
      <x:c r="I1288" s="19" t="n">
        <x:v>12</x:v>
      </x:c>
      <x:c r="J1288" s="19" t="n">
        <x:v>1</x:v>
      </x:c>
      <x:c r="K1288" s="16" t="str">
        <x:v>2. New with slight deterioration</x:v>
      </x:c>
      <x:c r="L1288" s="16" t="str">
        <x:v>Very unlikely</x:v>
      </x:c>
      <x:c r="M1288" s="16" t="str">
        <x:v>Significant</x:v>
      </x:c>
      <x:c r="N1288" s="16" t="str">
        <x:v>Low</x:v>
      </x:c>
    </x:row>
    <x:row r="1289" ht="37" customHeight="1">
      <x:c r="A1289" s="16" t="str">
        <x:v>RAW-01283</x:v>
      </x:c>
      <x:c r="B1289" s="16" t="str">
        <x:v>Recommendation</x:v>
      </x:c>
      <x:c r="C1289" s="16" t="str">
        <x:v>– Clean, remove corrosion and repaint.</x:v>
      </x:c>
      <x:c r="D1289" s="16" t="str">
        <x:v>Multipurpose Building verandah</x:v>
      </x:c>
      <x:c r="E1289" s="16" t="str">
        <x:v>SRC-064</x:v>
      </x:c>
      <x:c r="F1289" s="16" t="str">
        <x:v>REC-0002</x:v>
      </x:c>
      <x:c r="G1289" s="16" t="str">
        <x:v>审阅或辅助文档</x:v>
      </x:c>
      <x:c r="H1289" s="19" t="n">
        <x:v>15</x:v>
      </x:c>
      <x:c r="I1289" s="19" t="n">
        <x:v>12</x:v>
      </x:c>
      <x:c r="J1289" s="19" t="n">
        <x:v>1</x:v>
      </x:c>
      <x:c r="K1289" s="16" t="str">
        <x:v>2. New with slight deterioration</x:v>
      </x:c>
      <x:c r="L1289" s="16" t="str">
        <x:v>Very unlikely</x:v>
      </x:c>
      <x:c r="M1289" s="16" t="str">
        <x:v>Significant</x:v>
      </x:c>
      <x:c r="N1289" s="16" t="str">
        <x:v>Low</x:v>
      </x:c>
    </x:row>
    <x:row r="1290" ht="37" customHeight="1">
      <x:c r="A1290" s="16" t="str">
        <x:v>RAW-01284</x:v>
      </x:c>
      <x:c r="B1290" s="16" t="str">
        <x:v>Observation</x:v>
      </x:c>
      <x:c r="C1290" s="16" t="str">
        <x:v>– Blocked drain allowing water to pool at steel elements. Staining has occurred where water is pooling.</x:v>
      </x:c>
      <x:c r="D1290" s="16" t="str">
        <x:v>Drain</x:v>
      </x:c>
      <x:c r="E1290" s="16" t="str">
        <x:v>SRC-064</x:v>
      </x:c>
      <x:c r="F1290" s="16" t="str">
        <x:v>OBS-0145</x:v>
      </x:c>
      <x:c r="G1290" s="16" t="str">
        <x:v>审阅或辅助文档</x:v>
      </x:c>
      <x:c r="H1290" s="19" t="n">
        <x:v>16</x:v>
      </x:c>
      <x:c r="I1290" s="19" t="n">
        <x:v>6</x:v>
      </x:c>
      <x:c r="J1290" s="19" t="n">
        <x:v>3</x:v>
      </x:c>
      <x:c r="K1290" s="16" t="str">
        <x:v>3. Minor deterioration</x:v>
      </x:c>
      <x:c r="L1290" s="16" t="str">
        <x:v>Unlikely</x:v>
      </x:c>
      <x:c r="M1290" s="16" t="str">
        <x:v>Minor</x:v>
      </x:c>
      <x:c r="N1290" s="16" t="str">
        <x:v>Low</x:v>
      </x:c>
    </x:row>
    <x:row r="1291" ht="37" customHeight="1">
      <x:c r="A1291" s="16" t="str">
        <x:v>RAW-01285</x:v>
      </x:c>
      <x:c r="B1291" s="16" t="str">
        <x:v>Recommendation</x:v>
      </x:c>
      <x:c r="C1291" s="16" t="str">
        <x:v>– Remove debris from the drain.</x:v>
      </x:c>
      <x:c r="D1291" s="16" t="str">
        <x:v>Drain</x:v>
      </x:c>
      <x:c r="E1291" s="16" t="str">
        <x:v>SRC-064</x:v>
      </x:c>
      <x:c r="F1291" s="16" t="str">
        <x:v>REC-0129</x:v>
      </x:c>
      <x:c r="G1291" s="16" t="str">
        <x:v>审阅或辅助文档</x:v>
      </x:c>
      <x:c r="H1291" s="19" t="n">
        <x:v>16</x:v>
      </x:c>
      <x:c r="I1291" s="19" t="n">
        <x:v>6</x:v>
      </x:c>
      <x:c r="J1291" s="19" t="n">
        <x:v>3</x:v>
      </x:c>
      <x:c r="K1291" s="16" t="str">
        <x:v>3. Minor deterioration</x:v>
      </x:c>
      <x:c r="L1291" s="16" t="str">
        <x:v>Unlikely</x:v>
      </x:c>
      <x:c r="M1291" s="16" t="str">
        <x:v>Minor</x:v>
      </x:c>
      <x:c r="N1291" s="16" t="str">
        <x:v>Low</x:v>
      </x:c>
    </x:row>
    <x:row r="1292" ht="37" customHeight="1">
      <x:c r="A1292" s="16" t="str">
        <x:v>RAW-01286</x:v>
      </x:c>
      <x:c r="B1292" s="16" t="str">
        <x:v>Observation</x:v>
      </x:c>
      <x:c r="C1292" s="16" t="str">
        <x:v>– Reentry crack on footpath.</x:v>
      </x:c>
      <x:c r="D1292" s="16" t="str">
        <x:v>Footpath</x:v>
      </x:c>
      <x:c r="E1292" s="16" t="str">
        <x:v>SRC-064</x:v>
      </x:c>
      <x:c r="F1292" s="16" t="str"/>
      <x:c r="G1292" s="16" t="str">
        <x:v>审阅或辅助文档</x:v>
      </x:c>
      <x:c r="H1292" s="19" t="n">
        <x:v>17</x:v>
      </x:c>
      <x:c r="I1292" s="19" t="n">
        <x:v>6</x:v>
      </x:c>
      <x:c r="J1292" s="19" t="n">
        <x:v>1</x:v>
      </x:c>
      <x:c r="K1292" s="16" t="str">
        <x:v>3. Minor deterioration</x:v>
      </x:c>
      <x:c r="L1292" s="16" t="str">
        <x:v>Unlikely</x:v>
      </x:c>
      <x:c r="M1292" s="16" t="str">
        <x:v>Minor</x:v>
      </x:c>
      <x:c r="N1292" s="16" t="str">
        <x:v>Low</x:v>
      </x:c>
    </x:row>
    <x:row r="1293" ht="37" customHeight="1">
      <x:c r="A1293" s="16" t="str">
        <x:v>RAW-01287</x:v>
      </x:c>
      <x:c r="B1293" s="16" t="str">
        <x:v>Observation</x:v>
      </x:c>
      <x:c r="C1293" s="16" t="str">
        <x:v>– Cracking on concrete footpath.</x:v>
      </x:c>
      <x:c r="D1293" s="16" t="str">
        <x:v>Footpath</x:v>
      </x:c>
      <x:c r="E1293" s="16" t="str">
        <x:v>SRC-064</x:v>
      </x:c>
      <x:c r="F1293" s="16" t="str">
        <x:v>OBS-0243</x:v>
      </x:c>
      <x:c r="G1293" s="16" t="str">
        <x:v>审阅或辅助文档</x:v>
      </x:c>
      <x:c r="H1293" s="19" t="n">
        <x:v>17</x:v>
      </x:c>
      <x:c r="I1293" s="19" t="n">
        <x:v>7</x:v>
      </x:c>
      <x:c r="J1293" s="19" t="n">
        <x:v>2</x:v>
      </x:c>
      <x:c r="K1293" s="16" t="str">
        <x:v>3. Minor deterioration</x:v>
      </x:c>
      <x:c r="L1293" s="16" t="str">
        <x:v>Unlikely</x:v>
      </x:c>
      <x:c r="M1293" s="16" t="str">
        <x:v>Minor</x:v>
      </x:c>
      <x:c r="N1293" s="16" t="str">
        <x:v>Low</x:v>
      </x:c>
    </x:row>
    <x:row r="1294" ht="37" customHeight="1">
      <x:c r="A1294" s="16" t="str">
        <x:v>RAW-01288</x:v>
      </x:c>
      <x:c r="B1294" s="16" t="str">
        <x:v>Recommendation</x:v>
      </x:c>
      <x:c r="C1294" s="16" t="str">
        <x:v>– Monitor cracking.</x:v>
      </x:c>
      <x:c r="D1294" s="16" t="str">
        <x:v>Footpath</x:v>
      </x:c>
      <x:c r="E1294" s="16" t="str">
        <x:v>SRC-064</x:v>
      </x:c>
      <x:c r="F1294" s="16" t="str">
        <x:v>REC-0111</x:v>
      </x:c>
      <x:c r="G1294" s="16" t="str">
        <x:v>审阅或辅助文档</x:v>
      </x:c>
      <x:c r="H1294" s="19" t="n">
        <x:v>17</x:v>
      </x:c>
      <x:c r="I1294" s="19" t="n">
        <x:v>7</x:v>
      </x:c>
      <x:c r="J1294" s="19" t="n">
        <x:v>2</x:v>
      </x:c>
      <x:c r="K1294" s="16" t="str">
        <x:v>3. Minor deterioration</x:v>
      </x:c>
      <x:c r="L1294" s="16" t="str">
        <x:v>Unlikely</x:v>
      </x:c>
      <x:c r="M1294" s="16" t="str">
        <x:v>Minor</x:v>
      </x:c>
      <x:c r="N1294" s="16" t="str">
        <x:v>Low</x:v>
      </x:c>
    </x:row>
    <x:row r="1295" ht="37" customHeight="1">
      <x:c r="A1295" s="16" t="str">
        <x:v>RAW-01289</x:v>
      </x:c>
      <x:c r="B1295" s="16" t="str">
        <x:v>Observation</x:v>
      </x:c>
      <x:c r="C1295" s="16" t="str">
        <x:v>– Overview of shade structure.</x:v>
      </x:c>
      <x:c r="D1295" s="16" t="str">
        <x:v>Shade structure 1</x:v>
      </x:c>
      <x:c r="E1295" s="16" t="str">
        <x:v>SRC-064</x:v>
      </x:c>
      <x:c r="F1295" s="16" t="str">
        <x:v>OBS-0437</x:v>
      </x:c>
      <x:c r="G1295" s="16" t="str">
        <x:v>审阅或辅助文档</x:v>
      </x:c>
      <x:c r="H1295" s="19" t="n">
        <x:v>18</x:v>
      </x:c>
      <x:c r="I1295" s="19" t="n">
        <x:v>6</x:v>
      </x:c>
      <x:c r="J1295" s="19" t="n">
        <x:v>1</x:v>
      </x:c>
      <x:c r="K1295" s="16" t="str">
        <x:v>2. New with slight deterioration</x:v>
      </x:c>
      <x:c r="L1295" s="16" t="str">
        <x:v>Very unlikely</x:v>
      </x:c>
      <x:c r="M1295" s="16" t="str">
        <x:v>Significant</x:v>
      </x:c>
      <x:c r="N1295" s="16" t="str">
        <x:v>Low</x:v>
      </x:c>
    </x:row>
    <x:row r="1296" ht="37" customHeight="1">
      <x:c r="A1296" s="16" t="str">
        <x:v>RAW-01290</x:v>
      </x:c>
      <x:c r="B1296" s="16" t="str">
        <x:v>Observation</x:v>
      </x:c>
      <x:c r="C1296" s="16" t="str">
        <x:v>– Row 2 Column 1. Minor corrosion of bolt and washer.</x:v>
      </x:c>
      <x:c r="D1296" s="16" t="str">
        <x:v>Shade structure 1</x:v>
      </x:c>
      <x:c r="E1296" s="16" t="str">
        <x:v>SRC-064</x:v>
      </x:c>
      <x:c r="F1296" s="16" t="str">
        <x:v>OBS-0527</x:v>
      </x:c>
      <x:c r="G1296" s="16" t="str">
        <x:v>审阅或辅助文档</x:v>
      </x:c>
      <x:c r="H1296" s="19" t="n">
        <x:v>18</x:v>
      </x:c>
      <x:c r="I1296" s="19" t="n">
        <x:v>7</x:v>
      </x:c>
      <x:c r="J1296" s="19" t="n">
        <x:v>1</x:v>
      </x:c>
      <x:c r="K1296" s="16" t="str">
        <x:v>2. New with slight deterioration</x:v>
      </x:c>
      <x:c r="L1296" s="16" t="str">
        <x:v>Very unlikely</x:v>
      </x:c>
      <x:c r="M1296" s="16" t="str">
        <x:v>Significant</x:v>
      </x:c>
      <x:c r="N1296" s="16" t="str">
        <x:v>Low</x:v>
      </x:c>
    </x:row>
    <x:row r="1297" ht="37" customHeight="1">
      <x:c r="A1297" s="16" t="str">
        <x:v>RAW-01291</x:v>
      </x:c>
      <x:c r="B1297" s="16" t="str">
        <x:v>Recommendation</x:v>
      </x:c>
      <x:c r="C1297" s="16" t="str">
        <x:v>– Clean, remove corrosion and repaint.</x:v>
      </x:c>
      <x:c r="D1297" s="16" t="str">
        <x:v>Shade structure 1</x:v>
      </x:c>
      <x:c r="E1297" s="16" t="str">
        <x:v>SRC-064</x:v>
      </x:c>
      <x:c r="F1297" s="16" t="str">
        <x:v>REC-0002</x:v>
      </x:c>
      <x:c r="G1297" s="16" t="str">
        <x:v>审阅或辅助文档</x:v>
      </x:c>
      <x:c r="H1297" s="19" t="n">
        <x:v>18</x:v>
      </x:c>
      <x:c r="I1297" s="19" t="n">
        <x:v>7</x:v>
      </x:c>
      <x:c r="J1297" s="19" t="n">
        <x:v>1</x:v>
      </x:c>
      <x:c r="K1297" s="16" t="str">
        <x:v>2. New with slight deterioration</x:v>
      </x:c>
      <x:c r="L1297" s="16" t="str">
        <x:v>Very unlikely</x:v>
      </x:c>
      <x:c r="M1297" s="16" t="str">
        <x:v>Significant</x:v>
      </x:c>
      <x:c r="N1297" s="16" t="str">
        <x:v>Low</x:v>
      </x:c>
    </x:row>
    <x:row r="1298" ht="37" customHeight="1">
      <x:c r="A1298" s="16" t="str">
        <x:v>RAW-01292</x:v>
      </x:c>
      <x:c r="B1298" s="16" t="str">
        <x:v>Observation</x:v>
      </x:c>
      <x:c r="C1298" s="16" t="str">
        <x:v>– Row 3 Column 1. Minor corrosion of bolt and washer.</x:v>
      </x:c>
      <x:c r="D1298" s="16" t="str">
        <x:v>Shade structure 1</x:v>
      </x:c>
      <x:c r="E1298" s="16" t="str">
        <x:v>SRC-064</x:v>
      </x:c>
      <x:c r="F1298" s="16" t="str">
        <x:v>OBS-0535</x:v>
      </x:c>
      <x:c r="G1298" s="16" t="str">
        <x:v>审阅或辅助文档</x:v>
      </x:c>
      <x:c r="H1298" s="19" t="n">
        <x:v>18</x:v>
      </x:c>
      <x:c r="I1298" s="19" t="n">
        <x:v>8</x:v>
      </x:c>
      <x:c r="J1298" s="19" t="n">
        <x:v>1</x:v>
      </x:c>
      <x:c r="K1298" s="16" t="str">
        <x:v>2. New with slight deterioration</x:v>
      </x:c>
      <x:c r="L1298" s="16" t="str">
        <x:v>Very unlikely</x:v>
      </x:c>
      <x:c r="M1298" s="16" t="str">
        <x:v>Significant</x:v>
      </x:c>
      <x:c r="N1298" s="16" t="str">
        <x:v>Low</x:v>
      </x:c>
    </x:row>
    <x:row r="1299" ht="37" customHeight="1">
      <x:c r="A1299" s="16" t="str">
        <x:v>RAW-01293</x:v>
      </x:c>
      <x:c r="B1299" s="16" t="str">
        <x:v>Recommendation</x:v>
      </x:c>
      <x:c r="C1299" s="16" t="str">
        <x:v>– Clean, remove corrosion and repaint.</x:v>
      </x:c>
      <x:c r="D1299" s="16" t="str">
        <x:v>Shade structure 1</x:v>
      </x:c>
      <x:c r="E1299" s="16" t="str">
        <x:v>SRC-064</x:v>
      </x:c>
      <x:c r="F1299" s="16" t="str">
        <x:v>REC-0002</x:v>
      </x:c>
      <x:c r="G1299" s="16" t="str">
        <x:v>审阅或辅助文档</x:v>
      </x:c>
      <x:c r="H1299" s="19" t="n">
        <x:v>18</x:v>
      </x:c>
      <x:c r="I1299" s="19" t="n">
        <x:v>8</x:v>
      </x:c>
      <x:c r="J1299" s="19" t="n">
        <x:v>1</x:v>
      </x:c>
      <x:c r="K1299" s="16" t="str">
        <x:v>2. New with slight deterioration</x:v>
      </x:c>
      <x:c r="L1299" s="16" t="str">
        <x:v>Very unlikely</x:v>
      </x:c>
      <x:c r="M1299" s="16" t="str">
        <x:v>Significant</x:v>
      </x:c>
      <x:c r="N1299" s="16" t="str">
        <x:v>Low</x:v>
      </x:c>
    </x:row>
    <x:row r="1300" ht="37" customHeight="1">
      <x:c r="A1300" s="16" t="str">
        <x:v>RAW-01294</x:v>
      </x:c>
      <x:c r="B1300" s="16" t="str">
        <x:v>Observation</x:v>
      </x:c>
      <x:c r="C1300" s="16" t="str">
        <x:v>– Row 4 Column 1. Minor corrosion of bolt and washer.</x:v>
      </x:c>
      <x:c r="D1300" s="16" t="str">
        <x:v>Shade structure 1</x:v>
      </x:c>
      <x:c r="E1300" s="16" t="str">
        <x:v>SRC-064</x:v>
      </x:c>
      <x:c r="F1300" s="16" t="str">
        <x:v>OBS-0539</x:v>
      </x:c>
      <x:c r="G1300" s="16" t="str">
        <x:v>审阅或辅助文档</x:v>
      </x:c>
      <x:c r="H1300" s="19" t="n">
        <x:v>18</x:v>
      </x:c>
      <x:c r="I1300" s="19" t="n">
        <x:v>9</x:v>
      </x:c>
      <x:c r="J1300" s="19" t="n">
        <x:v>1</x:v>
      </x:c>
      <x:c r="K1300" s="16" t="str">
        <x:v>2. New with slight deterioration</x:v>
      </x:c>
      <x:c r="L1300" s="16" t="str">
        <x:v>Very unlikely</x:v>
      </x:c>
      <x:c r="M1300" s="16" t="str">
        <x:v>Significant</x:v>
      </x:c>
      <x:c r="N1300" s="16" t="str">
        <x:v>Low</x:v>
      </x:c>
    </x:row>
    <x:row r="1301" ht="37" customHeight="1">
      <x:c r="A1301" s="16" t="str">
        <x:v>RAW-01295</x:v>
      </x:c>
      <x:c r="B1301" s="16" t="str">
        <x:v>Recommendation</x:v>
      </x:c>
      <x:c r="C1301" s="16" t="str">
        <x:v>– Clean, remove corrosion and repaint.</x:v>
      </x:c>
      <x:c r="D1301" s="16" t="str">
        <x:v>Shade structure 1</x:v>
      </x:c>
      <x:c r="E1301" s="16" t="str">
        <x:v>SRC-064</x:v>
      </x:c>
      <x:c r="F1301" s="16" t="str">
        <x:v>REC-0002</x:v>
      </x:c>
      <x:c r="G1301" s="16" t="str">
        <x:v>审阅或辅助文档</x:v>
      </x:c>
      <x:c r="H1301" s="19" t="n">
        <x:v>18</x:v>
      </x:c>
      <x:c r="I1301" s="19" t="n">
        <x:v>9</x:v>
      </x:c>
      <x:c r="J1301" s="19" t="n">
        <x:v>1</x:v>
      </x:c>
      <x:c r="K1301" s="16" t="str">
        <x:v>2. New with slight deterioration</x:v>
      </x:c>
      <x:c r="L1301" s="16" t="str">
        <x:v>Very unlikely</x:v>
      </x:c>
      <x:c r="M1301" s="16" t="str">
        <x:v>Significant</x:v>
      </x:c>
      <x:c r="N1301" s="16" t="str">
        <x:v>Low</x:v>
      </x:c>
    </x:row>
    <x:row r="1302" ht="37" customHeight="1">
      <x:c r="A1302" s="16" t="str">
        <x:v>RAW-01296</x:v>
      </x:c>
      <x:c r="B1302" s="16" t="str">
        <x:v>Observation</x:v>
      </x:c>
      <x:c r="C1302" s="16" t="str">
        <x:v>– Typical paint deterioration on all columns.</x:v>
      </x:c>
      <x:c r="D1302" s="16" t="str">
        <x:v>Shade structure 1</x:v>
      </x:c>
      <x:c r="E1302" s="16" t="str">
        <x:v>SRC-064</x:v>
      </x:c>
      <x:c r="F1302" s="16" t="str">
        <x:v>OBS-0599</x:v>
      </x:c>
      <x:c r="G1302" s="16" t="str">
        <x:v>审阅或辅助文档</x:v>
      </x:c>
      <x:c r="H1302" s="19" t="n">
        <x:v>18</x:v>
      </x:c>
      <x:c r="I1302" s="19" t="n">
        <x:v>10</x:v>
      </x:c>
      <x:c r="J1302" s="19" t="n">
        <x:v>1</x:v>
      </x:c>
      <x:c r="K1302" s="16" t="str">
        <x:v>2. New with slight deterioration</x:v>
      </x:c>
      <x:c r="L1302" s="16" t="str">
        <x:v>Very unlikely</x:v>
      </x:c>
      <x:c r="M1302" s="16" t="str">
        <x:v>Significant</x:v>
      </x:c>
      <x:c r="N1302" s="16" t="str">
        <x:v>Low</x:v>
      </x:c>
    </x:row>
    <x:row r="1303" ht="37" customHeight="1">
      <x:c r="A1303" s="16" t="str">
        <x:v>RAW-01297</x:v>
      </x:c>
      <x:c r="B1303" s="16" t="str">
        <x:v>Recommendation</x:v>
      </x:c>
      <x:c r="C1303" s="16" t="str">
        <x:v>– Excavate until base is reached. Clean and repaint.</x:v>
      </x:c>
      <x:c r="D1303" s="16" t="str">
        <x:v>Shade structure 1</x:v>
      </x:c>
      <x:c r="E1303" s="16" t="str">
        <x:v>SRC-064</x:v>
      </x:c>
      <x:c r="F1303" s="16" t="str">
        <x:v>REC-0095</x:v>
      </x:c>
      <x:c r="G1303" s="16" t="str">
        <x:v>审阅或辅助文档</x:v>
      </x:c>
      <x:c r="H1303" s="19" t="n">
        <x:v>18</x:v>
      </x:c>
      <x:c r="I1303" s="19" t="n">
        <x:v>10</x:v>
      </x:c>
      <x:c r="J1303" s="19" t="n">
        <x:v>1</x:v>
      </x:c>
      <x:c r="K1303" s="16" t="str">
        <x:v>2. New with slight deterioration</x:v>
      </x:c>
      <x:c r="L1303" s="16" t="str">
        <x:v>Very unlikely</x:v>
      </x:c>
      <x:c r="M1303" s="16" t="str">
        <x:v>Significant</x:v>
      </x:c>
      <x:c r="N1303" s="16" t="str">
        <x:v>Low</x:v>
      </x:c>
    </x:row>
    <x:row r="1304" ht="37" customHeight="1">
      <x:c r="A1304" s="16" t="str">
        <x:v>RAW-01298</x:v>
      </x:c>
      <x:c r="B1304" s="16" t="str">
        <x:v>Observation</x:v>
      </x:c>
      <x:c r="C1304" s="16" t="str">
        <x:v>– Overview of shed.</x:v>
      </x:c>
      <x:c r="D1304" s="16" t="str">
        <x:v>Shed cladding</x:v>
      </x:c>
      <x:c r="E1304" s="16" t="str">
        <x:v>SRC-064</x:v>
      </x:c>
      <x:c r="F1304" s="16" t="str">
        <x:v>OBS-0438</x:v>
      </x:c>
      <x:c r="G1304" s="16" t="str">
        <x:v>审阅或辅助文档</x:v>
      </x:c>
      <x:c r="H1304" s="19" t="n">
        <x:v>19</x:v>
      </x:c>
      <x:c r="I1304" s="19" t="n">
        <x:v>6</x:v>
      </x:c>
      <x:c r="J1304" s="19" t="n">
        <x:v>1</x:v>
      </x:c>
      <x:c r="K1304" s="16" t="str">
        <x:v>3. Minor deterioration</x:v>
      </x:c>
      <x:c r="L1304" s="16" t="str">
        <x:v>Unlikely</x:v>
      </x:c>
      <x:c r="M1304" s="16" t="str">
        <x:v>Minor</x:v>
      </x:c>
      <x:c r="N1304" s="16" t="str">
        <x:v>Low</x:v>
      </x:c>
    </x:row>
    <x:row r="1305" ht="37" customHeight="1">
      <x:c r="A1305" s="16" t="str">
        <x:v>RAW-01299</x:v>
      </x:c>
      <x:c r="B1305" s="16" t="str">
        <x:v>Observation</x:v>
      </x:c>
      <x:c r="C1305" s="16" t="str">
        <x:v>– Minor corrosion where water ponding has occurred.</x:v>
      </x:c>
      <x:c r="D1305" s="16" t="str">
        <x:v>Shed cladding</x:v>
      </x:c>
      <x:c r="E1305" s="16" t="str">
        <x:v>SRC-064</x:v>
      </x:c>
      <x:c r="F1305" s="16" t="str">
        <x:v>OBS-0068</x:v>
      </x:c>
      <x:c r="G1305" s="16" t="str">
        <x:v>审阅或辅助文档</x:v>
      </x:c>
      <x:c r="H1305" s="19" t="n">
        <x:v>19</x:v>
      </x:c>
      <x:c r="I1305" s="19" t="n">
        <x:v>7</x:v>
      </x:c>
      <x:c r="J1305" s="19" t="n">
        <x:v>1</x:v>
      </x:c>
      <x:c r="K1305" s="16" t="str">
        <x:v>3. Minor deterioration</x:v>
      </x:c>
      <x:c r="L1305" s="16" t="str">
        <x:v>Unlikely</x:v>
      </x:c>
      <x:c r="M1305" s="16" t="str">
        <x:v>Minor</x:v>
      </x:c>
      <x:c r="N1305" s="16" t="str">
        <x:v>Low</x:v>
      </x:c>
    </x:row>
    <x:row r="1306" ht="37" customHeight="1">
      <x:c r="A1306" s="16" t="str">
        <x:v>RAW-01300</x:v>
      </x:c>
      <x:c r="B1306" s="16" t="str">
        <x:v>Recommendation</x:v>
      </x:c>
      <x:c r="C1306" s="16" t="str">
        <x:v>– Clean, remove corrosion and repaint.</x:v>
      </x:c>
      <x:c r="D1306" s="16" t="str">
        <x:v>Shed cladding</x:v>
      </x:c>
      <x:c r="E1306" s="16" t="str">
        <x:v>SRC-064</x:v>
      </x:c>
      <x:c r="F1306" s="16" t="str">
        <x:v>REC-0002</x:v>
      </x:c>
      <x:c r="G1306" s="16" t="str">
        <x:v>审阅或辅助文档</x:v>
      </x:c>
      <x:c r="H1306" s="19" t="n">
        <x:v>19</x:v>
      </x:c>
      <x:c r="I1306" s="19" t="n">
        <x:v>7</x:v>
      </x:c>
      <x:c r="J1306" s="19" t="n">
        <x:v>1</x:v>
      </x:c>
      <x:c r="K1306" s="16" t="str">
        <x:v>3. Minor deterioration</x:v>
      </x:c>
      <x:c r="L1306" s="16" t="str">
        <x:v>Unlikely</x:v>
      </x:c>
      <x:c r="M1306" s="16" t="str">
        <x:v>Minor</x:v>
      </x:c>
      <x:c r="N1306" s="16" t="str">
        <x:v>Low</x:v>
      </x:c>
    </x:row>
    <x:row r="1307" ht="37" customHeight="1">
      <x:c r="A1307" s="16" t="str">
        <x:v>RAW-01301</x:v>
      </x:c>
      <x:c r="B1307" s="16" t="str">
        <x:v>Observation</x:v>
      </x:c>
      <x:c r="C1307" s="16" t="str">
        <x:v>– Minor corrosion where water ponding has occurred.</x:v>
      </x:c>
      <x:c r="D1307" s="16" t="str">
        <x:v>Shed cladding</x:v>
      </x:c>
      <x:c r="E1307" s="16" t="str">
        <x:v>SRC-064</x:v>
      </x:c>
      <x:c r="F1307" s="16" t="str">
        <x:v>OBS-0068</x:v>
      </x:c>
      <x:c r="G1307" s="16" t="str">
        <x:v>审阅或辅助文档</x:v>
      </x:c>
      <x:c r="H1307" s="19" t="n">
        <x:v>19</x:v>
      </x:c>
      <x:c r="I1307" s="19" t="n">
        <x:v>8</x:v>
      </x:c>
      <x:c r="J1307" s="19" t="n">
        <x:v>1</x:v>
      </x:c>
      <x:c r="K1307" s="16" t="str">
        <x:v>3. Minor deterioration</x:v>
      </x:c>
      <x:c r="L1307" s="16" t="str">
        <x:v>Unlikely</x:v>
      </x:c>
      <x:c r="M1307" s="16" t="str">
        <x:v>Minor</x:v>
      </x:c>
      <x:c r="N1307" s="16" t="str">
        <x:v>Low</x:v>
      </x:c>
    </x:row>
    <x:row r="1308" ht="37" customHeight="1">
      <x:c r="A1308" s="16" t="str">
        <x:v>RAW-01302</x:v>
      </x:c>
      <x:c r="B1308" s="16" t="str">
        <x:v>Recommendation</x:v>
      </x:c>
      <x:c r="C1308" s="16" t="str">
        <x:v>– Clean, remove corrosion and repaint.</x:v>
      </x:c>
      <x:c r="D1308" s="16" t="str">
        <x:v>Shed cladding</x:v>
      </x:c>
      <x:c r="E1308" s="16" t="str">
        <x:v>SRC-064</x:v>
      </x:c>
      <x:c r="F1308" s="16" t="str">
        <x:v>REC-0002</x:v>
      </x:c>
      <x:c r="G1308" s="16" t="str">
        <x:v>审阅或辅助文档</x:v>
      </x:c>
      <x:c r="H1308" s="19" t="n">
        <x:v>19</x:v>
      </x:c>
      <x:c r="I1308" s="19" t="n">
        <x:v>8</x:v>
      </x:c>
      <x:c r="J1308" s="19" t="n">
        <x:v>1</x:v>
      </x:c>
      <x:c r="K1308" s="16" t="str">
        <x:v>3. Minor deterioration</x:v>
      </x:c>
      <x:c r="L1308" s="16" t="str">
        <x:v>Unlikely</x:v>
      </x:c>
      <x:c r="M1308" s="16" t="str">
        <x:v>Minor</x:v>
      </x:c>
      <x:c r="N1308" s="16" t="str">
        <x:v>Low</x:v>
      </x:c>
    </x:row>
    <x:row r="1309" ht="37" customHeight="1">
      <x:c r="A1309" s="16" t="str">
        <x:v>RAW-01303</x:v>
      </x:c>
      <x:c r="B1309" s="16" t="str">
        <x:v>Observation</x:v>
      </x:c>
      <x:c r="C1309" s="16" t="str">
        <x:v>– No defects on structural steel and timber members recent repairs undertaken.</x:v>
      </x:c>
      <x:c r="D1309" s="16" t="str">
        <x:v>Childhood Centre verandah</x:v>
      </x:c>
      <x:c r="E1309" s="16" t="str">
        <x:v>SRC-064</x:v>
      </x:c>
      <x:c r="F1309" s="16" t="str"/>
      <x:c r="G1309" s="16" t="str">
        <x:v>审阅或辅助文档</x:v>
      </x:c>
      <x:c r="H1309" s="19" t="n">
        <x:v>20</x:v>
      </x:c>
      <x:c r="I1309" s="19" t="n">
        <x:v>6</x:v>
      </x:c>
      <x:c r="J1309" s="19" t="n">
        <x:v>1</x:v>
      </x:c>
      <x:c r="K1309" s="16" t="str">
        <x:v>2. New with slight deterioration</x:v>
      </x:c>
      <x:c r="L1309" s="16" t="str">
        <x:v>Very unlikely</x:v>
      </x:c>
      <x:c r="M1309" s="16" t="str">
        <x:v>Significant</x:v>
      </x:c>
      <x:c r="N1309" s="16" t="str">
        <x:v>Low</x:v>
      </x:c>
    </x:row>
    <x:row r="1310" ht="37" customHeight="1">
      <x:c r="A1310" s="16" t="str">
        <x:v>RAW-01304</x:v>
      </x:c>
      <x:c r="B1310" s="16" t="str">
        <x:v>Recommendation</x:v>
      </x:c>
      <x:c r="C1310" s="16" t="str">
        <x:v>– Clean, remove corrosion and repaint.</x:v>
      </x:c>
      <x:c r="D1310" s="16" t="str">
        <x:v>Childhood Centre verandah</x:v>
      </x:c>
      <x:c r="E1310" s="16" t="str">
        <x:v>SRC-064</x:v>
      </x:c>
      <x:c r="F1310" s="16" t="str">
        <x:v>REC-0002</x:v>
      </x:c>
      <x:c r="G1310" s="16" t="str">
        <x:v>审阅或辅助文档</x:v>
      </x:c>
      <x:c r="H1310" s="19" t="n">
        <x:v>20</x:v>
      </x:c>
      <x:c r="I1310" s="19" t="n">
        <x:v>6</x:v>
      </x:c>
      <x:c r="J1310" s="19" t="n">
        <x:v>1</x:v>
      </x:c>
      <x:c r="K1310" s="16" t="str">
        <x:v>2. New with slight deterioration</x:v>
      </x:c>
      <x:c r="L1310" s="16" t="str">
        <x:v>Very unlikely</x:v>
      </x:c>
      <x:c r="M1310" s="16" t="str">
        <x:v>Significant</x:v>
      </x:c>
      <x:c r="N1310" s="16" t="str">
        <x:v>Low</x:v>
      </x:c>
    </x:row>
    <x:row r="1311" ht="37" customHeight="1">
      <x:c r="A1311" s="16" t="str">
        <x:v>RAW-01305</x:v>
      </x:c>
      <x:c r="B1311" s="16" t="str">
        <x:v>Observation</x:v>
      </x:c>
      <x:c r="C1311" s="16" t="str">
        <x:v>– Minor corrosion on bolts.</x:v>
      </x:c>
      <x:c r="D1311" s="16" t="str">
        <x:v>Childhood Centre verandah</x:v>
      </x:c>
      <x:c r="E1311" s="16" t="str">
        <x:v>SRC-064</x:v>
      </x:c>
      <x:c r="F1311" s="16" t="str">
        <x:v>OBS-0065</x:v>
      </x:c>
      <x:c r="G1311" s="16" t="str">
        <x:v>审阅或辅助文档</x:v>
      </x:c>
      <x:c r="H1311" s="19" t="n">
        <x:v>20</x:v>
      </x:c>
      <x:c r="I1311" s="19" t="n">
        <x:v>7</x:v>
      </x:c>
      <x:c r="J1311" s="19" t="n">
        <x:v>1</x:v>
      </x:c>
      <x:c r="K1311" s="16" t="str">
        <x:v>2. New with slight deterioration</x:v>
      </x:c>
      <x:c r="L1311" s="16" t="str">
        <x:v>Very unlikely</x:v>
      </x:c>
      <x:c r="M1311" s="16" t="str">
        <x:v>Significant</x:v>
      </x:c>
      <x:c r="N1311" s="16" t="str">
        <x:v>Low</x:v>
      </x:c>
    </x:row>
    <x:row r="1312" ht="37" customHeight="1">
      <x:c r="A1312" s="16" t="str">
        <x:v>RAW-01306</x:v>
      </x:c>
      <x:c r="B1312" s="16" t="str">
        <x:v>Observation</x:v>
      </x:c>
      <x:c r="C1312" s="16" t="str">
        <x:v>– Minor corrosion on bolts.</x:v>
      </x:c>
      <x:c r="D1312" s="16" t="str">
        <x:v>Childhood Centre verandah</x:v>
      </x:c>
      <x:c r="E1312" s="16" t="str">
        <x:v>SRC-064</x:v>
      </x:c>
      <x:c r="F1312" s="16" t="str">
        <x:v>OBS-0065</x:v>
      </x:c>
      <x:c r="G1312" s="16" t="str">
        <x:v>审阅或辅助文档</x:v>
      </x:c>
      <x:c r="H1312" s="19" t="n">
        <x:v>20</x:v>
      </x:c>
      <x:c r="I1312" s="19" t="n">
        <x:v>8</x:v>
      </x:c>
      <x:c r="J1312" s="19" t="n">
        <x:v>1</x:v>
      </x:c>
      <x:c r="K1312" s="16" t="str">
        <x:v>2. New with slight deterioration</x:v>
      </x:c>
      <x:c r="L1312" s="16" t="str">
        <x:v>Very unlikely</x:v>
      </x:c>
      <x:c r="M1312" s="16" t="str">
        <x:v>Significant</x:v>
      </x:c>
      <x:c r="N1312" s="16" t="str">
        <x:v>Low</x:v>
      </x:c>
    </x:row>
    <x:row r="1313" ht="37" customHeight="1">
      <x:c r="A1313" s="16" t="str">
        <x:v>RAW-01307</x:v>
      </x:c>
      <x:c r="B1313" s="16" t="str">
        <x:v>Observation</x:v>
      </x:c>
      <x:c r="C1313" s="16" t="str">
        <x:v>– West face of the multipurpose building.</x:v>
      </x:c>
      <x:c r="D1313" s="16" t="str">
        <x:v>Multipurpose Building – brick wall</x:v>
      </x:c>
      <x:c r="E1313" s="16" t="str">
        <x:v>SRC-064</x:v>
      </x:c>
      <x:c r="F1313" s="16" t="str">
        <x:v>OBS-0606</x:v>
      </x:c>
      <x:c r="G1313" s="16" t="str">
        <x:v>审阅或辅助文档</x:v>
      </x:c>
      <x:c r="H1313" s="19" t="n">
        <x:v>21</x:v>
      </x:c>
      <x:c r="I1313" s="19" t="n">
        <x:v>6</x:v>
      </x:c>
      <x:c r="J1313" s="19" t="n">
        <x:v>1</x:v>
      </x:c>
      <x:c r="K1313" s="16" t="str">
        <x:v>3. Minor deterioration</x:v>
      </x:c>
      <x:c r="L1313" s="16" t="str">
        <x:v>Unlikely</x:v>
      </x:c>
      <x:c r="M1313" s="16" t="str">
        <x:v>Minor</x:v>
      </x:c>
      <x:c r="N1313" s="16" t="str">
        <x:v>Low</x:v>
      </x:c>
    </x:row>
    <x:row r="1314" ht="37" customHeight="1">
      <x:c r="A1314" s="16" t="str">
        <x:v>RAW-01308</x:v>
      </x:c>
      <x:c r="B1314" s="16" t="str">
        <x:v>Observation</x:v>
      </x:c>
      <x:c r="C1314" s="16" t="str">
        <x:v>– hole in brick wall.</x:v>
      </x:c>
      <x:c r="D1314" s="16" t="str">
        <x:v>Multipurpose Building – brick wall</x:v>
      </x:c>
      <x:c r="E1314" s="16" t="str">
        <x:v>SRC-064</x:v>
      </x:c>
      <x:c r="F1314" s="16" t="str">
        <x:v>OBS-0616</x:v>
      </x:c>
      <x:c r="G1314" s="16" t="str">
        <x:v>审阅或辅助文档</x:v>
      </x:c>
      <x:c r="H1314" s="19" t="n">
        <x:v>21</x:v>
      </x:c>
      <x:c r="I1314" s="19" t="n">
        <x:v>7</x:v>
      </x:c>
      <x:c r="J1314" s="19" t="n">
        <x:v>1</x:v>
      </x:c>
      <x:c r="K1314" s="16" t="str">
        <x:v>3. Minor deterioration</x:v>
      </x:c>
      <x:c r="L1314" s="16" t="str">
        <x:v>Unlikely</x:v>
      </x:c>
      <x:c r="M1314" s="16" t="str">
        <x:v>Minor</x:v>
      </x:c>
      <x:c r="N1314" s="16" t="str">
        <x:v>Low</x:v>
      </x:c>
    </x:row>
    <x:row r="1315" ht="37" customHeight="1">
      <x:c r="A1315" s="16" t="str">
        <x:v>RAW-01309</x:v>
      </x:c>
      <x:c r="B1315" s="16" t="str">
        <x:v>Recommendation</x:v>
      </x:c>
      <x:c r="C1315" s="16" t="str">
        <x:v>– Replace brick.</x:v>
      </x:c>
      <x:c r="D1315" s="16" t="str">
        <x:v>Multipurpose Building – brick wall</x:v>
      </x:c>
      <x:c r="E1315" s="16" t="str">
        <x:v>SRC-064</x:v>
      </x:c>
      <x:c r="F1315" s="16" t="str">
        <x:v>REC-0144</x:v>
      </x:c>
      <x:c r="G1315" s="16" t="str">
        <x:v>审阅或辅助文档</x:v>
      </x:c>
      <x:c r="H1315" s="19" t="n">
        <x:v>21</x:v>
      </x:c>
      <x:c r="I1315" s="19" t="n">
        <x:v>7</x:v>
      </x:c>
      <x:c r="J1315" s="19" t="n">
        <x:v>1</x:v>
      </x:c>
      <x:c r="K1315" s="16" t="str">
        <x:v>3. Minor deterioration</x:v>
      </x:c>
      <x:c r="L1315" s="16" t="str">
        <x:v>Unlikely</x:v>
      </x:c>
      <x:c r="M1315" s="16" t="str">
        <x:v>Minor</x:v>
      </x:c>
      <x:c r="N1315" s="16" t="str">
        <x:v>Low</x:v>
      </x:c>
    </x:row>
    <x:row r="1316" ht="37" customHeight="1">
      <x:c r="A1316" s="16" t="str">
        <x:v>RAW-01310</x:v>
      </x:c>
      <x:c r="B1316" s="16" t="str">
        <x:v>Observation</x:v>
      </x:c>
      <x:c r="C1316" s="16" t="str">
        <x:v>– Cracking along the mortar bed. Typical building defect.</x:v>
      </x:c>
      <x:c r="D1316" s="16" t="str">
        <x:v>Multipurpose Building – brick wall</x:v>
      </x:c>
      <x:c r="E1316" s="16" t="str">
        <x:v>SRC-064</x:v>
      </x:c>
      <x:c r="F1316" s="16" t="str">
        <x:v>OBS-0240</x:v>
      </x:c>
      <x:c r="G1316" s="16" t="str">
        <x:v>审阅或辅助文档</x:v>
      </x:c>
      <x:c r="H1316" s="19" t="n">
        <x:v>21</x:v>
      </x:c>
      <x:c r="I1316" s="19" t="n">
        <x:v>8</x:v>
      </x:c>
      <x:c r="J1316" s="19" t="n">
        <x:v>1</x:v>
      </x:c>
      <x:c r="K1316" s="16" t="str">
        <x:v>3. Minor deterioration</x:v>
      </x:c>
      <x:c r="L1316" s="16" t="str">
        <x:v>Unlikely</x:v>
      </x:c>
      <x:c r="M1316" s="16" t="str">
        <x:v>Minor</x:v>
      </x:c>
      <x:c r="N1316" s="16" t="str">
        <x:v>Low</x:v>
      </x:c>
    </x:row>
    <x:row r="1317" ht="37" customHeight="1">
      <x:c r="A1317" s="16" t="str">
        <x:v>RAW-01311</x:v>
      </x:c>
      <x:c r="B1317" s="16" t="str">
        <x:v>Recommendation</x:v>
      </x:c>
      <x:c r="C1317" s="16" t="str">
        <x:v>– Repoint mortar around the brick. Monitor cracking.</x:v>
      </x:c>
      <x:c r="D1317" s="16" t="str">
        <x:v>Multipurpose Building – brick wall</x:v>
      </x:c>
      <x:c r="E1317" s="16" t="str">
        <x:v>SRC-064</x:v>
      </x:c>
      <x:c r="F1317" s="16" t="str">
        <x:v>REC-0161</x:v>
      </x:c>
      <x:c r="G1317" s="16" t="str">
        <x:v>审阅或辅助文档</x:v>
      </x:c>
      <x:c r="H1317" s="19" t="n">
        <x:v>21</x:v>
      </x:c>
      <x:c r="I1317" s="19" t="n">
        <x:v>8</x:v>
      </x:c>
      <x:c r="J1317" s="19" t="n">
        <x:v>1</x:v>
      </x:c>
      <x:c r="K1317" s="16" t="str">
        <x:v>3. Minor deterioration</x:v>
      </x:c>
      <x:c r="L1317" s="16" t="str">
        <x:v>Unlikely</x:v>
      </x:c>
      <x:c r="M1317" s="16" t="str">
        <x:v>Minor</x:v>
      </x:c>
      <x:c r="N1317" s="16" t="str">
        <x:v>Low</x:v>
      </x:c>
    </x:row>
    <x:row r="1318" ht="37" customHeight="1">
      <x:c r="A1318" s="16" t="str">
        <x:v>RAW-01312</x:v>
      </x:c>
      <x:c r="B1318" s="16" t="str">
        <x:v>Observation</x:v>
      </x:c>
      <x:c r="C1318" s="16" t="str">
        <x:v>– Mortar deterioration at the top corner brick.</x:v>
      </x:c>
      <x:c r="D1318" s="16" t="str">
        <x:v>Multipurpose Building – brick wall</x:v>
      </x:c>
      <x:c r="E1318" s="16" t="str">
        <x:v>SRC-064</x:v>
      </x:c>
      <x:c r="F1318" s="16" t="str">
        <x:v>OBS-0419</x:v>
      </x:c>
      <x:c r="G1318" s="16" t="str">
        <x:v>审阅或辅助文档</x:v>
      </x:c>
      <x:c r="H1318" s="19" t="n">
        <x:v>21</x:v>
      </x:c>
      <x:c r="I1318" s="19" t="n">
        <x:v>9</x:v>
      </x:c>
      <x:c r="J1318" s="19" t="n">
        <x:v>1</x:v>
      </x:c>
      <x:c r="K1318" s="16" t="str">
        <x:v>3. Minor deterioration</x:v>
      </x:c>
      <x:c r="L1318" s="16" t="str">
        <x:v>Unlikely</x:v>
      </x:c>
      <x:c r="M1318" s="16" t="str">
        <x:v>Minor</x:v>
      </x:c>
      <x:c r="N1318" s="16" t="str">
        <x:v>Low</x:v>
      </x:c>
    </x:row>
    <x:row r="1319" ht="37" customHeight="1">
      <x:c r="A1319" s="16" t="str">
        <x:v>RAW-01313</x:v>
      </x:c>
      <x:c r="B1319" s="16" t="str">
        <x:v>Recommendation</x:v>
      </x:c>
      <x:c r="C1319" s="16" t="str">
        <x:v>– repoint mortar around brick.</x:v>
      </x:c>
      <x:c r="D1319" s="16" t="str">
        <x:v>Multipurpose Building – brick wall</x:v>
      </x:c>
      <x:c r="E1319" s="16" t="str">
        <x:v>SRC-064</x:v>
      </x:c>
      <x:c r="F1319" s="16" t="str">
        <x:v>REC-0175</x:v>
      </x:c>
      <x:c r="G1319" s="16" t="str">
        <x:v>审阅或辅助文档</x:v>
      </x:c>
      <x:c r="H1319" s="19" t="n">
        <x:v>21</x:v>
      </x:c>
      <x:c r="I1319" s="19" t="n">
        <x:v>9</x:v>
      </x:c>
      <x:c r="J1319" s="19" t="n">
        <x:v>1</x:v>
      </x:c>
      <x:c r="K1319" s="16" t="str">
        <x:v>3. Minor deterioration</x:v>
      </x:c>
      <x:c r="L1319" s="16" t="str">
        <x:v>Unlikely</x:v>
      </x:c>
      <x:c r="M1319" s="16" t="str">
        <x:v>Minor</x:v>
      </x:c>
      <x:c r="N1319" s="16" t="str">
        <x:v>Low</x:v>
      </x:c>
    </x:row>
    <x:row r="1320" ht="37" customHeight="1">
      <x:c r="A1320" s="16" t="str">
        <x:v>RAW-01314</x:v>
      </x:c>
      <x:c r="B1320" s="16" t="str">
        <x:v>Observation</x:v>
      </x:c>
      <x:c r="C1320" s="16" t="str">
        <x:v>– Overview of structure.</x:v>
      </x:c>
      <x:c r="D1320" s="16" t="str">
        <x:v>Bird Series Sculpture</x:v>
      </x:c>
      <x:c r="E1320" s="16" t="str">
        <x:v>SRC-065</x:v>
      </x:c>
      <x:c r="F1320" s="16" t="str">
        <x:v>OBS-0017</x:v>
      </x:c>
      <x:c r="G1320" s="16" t="str">
        <x:v>正式报告</x:v>
      </x:c>
      <x:c r="H1320" s="19" t="n">
        <x:v>3</x:v>
      </x:c>
      <x:c r="I1320" s="19" t="n">
        <x:v>6</x:v>
      </x:c>
      <x:c r="J1320" s="19" t="n">
        <x:v>1</x:v>
      </x:c>
      <x:c r="K1320" s="16" t="str">
        <x:v>2. New with slight deterioration</x:v>
      </x:c>
      <x:c r="L1320" s="16" t="str">
        <x:v>Very unlikely</x:v>
      </x:c>
      <x:c r="M1320" s="16" t="str">
        <x:v>Moderate</x:v>
      </x:c>
      <x:c r="N1320" s="16" t="str">
        <x:v>Low</x:v>
      </x:c>
    </x:row>
    <x:row r="1321" ht="37" customHeight="1">
      <x:c r="A1321" s="16" t="str">
        <x:v>RAW-01315</x:v>
      </x:c>
      <x:c r="B1321" s="16" t="str">
        <x:v>Observation</x:v>
      </x:c>
      <x:c r="C1321" s="16" t="str">
        <x:v>– Minor surface corrosion.</x:v>
      </x:c>
      <x:c r="D1321" s="16" t="str">
        <x:v>Bird Series Sculpture</x:v>
      </x:c>
      <x:c r="E1321" s="16" t="str">
        <x:v>SRC-065</x:v>
      </x:c>
      <x:c r="F1321" s="16" t="str">
        <x:v>OBS-0016</x:v>
      </x:c>
      <x:c r="G1321" s="16" t="str">
        <x:v>正式报告</x:v>
      </x:c>
      <x:c r="H1321" s="19" t="n">
        <x:v>3</x:v>
      </x:c>
      <x:c r="I1321" s="19" t="n">
        <x:v>7</x:v>
      </x:c>
      <x:c r="J1321" s="19" t="n">
        <x:v>3</x:v>
      </x:c>
      <x:c r="K1321" s="16" t="str">
        <x:v>2. New with slight deterioration</x:v>
      </x:c>
      <x:c r="L1321" s="16" t="str">
        <x:v>Very unlikely</x:v>
      </x:c>
      <x:c r="M1321" s="16" t="str">
        <x:v>Moderate</x:v>
      </x:c>
      <x:c r="N1321" s="16" t="str">
        <x:v>Low</x:v>
      </x:c>
    </x:row>
    <x:row r="1322" ht="37" customHeight="1">
      <x:c r="A1322" s="16" t="str">
        <x:v>RAW-01316</x:v>
      </x:c>
      <x:c r="B1322" s="16" t="str">
        <x:v>Recommendation</x:v>
      </x:c>
      <x:c r="C1322" s="16" t="str">
        <x:v>– Clean, wire brush and repaint.</x:v>
      </x:c>
      <x:c r="D1322" s="16" t="str">
        <x:v>Bird Series Sculpture</x:v>
      </x:c>
      <x:c r="E1322" s="16" t="str">
        <x:v>SRC-065</x:v>
      </x:c>
      <x:c r="F1322" s="16" t="str">
        <x:v>REC-0001</x:v>
      </x:c>
      <x:c r="G1322" s="16" t="str">
        <x:v>正式报告</x:v>
      </x:c>
      <x:c r="H1322" s="19" t="n">
        <x:v>3</x:v>
      </x:c>
      <x:c r="I1322" s="19" t="n">
        <x:v>7</x:v>
      </x:c>
      <x:c r="J1322" s="19" t="n">
        <x:v>3</x:v>
      </x:c>
      <x:c r="K1322" s="16" t="str">
        <x:v>2. New with slight deterioration</x:v>
      </x:c>
      <x:c r="L1322" s="16" t="str">
        <x:v>Very unlikely</x:v>
      </x:c>
      <x:c r="M1322" s="16" t="str">
        <x:v>Moderate</x:v>
      </x:c>
      <x:c r="N1322" s="16" t="str">
        <x:v>Low</x:v>
      </x:c>
    </x:row>
    <x:row r="1323" ht="37" customHeight="1">
      <x:c r="A1323" s="16" t="str">
        <x:v>RAW-01317</x:v>
      </x:c>
      <x:c r="B1323" s="16" t="str">
        <x:v>Observation</x:v>
      </x:c>
      <x:c r="C1323" s="16" t="str">
        <x:v>– Overview of structure.</x:v>
      </x:c>
      <x:c r="D1323" s="16" t="str">
        <x:v>Bird Series Sculpture</x:v>
      </x:c>
      <x:c r="E1323" s="16" t="str">
        <x:v>SRC-066</x:v>
      </x:c>
      <x:c r="F1323" s="16" t="str">
        <x:v>OBS-0017</x:v>
      </x:c>
      <x:c r="G1323" s="16" t="str">
        <x:v>审阅或辅助文档</x:v>
      </x:c>
      <x:c r="H1323" s="19" t="n">
        <x:v>3</x:v>
      </x:c>
      <x:c r="I1323" s="19" t="n">
        <x:v>6</x:v>
      </x:c>
      <x:c r="J1323" s="19" t="n">
        <x:v>1</x:v>
      </x:c>
      <x:c r="K1323" s="16" t="str">
        <x:v>2. New with slight deterioration</x:v>
      </x:c>
      <x:c r="L1323" s="16" t="str">
        <x:v>Very unlikely</x:v>
      </x:c>
      <x:c r="M1323" s="16" t="str">
        <x:v>Moderate</x:v>
      </x:c>
      <x:c r="N1323" s="16" t="str">
        <x:v>Low</x:v>
      </x:c>
    </x:row>
    <x:row r="1324" ht="37" customHeight="1">
      <x:c r="A1324" s="16" t="str">
        <x:v>RAW-01318</x:v>
      </x:c>
      <x:c r="B1324" s="16" t="str">
        <x:v>Observation</x:v>
      </x:c>
      <x:c r="C1324" s="16" t="str">
        <x:v>– Minor surface corrosion.</x:v>
      </x:c>
      <x:c r="D1324" s="16" t="str">
        <x:v>Bird Series Sculpture</x:v>
      </x:c>
      <x:c r="E1324" s="16" t="str">
        <x:v>SRC-066</x:v>
      </x:c>
      <x:c r="F1324" s="16" t="str">
        <x:v>OBS-0016</x:v>
      </x:c>
      <x:c r="G1324" s="16" t="str">
        <x:v>审阅或辅助文档</x:v>
      </x:c>
      <x:c r="H1324" s="19" t="n">
        <x:v>3</x:v>
      </x:c>
      <x:c r="I1324" s="19" t="n">
        <x:v>7</x:v>
      </x:c>
      <x:c r="J1324" s="19" t="n">
        <x:v>3</x:v>
      </x:c>
      <x:c r="K1324" s="16" t="str">
        <x:v>2. New with slight deterioration</x:v>
      </x:c>
      <x:c r="L1324" s="16" t="str">
        <x:v>Very unlikely</x:v>
      </x:c>
      <x:c r="M1324" s="16" t="str">
        <x:v>Moderate</x:v>
      </x:c>
      <x:c r="N1324" s="16" t="str">
        <x:v>Low</x:v>
      </x:c>
    </x:row>
    <x:row r="1325" ht="37" customHeight="1">
      <x:c r="A1325" s="16" t="str">
        <x:v>RAW-01319</x:v>
      </x:c>
      <x:c r="B1325" s="16" t="str">
        <x:v>Recommendation</x:v>
      </x:c>
      <x:c r="C1325" s="16" t="str">
        <x:v>– Clean, wire brush and repaint.</x:v>
      </x:c>
      <x:c r="D1325" s="16" t="str">
        <x:v>Bird Series Sculpture</x:v>
      </x:c>
      <x:c r="E1325" s="16" t="str">
        <x:v>SRC-066</x:v>
      </x:c>
      <x:c r="F1325" s="16" t="str">
        <x:v>REC-0001</x:v>
      </x:c>
      <x:c r="G1325" s="16" t="str">
        <x:v>审阅或辅助文档</x:v>
      </x:c>
      <x:c r="H1325" s="19" t="n">
        <x:v>3</x:v>
      </x:c>
      <x:c r="I1325" s="19" t="n">
        <x:v>7</x:v>
      </x:c>
      <x:c r="J1325" s="19" t="n">
        <x:v>3</x:v>
      </x:c>
      <x:c r="K1325" s="16" t="str">
        <x:v>2. New with slight deterioration</x:v>
      </x:c>
      <x:c r="L1325" s="16" t="str">
        <x:v>Very unlikely</x:v>
      </x:c>
      <x:c r="M1325" s="16" t="str">
        <x:v>Moderate</x:v>
      </x:c>
      <x:c r="N1325" s="16" t="str">
        <x:v>Low</x:v>
      </x:c>
    </x:row>
    <x:row r="1326" ht="37" customHeight="1">
      <x:c r="A1326" s="16" t="str">
        <x:v>RAW-01320</x:v>
      </x:c>
      <x:c r="B1326" s="16" t="str">
        <x:v>Observation</x:v>
      </x:c>
      <x:c r="C1326" s="16" t="str">
        <x:v>– Overview of purple steel shell.</x:v>
      </x:c>
      <x:c r="D1326" s="16" t="str">
        <x:v>Purple steel shell</x:v>
      </x:c>
      <x:c r="E1326" s="16" t="str">
        <x:v>SRC-067</x:v>
      </x:c>
      <x:c r="F1326" s="16" t="str">
        <x:v>OBS-0075</x:v>
      </x:c>
      <x:c r="G1326" s="16" t="str">
        <x:v>审阅或辅助文档</x:v>
      </x:c>
      <x:c r="H1326" s="19" t="n">
        <x:v>3</x:v>
      </x:c>
      <x:c r="I1326" s="19" t="n">
        <x:v>6</x:v>
      </x:c>
      <x:c r="J1326" s="19" t="n">
        <x:v>4</x:v>
      </x:c>
      <x:c r="K1326" s="16" t="str">
        <x:v>3. Minor deterioration</x:v>
      </x:c>
      <x:c r="L1326" s="16" t="str">
        <x:v>Unlikely</x:v>
      </x:c>
      <x:c r="M1326" s="16" t="str">
        <x:v>Negligible</x:v>
      </x:c>
      <x:c r="N1326" s="16" t="str">
        <x:v>Low</x:v>
      </x:c>
    </x:row>
    <x:row r="1327" ht="37" customHeight="1">
      <x:c r="A1327" s="16" t="str">
        <x:v>RAW-01321</x:v>
      </x:c>
      <x:c r="B1327" s="16" t="str">
        <x:v>Recommendation</x:v>
      </x:c>
      <x:c r="C1327" s="16" t="str">
        <x:v>– Clean, wire brush and repaint.</x:v>
      </x:c>
      <x:c r="D1327" s="16" t="str">
        <x:v>Purple steel shell</x:v>
      </x:c>
      <x:c r="E1327" s="16" t="str">
        <x:v>SRC-067</x:v>
      </x:c>
      <x:c r="F1327" s="16" t="str">
        <x:v>REC-0001</x:v>
      </x:c>
      <x:c r="G1327" s="16" t="str">
        <x:v>审阅或辅助文档</x:v>
      </x:c>
      <x:c r="H1327" s="19" t="n">
        <x:v>3</x:v>
      </x:c>
      <x:c r="I1327" s="19" t="n">
        <x:v>6</x:v>
      </x:c>
      <x:c r="J1327" s="19" t="n">
        <x:v>4</x:v>
      </x:c>
      <x:c r="K1327" s="16" t="str">
        <x:v>3. Minor deterioration</x:v>
      </x:c>
      <x:c r="L1327" s="16" t="str">
        <x:v>Unlikely</x:v>
      </x:c>
      <x:c r="M1327" s="16" t="str">
        <x:v>Negligible</x:v>
      </x:c>
      <x:c r="N1327" s="16" t="str">
        <x:v>Low</x:v>
      </x:c>
    </x:row>
    <x:row r="1328" ht="41" customHeight="1">
      <x:c r="A1328" s="16" t="str">
        <x:v>RAW-01322</x:v>
      </x:c>
      <x:c r="B1328" s="16" t="str">
        <x:v>Observation</x:v>
      </x:c>
      <x:c r="C1328" s="16" t="str">
        <x:v>– Overview of circular steel retaining structure.</x:v>
      </x:c>
      <x:c r="D1328" s="16" t="str">
        <x:v>circular steel retaining structure</x:v>
      </x:c>
      <x:c r="E1328" s="16" t="str">
        <x:v>SRC-067</x:v>
      </x:c>
      <x:c r="F1328" s="16" t="str">
        <x:v>OBS-0073</x:v>
      </x:c>
      <x:c r="G1328" s="16" t="str">
        <x:v>审阅或辅助文档</x:v>
      </x:c>
      <x:c r="H1328" s="19" t="n">
        <x:v>4</x:v>
      </x:c>
      <x:c r="I1328" s="19" t="n">
        <x:v>6</x:v>
      </x:c>
      <x:c r="J1328" s="19" t="n">
        <x:v>1</x:v>
      </x:c>
      <x:c r="K1328" s="16" t="str">
        <x:v>1. New with no visible defects/damage</x:v>
      </x:c>
      <x:c r="L1328" s="16" t="str">
        <x:v>Very unlikely</x:v>
      </x:c>
      <x:c r="M1328" s="16" t="str">
        <x:v>Negligible</x:v>
      </x:c>
      <x:c r="N1328" s="16" t="str">
        <x:v>Low</x:v>
      </x:c>
    </x:row>
    <x:row r="1329" ht="41" customHeight="1">
      <x:c r="A1329" s="16" t="str">
        <x:v>RAW-01323</x:v>
      </x:c>
      <x:c r="B1329" s="16" t="str">
        <x:v>Observation</x:v>
      </x:c>
      <x:c r="C1329" s="16" t="str">
        <x:v>– Good condition.</x:v>
      </x:c>
      <x:c r="D1329" s="16" t="str">
        <x:v>circular steel retaining structure</x:v>
      </x:c>
      <x:c r="E1329" s="16" t="str">
        <x:v>SRC-067</x:v>
      </x:c>
      <x:c r="F1329" s="16" t="str">
        <x:v>OBS-0319</x:v>
      </x:c>
      <x:c r="G1329" s="16" t="str">
        <x:v>审阅或辅助文档</x:v>
      </x:c>
      <x:c r="H1329" s="19" t="n">
        <x:v>4</x:v>
      </x:c>
      <x:c r="I1329" s="19" t="n">
        <x:v>7</x:v>
      </x:c>
      <x:c r="J1329" s="19" t="n">
        <x:v>3</x:v>
      </x:c>
      <x:c r="K1329" s="16" t="str">
        <x:v>1. New with no visible defects/damage</x:v>
      </x:c>
      <x:c r="L1329" s="16" t="str">
        <x:v>Very unlikely</x:v>
      </x:c>
      <x:c r="M1329" s="16" t="str">
        <x:v>Negligible</x:v>
      </x:c>
      <x:c r="N1329" s="16" t="str">
        <x:v>Low</x:v>
      </x:c>
    </x:row>
    <x:row r="1330" ht="41" customHeight="1">
      <x:c r="A1330" s="16" t="str">
        <x:v>RAW-01324</x:v>
      </x:c>
      <x:c r="B1330" s="16" t="str">
        <x:v>Recommendation</x:v>
      </x:c>
      <x:c r="C1330" s="16" t="str">
        <x:v>– None.</x:v>
      </x:c>
      <x:c r="D1330" s="16" t="str">
        <x:v>circular steel retaining structure</x:v>
      </x:c>
      <x:c r="E1330" s="16" t="str">
        <x:v>SRC-067</x:v>
      </x:c>
      <x:c r="F1330" s="16" t="str">
        <x:v>REC-0003</x:v>
      </x:c>
      <x:c r="G1330" s="16" t="str">
        <x:v>审阅或辅助文档</x:v>
      </x:c>
      <x:c r="H1330" s="19" t="n">
        <x:v>4</x:v>
      </x:c>
      <x:c r="I1330" s="19" t="n">
        <x:v>7</x:v>
      </x:c>
      <x:c r="J1330" s="19" t="n">
        <x:v>3</x:v>
      </x:c>
      <x:c r="K1330" s="16" t="str">
        <x:v>1. New with no visible defects/damage</x:v>
      </x:c>
      <x:c r="L1330" s="16" t="str">
        <x:v>Very unlikely</x:v>
      </x:c>
      <x:c r="M1330" s="16" t="str">
        <x:v>Negligible</x:v>
      </x:c>
      <x:c r="N1330" s="16" t="str">
        <x:v>Low</x:v>
      </x:c>
    </x:row>
    <x:row r="1331" ht="37" customHeight="1">
      <x:c r="A1331" s="16" t="str">
        <x:v>RAW-01325</x:v>
      </x:c>
      <x:c r="B1331" s="16" t="str">
        <x:v>Observation</x:v>
      </x:c>
      <x:c r="C1331" s="16" t="str">
        <x:v>– Overview of structure.</x:v>
      </x:c>
      <x:c r="D1331" s="16" t="str">
        <x:v>Bird Series Sculpture</x:v>
      </x:c>
      <x:c r="E1331" s="16" t="str">
        <x:v>SRC-068</x:v>
      </x:c>
      <x:c r="F1331" s="16" t="str">
        <x:v>OBS-0017</x:v>
      </x:c>
      <x:c r="G1331" s="16" t="str">
        <x:v>正式报告</x:v>
      </x:c>
      <x:c r="H1331" s="19" t="n">
        <x:v>3</x:v>
      </x:c>
      <x:c r="I1331" s="19" t="n">
        <x:v>6</x:v>
      </x:c>
      <x:c r="J1331" s="19" t="n">
        <x:v>1</x:v>
      </x:c>
      <x:c r="K1331" s="16" t="str">
        <x:v>3. Minor deterioration</x:v>
      </x:c>
      <x:c r="L1331" s="16" t="str">
        <x:v>Unlikely</x:v>
      </x:c>
      <x:c r="M1331" s="16" t="str">
        <x:v>Moderate</x:v>
      </x:c>
      <x:c r="N1331" s="16" t="str">
        <x:v>Low</x:v>
      </x:c>
    </x:row>
    <x:row r="1332" ht="37" customHeight="1">
      <x:c r="A1332" s="16" t="str">
        <x:v>RAW-01326</x:v>
      </x:c>
      <x:c r="B1332" s="16" t="str">
        <x:v>Observation</x:v>
      </x:c>
      <x:c r="C1332" s="16" t="str">
        <x:v>– Minor surface corrosion.</x:v>
      </x:c>
      <x:c r="D1332" s="16" t="str">
        <x:v>Bird Series Sculpture</x:v>
      </x:c>
      <x:c r="E1332" s="16" t="str">
        <x:v>SRC-068</x:v>
      </x:c>
      <x:c r="F1332" s="16" t="str">
        <x:v>OBS-0016</x:v>
      </x:c>
      <x:c r="G1332" s="16" t="str">
        <x:v>正式报告</x:v>
      </x:c>
      <x:c r="H1332" s="19" t="n">
        <x:v>3</x:v>
      </x:c>
      <x:c r="I1332" s="19" t="n">
        <x:v>7</x:v>
      </x:c>
      <x:c r="J1332" s="19" t="n">
        <x:v>3</x:v>
      </x:c>
      <x:c r="K1332" s="16" t="str">
        <x:v>3. Minor deterioration</x:v>
      </x:c>
      <x:c r="L1332" s="16" t="str">
        <x:v>Unlikely</x:v>
      </x:c>
      <x:c r="M1332" s="16" t="str">
        <x:v>Moderate</x:v>
      </x:c>
      <x:c r="N1332" s="16" t="str">
        <x:v>Low</x:v>
      </x:c>
    </x:row>
    <x:row r="1333" ht="37" customHeight="1">
      <x:c r="A1333" s="16" t="str">
        <x:v>RAW-01327</x:v>
      </x:c>
      <x:c r="B1333" s="16" t="str">
        <x:v>Recommendation</x:v>
      </x:c>
      <x:c r="C1333" s="16" t="str">
        <x:v>– Clean, wire brush and repaint.</x:v>
      </x:c>
      <x:c r="D1333" s="16" t="str">
        <x:v>Bird Series Sculpture</x:v>
      </x:c>
      <x:c r="E1333" s="16" t="str">
        <x:v>SRC-068</x:v>
      </x:c>
      <x:c r="F1333" s="16" t="str">
        <x:v>REC-0001</x:v>
      </x:c>
      <x:c r="G1333" s="16" t="str">
        <x:v>正式报告</x:v>
      </x:c>
      <x:c r="H1333" s="19" t="n">
        <x:v>3</x:v>
      </x:c>
      <x:c r="I1333" s="19" t="n">
        <x:v>7</x:v>
      </x:c>
      <x:c r="J1333" s="19" t="n">
        <x:v>3</x:v>
      </x:c>
      <x:c r="K1333" s="16" t="str">
        <x:v>3. Minor deterioration</x:v>
      </x:c>
      <x:c r="L1333" s="16" t="str">
        <x:v>Unlikely</x:v>
      </x:c>
      <x:c r="M1333" s="16" t="str">
        <x:v>Moderate</x:v>
      </x:c>
      <x:c r="N1333" s="16" t="str">
        <x:v>Low</x:v>
      </x:c>
    </x:row>
    <x:row r="1334" ht="37" customHeight="1">
      <x:c r="A1334" s="16" t="str">
        <x:v>RAW-01328</x:v>
      </x:c>
      <x:c r="B1334" s="16" t="str">
        <x:v>Observation</x:v>
      </x:c>
      <x:c r="C1334" s="16" t="str">
        <x:v>– Overview of structure.</x:v>
      </x:c>
      <x:c r="D1334" s="16" t="str">
        <x:v>Bird Series Sculpture</x:v>
      </x:c>
      <x:c r="E1334" s="16" t="str">
        <x:v>SRC-069</x:v>
      </x:c>
      <x:c r="F1334" s="16" t="str">
        <x:v>OBS-0017</x:v>
      </x:c>
      <x:c r="G1334" s="16" t="str">
        <x:v>正式报告</x:v>
      </x:c>
      <x:c r="H1334" s="19" t="n">
        <x:v>3</x:v>
      </x:c>
      <x:c r="I1334" s="19" t="n">
        <x:v>6</x:v>
      </x:c>
      <x:c r="J1334" s="19" t="n">
        <x:v>1</x:v>
      </x:c>
      <x:c r="K1334" s="16" t="str">
        <x:v>2. New with slight deterioration</x:v>
      </x:c>
      <x:c r="L1334" s="16" t="str">
        <x:v>Very unlikely</x:v>
      </x:c>
      <x:c r="M1334" s="16" t="str">
        <x:v>Moderate</x:v>
      </x:c>
      <x:c r="N1334" s="16" t="str">
        <x:v>Low</x:v>
      </x:c>
    </x:row>
    <x:row r="1335" ht="37" customHeight="1">
      <x:c r="A1335" s="16" t="str">
        <x:v>RAW-01329</x:v>
      </x:c>
      <x:c r="B1335" s="16" t="str">
        <x:v>Observation</x:v>
      </x:c>
      <x:c r="C1335" s="16" t="str">
        <x:v>– Minor surface corrosion at the welds and on steel hollow sections.</x:v>
      </x:c>
      <x:c r="D1335" s="16" t="str">
        <x:v>Bird Series Sculpture</x:v>
      </x:c>
      <x:c r="E1335" s="16" t="str">
        <x:v>SRC-069</x:v>
      </x:c>
      <x:c r="F1335" s="16" t="str">
        <x:v>OBS-0406</x:v>
      </x:c>
      <x:c r="G1335" s="16" t="str">
        <x:v>正式报告</x:v>
      </x:c>
      <x:c r="H1335" s="19" t="n">
        <x:v>3</x:v>
      </x:c>
      <x:c r="I1335" s="19" t="n">
        <x:v>7</x:v>
      </x:c>
      <x:c r="J1335" s="19" t="n">
        <x:v>3</x:v>
      </x:c>
      <x:c r="K1335" s="16" t="str">
        <x:v>2. New with slight deterioration</x:v>
      </x:c>
      <x:c r="L1335" s="16" t="str">
        <x:v>Very unlikely</x:v>
      </x:c>
      <x:c r="M1335" s="16" t="str">
        <x:v>Moderate</x:v>
      </x:c>
      <x:c r="N1335" s="16" t="str">
        <x:v>Low</x:v>
      </x:c>
    </x:row>
    <x:row r="1336" ht="37" customHeight="1">
      <x:c r="A1336" s="16" t="str">
        <x:v>RAW-01330</x:v>
      </x:c>
      <x:c r="B1336" s="16" t="str">
        <x:v>Recommendation</x:v>
      </x:c>
      <x:c r="C1336" s="16" t="str">
        <x:v>– Clean, wire brush and repaint.</x:v>
      </x:c>
      <x:c r="D1336" s="16" t="str">
        <x:v>Bird Series Sculpture</x:v>
      </x:c>
      <x:c r="E1336" s="16" t="str">
        <x:v>SRC-069</x:v>
      </x:c>
      <x:c r="F1336" s="16" t="str">
        <x:v>REC-0001</x:v>
      </x:c>
      <x:c r="G1336" s="16" t="str">
        <x:v>正式报告</x:v>
      </x:c>
      <x:c r="H1336" s="19" t="n">
        <x:v>3</x:v>
      </x:c>
      <x:c r="I1336" s="19" t="n">
        <x:v>7</x:v>
      </x:c>
      <x:c r="J1336" s="19" t="n">
        <x:v>3</x:v>
      </x:c>
      <x:c r="K1336" s="16" t="str">
        <x:v>2. New with slight deterioration</x:v>
      </x:c>
      <x:c r="L1336" s="16" t="str">
        <x:v>Very unlikely</x:v>
      </x:c>
      <x:c r="M1336" s="16" t="str">
        <x:v>Moderate</x:v>
      </x:c>
      <x:c r="N1336" s="16" t="str">
        <x:v>Low</x:v>
      </x:c>
    </x:row>
    <x:row r="1337" ht="37" customHeight="1">
      <x:c r="A1337" s="16" t="str">
        <x:v>RAW-01331</x:v>
      </x:c>
      <x:c r="B1337" s="16" t="str">
        <x:v>Observation</x:v>
      </x:c>
      <x:c r="C1337" s="16" t="str">
        <x:v>– Overview of structure.</x:v>
      </x:c>
      <x:c r="D1337" s="16" t="str">
        <x:v>Cemetery Beach Sculpture</x:v>
      </x:c>
      <x:c r="E1337" s="16" t="str">
        <x:v>SRC-070</x:v>
      </x:c>
      <x:c r="F1337" s="16" t="str">
        <x:v>OBS-0017</x:v>
      </x:c>
      <x:c r="G1337" s="16" t="str">
        <x:v>正式报告</x:v>
      </x:c>
      <x:c r="H1337" s="19" t="n">
        <x:v>3</x:v>
      </x:c>
      <x:c r="I1337" s="19" t="n">
        <x:v>6</x:v>
      </x:c>
      <x:c r="J1337" s="19" t="n">
        <x:v>1</x:v>
      </x:c>
      <x:c r="K1337" s="16" t="str">
        <x:v>2. New with slight deterioration</x:v>
      </x:c>
      <x:c r="L1337" s="16" t="str">
        <x:v>Very unlikely</x:v>
      </x:c>
      <x:c r="M1337" s="16" t="str">
        <x:v>Minor</x:v>
      </x:c>
      <x:c r="N1337" s="16" t="str">
        <x:v>Low</x:v>
      </x:c>
    </x:row>
    <x:row r="1338" ht="37" customHeight="1">
      <x:c r="A1338" s="16" t="str">
        <x:v>RAW-01332</x:v>
      </x:c>
      <x:c r="B1338" s="16" t="str">
        <x:v>Observation</x:v>
      </x:c>
      <x:c r="C1338" s="16" t="str">
        <x:v>– Staining.</x:v>
      </x:c>
      <x:c r="D1338" s="16" t="str">
        <x:v>Cemetery Beach Sculpture</x:v>
      </x:c>
      <x:c r="E1338" s="16" t="str">
        <x:v>SRC-070</x:v>
      </x:c>
      <x:c r="F1338" s="16" t="str">
        <x:v>OBS-0085</x:v>
      </x:c>
      <x:c r="G1338" s="16" t="str">
        <x:v>正式报告</x:v>
      </x:c>
      <x:c r="H1338" s="19" t="n">
        <x:v>3</x:v>
      </x:c>
      <x:c r="I1338" s="19" t="n">
        <x:v>7</x:v>
      </x:c>
      <x:c r="J1338" s="19" t="n">
        <x:v>3</x:v>
      </x:c>
      <x:c r="K1338" s="16" t="str">
        <x:v>2. New with slight deterioration</x:v>
      </x:c>
      <x:c r="L1338" s="16" t="str">
        <x:v>Very unlikely</x:v>
      </x:c>
      <x:c r="M1338" s="16" t="str">
        <x:v>Minor</x:v>
      </x:c>
      <x:c r="N1338" s="16" t="str">
        <x:v>Low</x:v>
      </x:c>
    </x:row>
    <x:row r="1339" ht="37" customHeight="1">
      <x:c r="A1339" s="16" t="str">
        <x:v>RAW-01333</x:v>
      </x:c>
      <x:c r="B1339" s="16" t="str">
        <x:v>Recommendation</x:v>
      </x:c>
      <x:c r="C1339" s="16" t="str">
        <x:v>– None</x:v>
      </x:c>
      <x:c r="D1339" s="16" t="str">
        <x:v>Cemetery Beach Sculpture</x:v>
      </x:c>
      <x:c r="E1339" s="16" t="str">
        <x:v>SRC-070</x:v>
      </x:c>
      <x:c r="F1339" s="16" t="str">
        <x:v>REC-0003</x:v>
      </x:c>
      <x:c r="G1339" s="16" t="str">
        <x:v>正式报告</x:v>
      </x:c>
      <x:c r="H1339" s="19" t="n">
        <x:v>3</x:v>
      </x:c>
      <x:c r="I1339" s="19" t="n">
        <x:v>7</x:v>
      </x:c>
      <x:c r="J1339" s="19" t="n">
        <x:v>3</x:v>
      </x:c>
      <x:c r="K1339" s="16" t="str">
        <x:v>2. New with slight deterioration</x:v>
      </x:c>
      <x:c r="L1339" s="16" t="str">
        <x:v>Very unlikely</x:v>
      </x:c>
      <x:c r="M1339" s="16" t="str">
        <x:v>Minor</x:v>
      </x:c>
      <x:c r="N1339" s="16" t="str">
        <x:v>Low</x:v>
      </x:c>
    </x:row>
    <x:row r="1340" ht="37" customHeight="1">
      <x:c r="A1340" s="16" t="str">
        <x:v>RAW-01334</x:v>
      </x:c>
      <x:c r="B1340" s="16" t="str">
        <x:v>Observation</x:v>
      </x:c>
      <x:c r="C1340" s="16" t="str">
        <x:v>– Overview of miner statue.</x:v>
      </x:c>
      <x:c r="D1340" s="16" t="str">
        <x:v>Miner statue</x:v>
      </x:c>
      <x:c r="E1340" s="16" t="str">
        <x:v>SRC-071</x:v>
      </x:c>
      <x:c r="F1340" s="16" t="str">
        <x:v>OBS-0434</x:v>
      </x:c>
      <x:c r="G1340" s="16" t="str">
        <x:v>正式报告</x:v>
      </x:c>
      <x:c r="H1340" s="19" t="n">
        <x:v>3</x:v>
      </x:c>
      <x:c r="I1340" s="19" t="n">
        <x:v>6</x:v>
      </x:c>
      <x:c r="J1340" s="19" t="n">
        <x:v>1</x:v>
      </x:c>
      <x:c r="K1340" s="16" t="str">
        <x:v>7. Very severe deterioration</x:v>
      </x:c>
      <x:c r="L1340" s="16" t="str">
        <x:v>Very likely</x:v>
      </x:c>
      <x:c r="M1340" s="16" t="str">
        <x:v>Significant</x:v>
      </x:c>
      <x:c r="N1340" s="16" t="str">
        <x:v>Urgent</x:v>
      </x:c>
    </x:row>
    <x:row r="1341" ht="37" customHeight="1">
      <x:c r="A1341" s="16" t="str">
        <x:v>RAW-01335</x:v>
      </x:c>
      <x:c r="B1341" s="16" t="str">
        <x:v>Observation</x:v>
      </x:c>
      <x:c r="C1341" s="16" t="str">
        <x:v>– Holes through the lower portion of the miner and severe flaking present.</x:v>
      </x:c>
      <x:c r="D1341" s="16" t="str">
        <x:v>Miner statue</x:v>
      </x:c>
      <x:c r="E1341" s="16" t="str">
        <x:v>SRC-071</x:v>
      </x:c>
      <x:c r="F1341" s="16" t="str">
        <x:v>OBS-0330</x:v>
      </x:c>
      <x:c r="G1341" s="16" t="str">
        <x:v>正式报告</x:v>
      </x:c>
      <x:c r="H1341" s="19" t="n">
        <x:v>3</x:v>
      </x:c>
      <x:c r="I1341" s="19" t="n">
        <x:v>7</x:v>
      </x:c>
      <x:c r="J1341" s="19" t="n">
        <x:v>1</x:v>
      </x:c>
      <x:c r="K1341" s="16" t="str">
        <x:v>7. Very severe deterioration</x:v>
      </x:c>
      <x:c r="L1341" s="16" t="str">
        <x:v>Very likely</x:v>
      </x:c>
      <x:c r="M1341" s="16" t="str">
        <x:v>Significant</x:v>
      </x:c>
      <x:c r="N1341" s="16" t="str">
        <x:v>Urgent</x:v>
      </x:c>
    </x:row>
    <x:row r="1342" ht="37" customHeight="1">
      <x:c r="A1342" s="16" t="str">
        <x:v>RAW-01336</x:v>
      </x:c>
      <x:c r="B1342" s="16" t="str">
        <x:v>Recommendation</x:v>
      </x:c>
      <x:c r="C1342" s="16" t="str">
        <x:v>– Replacement of lower portion to match existing.</x:v>
      </x:c>
      <x:c r="D1342" s="16" t="str">
        <x:v>Miner statue</x:v>
      </x:c>
      <x:c r="E1342" s="16" t="str">
        <x:v>SRC-071</x:v>
      </x:c>
      <x:c r="F1342" s="16" t="str">
        <x:v>REC-0160</x:v>
      </x:c>
      <x:c r="G1342" s="16" t="str">
        <x:v>正式报告</x:v>
      </x:c>
      <x:c r="H1342" s="19" t="n">
        <x:v>3</x:v>
      </x:c>
      <x:c r="I1342" s="19" t="n">
        <x:v>7</x:v>
      </x:c>
      <x:c r="J1342" s="19" t="n">
        <x:v>1</x:v>
      </x:c>
      <x:c r="K1342" s="16" t="str">
        <x:v>7. Very severe deterioration</x:v>
      </x:c>
      <x:c r="L1342" s="16" t="str">
        <x:v>Very likely</x:v>
      </x:c>
      <x:c r="M1342" s="16" t="str">
        <x:v>Significant</x:v>
      </x:c>
      <x:c r="N1342" s="16" t="str">
        <x:v>Urgent</x:v>
      </x:c>
    </x:row>
    <x:row r="1343" ht="37" customHeight="1">
      <x:c r="A1343" s="16" t="str">
        <x:v>RAW-01337</x:v>
      </x:c>
      <x:c r="B1343" s="16" t="str">
        <x:v>Observation</x:v>
      </x:c>
      <x:c r="C1343" s="16" t="str">
        <x:v>– Minor pitting of steel rail and cross beams.</x:v>
      </x:c>
      <x:c r="D1343" s="16" t="str">
        <x:v>Miner statue</x:v>
      </x:c>
      <x:c r="E1343" s="16" t="str">
        <x:v>SRC-071</x:v>
      </x:c>
      <x:c r="F1343" s="16" t="str">
        <x:v>OBS-0403</x:v>
      </x:c>
      <x:c r="G1343" s="16" t="str">
        <x:v>正式报告</x:v>
      </x:c>
      <x:c r="H1343" s="19" t="n">
        <x:v>3</x:v>
      </x:c>
      <x:c r="I1343" s="19" t="n">
        <x:v>8</x:v>
      </x:c>
      <x:c r="J1343" s="19" t="n">
        <x:v>1</x:v>
      </x:c>
      <x:c r="K1343" s="16" t="str">
        <x:v>7. Very severe deterioration</x:v>
      </x:c>
      <x:c r="L1343" s="16" t="str">
        <x:v>Very likely</x:v>
      </x:c>
      <x:c r="M1343" s="16" t="str">
        <x:v>Significant</x:v>
      </x:c>
      <x:c r="N1343" s="16" t="str">
        <x:v>Urgent</x:v>
      </x:c>
    </x:row>
    <x:row r="1344" ht="37" customHeight="1">
      <x:c r="A1344" s="16" t="str">
        <x:v>RAW-01338</x:v>
      </x:c>
      <x:c r="B1344" s="16" t="str">
        <x:v>Recommendation</x:v>
      </x:c>
      <x:c r="C1344" s="16" t="str">
        <x:v>– Monitor the corrosion level</x:v>
      </x:c>
      <x:c r="D1344" s="16" t="str">
        <x:v>Miner statue</x:v>
      </x:c>
      <x:c r="E1344" s="16" t="str">
        <x:v>SRC-071</x:v>
      </x:c>
      <x:c r="F1344" s="16" t="str">
        <x:v>REC-0031</x:v>
      </x:c>
      <x:c r="G1344" s="16" t="str">
        <x:v>正式报告</x:v>
      </x:c>
      <x:c r="H1344" s="19" t="n">
        <x:v>3</x:v>
      </x:c>
      <x:c r="I1344" s="19" t="n">
        <x:v>8</x:v>
      </x:c>
      <x:c r="J1344" s="19" t="n">
        <x:v>1</x:v>
      </x:c>
      <x:c r="K1344" s="16" t="str">
        <x:v>7. Very severe deterioration</x:v>
      </x:c>
      <x:c r="L1344" s="16" t="str">
        <x:v>Very likely</x:v>
      </x:c>
      <x:c r="M1344" s="16" t="str">
        <x:v>Significant</x:v>
      </x:c>
      <x:c r="N1344" s="16" t="str">
        <x:v>Urgent</x:v>
      </x:c>
    </x:row>
    <x:row r="1345" ht="37" customHeight="1">
      <x:c r="A1345" s="16" t="str">
        <x:v>RAW-01339</x:v>
      </x:c>
      <x:c r="B1345" s="16" t="str">
        <x:v>Observation</x:v>
      </x:c>
      <x:c r="C1345" s="16" t="str">
        <x:v>– Pitting and blistering of steel to mining axe.</x:v>
      </x:c>
      <x:c r="D1345" s="16" t="str">
        <x:v>Miner statue</x:v>
      </x:c>
      <x:c r="E1345" s="16" t="str">
        <x:v>SRC-071</x:v>
      </x:c>
      <x:c r="F1345" s="16" t="str">
        <x:v>OBS-0463</x:v>
      </x:c>
      <x:c r="G1345" s="16" t="str">
        <x:v>正式报告</x:v>
      </x:c>
      <x:c r="H1345" s="19" t="n">
        <x:v>3</x:v>
      </x:c>
      <x:c r="I1345" s="19" t="n">
        <x:v>9</x:v>
      </x:c>
      <x:c r="J1345" s="19" t="n">
        <x:v>1</x:v>
      </x:c>
      <x:c r="K1345" s="16" t="str">
        <x:v>7. Very severe deterioration</x:v>
      </x:c>
      <x:c r="L1345" s="16" t="str">
        <x:v>Very likely</x:v>
      </x:c>
      <x:c r="M1345" s="16" t="str">
        <x:v>Significant</x:v>
      </x:c>
      <x:c r="N1345" s="16" t="str">
        <x:v>Urgent</x:v>
      </x:c>
    </x:row>
    <x:row r="1346" ht="37" customHeight="1">
      <x:c r="A1346" s="16" t="str">
        <x:v>RAW-01340</x:v>
      </x:c>
      <x:c r="B1346" s="16" t="str">
        <x:v>Recommendation</x:v>
      </x:c>
      <x:c r="C1346" s="16" t="str">
        <x:v>– Monitor the corrosion level</x:v>
      </x:c>
      <x:c r="D1346" s="16" t="str">
        <x:v>Miner statue</x:v>
      </x:c>
      <x:c r="E1346" s="16" t="str">
        <x:v>SRC-071</x:v>
      </x:c>
      <x:c r="F1346" s="16" t="str">
        <x:v>REC-0031</x:v>
      </x:c>
      <x:c r="G1346" s="16" t="str">
        <x:v>正式报告</x:v>
      </x:c>
      <x:c r="H1346" s="19" t="n">
        <x:v>3</x:v>
      </x:c>
      <x:c r="I1346" s="19" t="n">
        <x:v>9</x:v>
      </x:c>
      <x:c r="J1346" s="19" t="n">
        <x:v>1</x:v>
      </x:c>
      <x:c r="K1346" s="16" t="str">
        <x:v>7. Very severe deterioration</x:v>
      </x:c>
      <x:c r="L1346" s="16" t="str">
        <x:v>Very likely</x:v>
      </x:c>
      <x:c r="M1346" s="16" t="str">
        <x:v>Significant</x:v>
      </x:c>
      <x:c r="N1346" s="16" t="str">
        <x:v>Urgent</x:v>
      </x:c>
    </x:row>
    <x:row r="1347" ht="41" customHeight="1">
      <x:c r="A1347" s="16" t="str">
        <x:v>RAW-01341</x:v>
      </x:c>
      <x:c r="B1347" s="16" t="str">
        <x:v>Observation</x:v>
      </x:c>
      <x:c r="C1347" s="16" t="str">
        <x:v>– Bench adjacent to column. Steel tube supporting seats have severe corrosion. All other tables and seating show signs of minor corrosion.</x:v>
      </x:c>
      <x:c r="D1347" s="16" t="str">
        <x:v>Table and seating</x:v>
      </x:c>
      <x:c r="E1347" s="16" t="str">
        <x:v>SRC-071</x:v>
      </x:c>
      <x:c r="F1347" s="16" t="str">
        <x:v>OBS-0142</x:v>
      </x:c>
      <x:c r="G1347" s="16" t="str">
        <x:v>正式报告</x:v>
      </x:c>
      <x:c r="H1347" s="19" t="n">
        <x:v>4</x:v>
      </x:c>
      <x:c r="I1347" s="19" t="n">
        <x:v>6</x:v>
      </x:c>
      <x:c r="J1347" s="19" t="n">
        <x:v>1</x:v>
      </x:c>
      <x:c r="K1347" s="16" t="str">
        <x:v>7. Very severe deterioration</x:v>
      </x:c>
      <x:c r="L1347" s="16" t="str">
        <x:v>Very likely</x:v>
      </x:c>
      <x:c r="M1347" s="16" t="str">
        <x:v>Moderate</x:v>
      </x:c>
      <x:c r="N1347" s="16" t="str">
        <x:v>Critical</x:v>
      </x:c>
    </x:row>
    <x:row r="1348" ht="37" customHeight="1">
      <x:c r="A1348" s="16" t="str">
        <x:v>RAW-01342</x:v>
      </x:c>
      <x:c r="B1348" s="16" t="str">
        <x:v>Observation</x:v>
      </x:c>
      <x:c r="C1348" s="16" t="str">
        <x:v>– Bench adjacent to column. Steel tube supporting seats have severe corrosion.</x:v>
      </x:c>
      <x:c r="D1348" s="16" t="str">
        <x:v>Table and seating</x:v>
      </x:c>
      <x:c r="E1348" s="16" t="str">
        <x:v>SRC-071</x:v>
      </x:c>
      <x:c r="F1348" s="16" t="str">
        <x:v>OBS-0141</x:v>
      </x:c>
      <x:c r="G1348" s="16" t="str">
        <x:v>正式报告</x:v>
      </x:c>
      <x:c r="H1348" s="19" t="n">
        <x:v>4</x:v>
      </x:c>
      <x:c r="I1348" s="19" t="n">
        <x:v>7</x:v>
      </x:c>
      <x:c r="J1348" s="19" t="n">
        <x:v>1</x:v>
      </x:c>
      <x:c r="K1348" s="16" t="str">
        <x:v>7. Very severe deterioration</x:v>
      </x:c>
      <x:c r="L1348" s="16" t="str">
        <x:v>Very likely</x:v>
      </x:c>
      <x:c r="M1348" s="16" t="str">
        <x:v>Moderate</x:v>
      </x:c>
      <x:c r="N1348" s="16" t="str">
        <x:v>Critical</x:v>
      </x:c>
    </x:row>
    <x:row r="1349" ht="37" customHeight="1">
      <x:c r="A1349" s="16" t="str">
        <x:v>RAW-01343</x:v>
      </x:c>
      <x:c r="B1349" s="16" t="str">
        <x:v>Recommendation</x:v>
      </x:c>
      <x:c r="C1349" s="16" t="str">
        <x:v>- replace this seat</x:v>
      </x:c>
      <x:c r="D1349" s="16" t="str">
        <x:v>Table and seating</x:v>
      </x:c>
      <x:c r="E1349" s="16" t="str">
        <x:v>SRC-071</x:v>
      </x:c>
      <x:c r="F1349" s="16" t="str">
        <x:v>REC-0174</x:v>
      </x:c>
      <x:c r="G1349" s="16" t="str">
        <x:v>正式报告</x:v>
      </x:c>
      <x:c r="H1349" s="19" t="n">
        <x:v>4</x:v>
      </x:c>
      <x:c r="I1349" s="19" t="n">
        <x:v>7</x:v>
      </x:c>
      <x:c r="J1349" s="19" t="n">
        <x:v>1</x:v>
      </x:c>
      <x:c r="K1349" s="16" t="str">
        <x:v>7. Very severe deterioration</x:v>
      </x:c>
      <x:c r="L1349" s="16" t="str">
        <x:v>Very likely</x:v>
      </x:c>
      <x:c r="M1349" s="16" t="str">
        <x:v>Moderate</x:v>
      </x:c>
      <x:c r="N1349" s="16" t="str">
        <x:v>Critical</x:v>
      </x:c>
    </x:row>
    <x:row r="1350" ht="37" customHeight="1">
      <x:c r="A1350" s="16" t="str">
        <x:v>RAW-01344</x:v>
      </x:c>
      <x:c r="B1350" s="16" t="str">
        <x:v>Observation</x:v>
      </x:c>
      <x:c r="C1350" s="16" t="str">
        <x:v>– Overview of table and seating. Minor corrosion to all areas.</x:v>
      </x:c>
      <x:c r="D1350" s="16" t="str">
        <x:v>Table and seating</x:v>
      </x:c>
      <x:c r="E1350" s="16" t="str">
        <x:v>SRC-071</x:v>
      </x:c>
      <x:c r="F1350" s="16" t="str">
        <x:v>OBS-0077</x:v>
      </x:c>
      <x:c r="G1350" s="16" t="str">
        <x:v>正式报告</x:v>
      </x:c>
      <x:c r="H1350" s="19" t="n">
        <x:v>4</x:v>
      </x:c>
      <x:c r="I1350" s="19" t="n">
        <x:v>8</x:v>
      </x:c>
      <x:c r="J1350" s="19" t="n">
        <x:v>1</x:v>
      </x:c>
      <x:c r="K1350" s="16" t="str">
        <x:v>7. Very severe deterioration</x:v>
      </x:c>
      <x:c r="L1350" s="16" t="str">
        <x:v>Very likely</x:v>
      </x:c>
      <x:c r="M1350" s="16" t="str">
        <x:v>Moderate</x:v>
      </x:c>
      <x:c r="N1350" s="16" t="str">
        <x:v>Critical</x:v>
      </x:c>
    </x:row>
    <x:row r="1351" ht="37" customHeight="1">
      <x:c r="A1351" s="16" t="str">
        <x:v>RAW-01345</x:v>
      </x:c>
      <x:c r="B1351" s="16" t="str">
        <x:v>Observation</x:v>
      </x:c>
      <x:c r="C1351" s="16" t="str">
        <x:v>– Overview of table and seating. Minor corrosion to all areas.</x:v>
      </x:c>
      <x:c r="D1351" s="16" t="str">
        <x:v>Table and seating</x:v>
      </x:c>
      <x:c r="E1351" s="16" t="str">
        <x:v>SRC-071</x:v>
      </x:c>
      <x:c r="F1351" s="16" t="str">
        <x:v>OBS-0077</x:v>
      </x:c>
      <x:c r="G1351" s="16" t="str">
        <x:v>正式报告</x:v>
      </x:c>
      <x:c r="H1351" s="19" t="n">
        <x:v>4</x:v>
      </x:c>
      <x:c r="I1351" s="19" t="n">
        <x:v>9</x:v>
      </x:c>
      <x:c r="J1351" s="19" t="n">
        <x:v>1</x:v>
      </x:c>
      <x:c r="K1351" s="16" t="str">
        <x:v>7. Very severe deterioration</x:v>
      </x:c>
      <x:c r="L1351" s="16" t="str">
        <x:v>Very likely</x:v>
      </x:c>
      <x:c r="M1351" s="16" t="str">
        <x:v>Moderate</x:v>
      </x:c>
      <x:c r="N1351" s="16" t="str">
        <x:v>Critical</x:v>
      </x:c>
    </x:row>
    <x:row r="1352" ht="37" customHeight="1">
      <x:c r="A1352" s="16" t="str">
        <x:v>RAW-01346</x:v>
      </x:c>
      <x:c r="B1352" s="16" t="str">
        <x:v>Recommendation</x:v>
      </x:c>
      <x:c r="C1352" s="16" t="str">
        <x:v>– Clean, remove corrosion and repaint. Replace failed steel tube.</x:v>
      </x:c>
      <x:c r="D1352" s="16" t="str">
        <x:v>Table and seating</x:v>
      </x:c>
      <x:c r="E1352" s="16" t="str">
        <x:v>SRC-071</x:v>
      </x:c>
      <x:c r="F1352" s="16" t="str">
        <x:v>REC-0067</x:v>
      </x:c>
      <x:c r="G1352" s="16" t="str">
        <x:v>正式报告</x:v>
      </x:c>
      <x:c r="H1352" s="19" t="n">
        <x:v>4</x:v>
      </x:c>
      <x:c r="I1352" s="19" t="n">
        <x:v>9</x:v>
      </x:c>
      <x:c r="J1352" s="19" t="n">
        <x:v>1</x:v>
      </x:c>
      <x:c r="K1352" s="16" t="str">
        <x:v>7. Very severe deterioration</x:v>
      </x:c>
      <x:c r="L1352" s="16" t="str">
        <x:v>Very likely</x:v>
      </x:c>
      <x:c r="M1352" s="16" t="str">
        <x:v>Moderate</x:v>
      </x:c>
      <x:c r="N1352" s="16" t="str">
        <x:v>Critical</x:v>
      </x:c>
    </x:row>
    <x:row r="1353" ht="41" customHeight="1">
      <x:c r="A1353" s="16" t="str">
        <x:v>RAW-01347</x:v>
      </x:c>
      <x:c r="B1353" s="16" t="str">
        <x:v>Observation</x:v>
      </x:c>
      <x:c r="C1353" s="16" t="str">
        <x:v>– Severely rusted steel sheeting poses a safety hazard to the public. Access to train is not restricted currently.</x:v>
      </x:c>
      <x:c r="D1353" s="16" t="str">
        <x:v>Historical train steel sheeting</x:v>
      </x:c>
      <x:c r="E1353" s="16" t="str">
        <x:v>SRC-071</x:v>
      </x:c>
      <x:c r="F1353" s="16" t="str">
        <x:v>OBS-0560</x:v>
      </x:c>
      <x:c r="G1353" s="16" t="str">
        <x:v>正式报告</x:v>
      </x:c>
      <x:c r="H1353" s="19" t="n">
        <x:v>5</x:v>
      </x:c>
      <x:c r="I1353" s="19" t="n">
        <x:v>6</x:v>
      </x:c>
      <x:c r="J1353" s="19" t="n">
        <x:v>2</x:v>
      </x:c>
      <x:c r="K1353" s="16" t="str">
        <x:v>N/A</x:v>
      </x:c>
      <x:c r="L1353" s="16" t="str">
        <x:v>Likely</x:v>
      </x:c>
      <x:c r="M1353" s="16" t="str">
        <x:v>Significant</x:v>
      </x:c>
      <x:c r="N1353" s="16" t="str">
        <x:v>Critical</x:v>
      </x:c>
    </x:row>
    <x:row r="1354" ht="37" customHeight="1">
      <x:c r="A1354" s="16" t="str">
        <x:v>RAW-01348</x:v>
      </x:c>
      <x:c r="B1354" s="16" t="str">
        <x:v>Recommendation</x:v>
      </x:c>
      <x:c r="C1354" s="16" t="str">
        <x:v>– Repair fencing to restrict access to the train. Remove rusted steel sheeting from site.</x:v>
      </x:c>
      <x:c r="D1354" s="16" t="str">
        <x:v>Historical train steel sheeting</x:v>
      </x:c>
      <x:c r="E1354" s="16" t="str">
        <x:v>SRC-071</x:v>
      </x:c>
      <x:c r="F1354" s="16" t="str">
        <x:v>REC-0138</x:v>
      </x:c>
      <x:c r="G1354" s="16" t="str">
        <x:v>正式报告</x:v>
      </x:c>
      <x:c r="H1354" s="19" t="n">
        <x:v>5</x:v>
      </x:c>
      <x:c r="I1354" s="19" t="n">
        <x:v>6</x:v>
      </x:c>
      <x:c r="J1354" s="19" t="n">
        <x:v>2</x:v>
      </x:c>
      <x:c r="K1354" s="16" t="str">
        <x:v>N/A</x:v>
      </x:c>
      <x:c r="L1354" s="16" t="str">
        <x:v>Likely</x:v>
      </x:c>
      <x:c r="M1354" s="16" t="str">
        <x:v>Significant</x:v>
      </x:c>
      <x:c r="N1354" s="16" t="str">
        <x:v>Critical</x:v>
      </x:c>
    </x:row>
    <x:row r="1355" ht="37" customHeight="1">
      <x:c r="A1355" s="16" t="str">
        <x:v>RAW-01349</x:v>
      </x:c>
      <x:c r="B1355" s="16" t="str">
        <x:v>Observation</x:v>
      </x:c>
      <x:c r="C1355" s="16" t="str">
        <x:v>– Services terminal box not secured.</x:v>
      </x:c>
      <x:c r="D1355" s="16" t="str">
        <x:v>Terminal box</x:v>
      </x:c>
      <x:c r="E1355" s="16" t="str">
        <x:v>SRC-071</x:v>
      </x:c>
      <x:c r="F1355" s="16" t="str">
        <x:v>OBS-0556</x:v>
      </x:c>
      <x:c r="G1355" s="16" t="str">
        <x:v>正式报告</x:v>
      </x:c>
      <x:c r="H1355" s="19" t="n">
        <x:v>6</x:v>
      </x:c>
      <x:c r="I1355" s="19" t="n">
        <x:v>6</x:v>
      </x:c>
      <x:c r="J1355" s="19" t="n">
        <x:v>1</x:v>
      </x:c>
      <x:c r="K1355" s="16" t="str">
        <x:v>N/A</x:v>
      </x:c>
      <x:c r="L1355" s="16" t="str">
        <x:v>Likely</x:v>
      </x:c>
      <x:c r="M1355" s="16" t="str">
        <x:v>Significant</x:v>
      </x:c>
      <x:c r="N1355" s="16" t="str">
        <x:v>Critical</x:v>
      </x:c>
    </x:row>
    <x:row r="1356" ht="37" customHeight="1">
      <x:c r="A1356" s="16" t="str">
        <x:v>RAW-01350</x:v>
      </x:c>
      <x:c r="B1356" s="16" t="str">
        <x:v>Recommendation</x:v>
      </x:c>
      <x:c r="C1356" s="16" t="str">
        <x:v>– Lock the service door to protect against public access.</x:v>
      </x:c>
      <x:c r="D1356" s="16" t="str">
        <x:v>Terminal box</x:v>
      </x:c>
      <x:c r="E1356" s="16" t="str">
        <x:v>SRC-071</x:v>
      </x:c>
      <x:c r="F1356" s="16" t="str">
        <x:v>REC-0110</x:v>
      </x:c>
      <x:c r="G1356" s="16" t="str">
        <x:v>正式报告</x:v>
      </x:c>
      <x:c r="H1356" s="19" t="n">
        <x:v>6</x:v>
      </x:c>
      <x:c r="I1356" s="19" t="n">
        <x:v>6</x:v>
      </x:c>
      <x:c r="J1356" s="19" t="n">
        <x:v>1</x:v>
      </x:c>
      <x:c r="K1356" s="16" t="str">
        <x:v>N/A</x:v>
      </x:c>
      <x:c r="L1356" s="16" t="str">
        <x:v>Likely</x:v>
      </x:c>
      <x:c r="M1356" s="16" t="str">
        <x:v>Significant</x:v>
      </x:c>
      <x:c r="N1356" s="16" t="str">
        <x:v>Critical</x:v>
      </x:c>
    </x:row>
    <x:row r="1357" ht="41" customHeight="1">
      <x:c r="A1357" s="16" t="str">
        <x:v>RAW-01351</x:v>
      </x:c>
      <x:c r="B1357" s="16" t="str">
        <x:v>Observation</x:v>
      </x:c>
      <x:c r="C1357" s="16" t="str">
        <x:v>– Surface corrosion of roof and structural columns. Corrosion is worst on top of rafters. Corrosion is most pronounced atop the rafters and at welds.</x:v>
      </x:c>
      <x:c r="D1357" s="16" t="str">
        <x:v>Steel hollow sections</x:v>
      </x:c>
      <x:c r="E1357" s="16" t="str">
        <x:v>SRC-071</x:v>
      </x:c>
      <x:c r="F1357" s="16" t="str">
        <x:v>OBS-0582</x:v>
      </x:c>
      <x:c r="G1357" s="16" t="str">
        <x:v>正式报告</x:v>
      </x:c>
      <x:c r="H1357" s="19" t="n">
        <x:v>7</x:v>
      </x:c>
      <x:c r="I1357" s="19" t="n">
        <x:v>6</x:v>
      </x:c>
      <x:c r="J1357" s="19" t="n">
        <x:v>1</x:v>
      </x:c>
      <x:c r="K1357" s="16" t="str">
        <x:v>5. Major deterioration</x:v>
      </x:c>
      <x:c r="L1357" s="16" t="str">
        <x:v>Possible</x:v>
      </x:c>
      <x:c r="M1357" s="16" t="str">
        <x:v>Moderate</x:v>
      </x:c>
      <x:c r="N1357" s="16" t="str">
        <x:v>High</x:v>
      </x:c>
    </x:row>
    <x:row r="1358" ht="37" customHeight="1">
      <x:c r="A1358" s="16" t="str">
        <x:v>RAW-01352</x:v>
      </x:c>
      <x:c r="B1358" s="16" t="str">
        <x:v>Recommendation</x:v>
      </x:c>
      <x:c r="C1358" s="16" t="str">
        <x:v>– Clean, remove corrosion and repaint all sections.</x:v>
      </x:c>
      <x:c r="D1358" s="16" t="str">
        <x:v>Steel hollow sections</x:v>
      </x:c>
      <x:c r="E1358" s="16" t="str">
        <x:v>SRC-071</x:v>
      </x:c>
      <x:c r="F1358" s="16" t="str">
        <x:v>REC-0018</x:v>
      </x:c>
      <x:c r="G1358" s="16" t="str">
        <x:v>正式报告</x:v>
      </x:c>
      <x:c r="H1358" s="19" t="n">
        <x:v>7</x:v>
      </x:c>
      <x:c r="I1358" s="19" t="n">
        <x:v>6</x:v>
      </x:c>
      <x:c r="J1358" s="19" t="n">
        <x:v>1</x:v>
      </x:c>
      <x:c r="K1358" s="16" t="str">
        <x:v>5. Major deterioration</x:v>
      </x:c>
      <x:c r="L1358" s="16" t="str">
        <x:v>Possible</x:v>
      </x:c>
      <x:c r="M1358" s="16" t="str">
        <x:v>Moderate</x:v>
      </x:c>
      <x:c r="N1358" s="16" t="str">
        <x:v>High</x:v>
      </x:c>
    </x:row>
    <x:row r="1359" ht="37" customHeight="1">
      <x:c r="A1359" s="16" t="str">
        <x:v>RAW-01353</x:v>
      </x:c>
      <x:c r="B1359" s="16" t="str">
        <x:v>Observation</x:v>
      </x:c>
      <x:c r="C1359" s="16" t="str">
        <x:v>– Surface corrosion on columns and paint deterioration.</x:v>
      </x:c>
      <x:c r="D1359" s="16" t="str">
        <x:v>Steel hollow sections</x:v>
      </x:c>
      <x:c r="E1359" s="16" t="str">
        <x:v>SRC-071</x:v>
      </x:c>
      <x:c r="F1359" s="16" t="str">
        <x:v>OBS-0584</x:v>
      </x:c>
      <x:c r="G1359" s="16" t="str">
        <x:v>正式报告</x:v>
      </x:c>
      <x:c r="H1359" s="19" t="n">
        <x:v>7</x:v>
      </x:c>
      <x:c r="I1359" s="19" t="n">
        <x:v>7</x:v>
      </x:c>
      <x:c r="J1359" s="19" t="n">
        <x:v>1</x:v>
      </x:c>
      <x:c r="K1359" s="16" t="str">
        <x:v>5. Major deterioration</x:v>
      </x:c>
      <x:c r="L1359" s="16" t="str">
        <x:v>Possible</x:v>
      </x:c>
      <x:c r="M1359" s="16" t="str">
        <x:v>Moderate</x:v>
      </x:c>
      <x:c r="N1359" s="16" t="str">
        <x:v>High</x:v>
      </x:c>
    </x:row>
    <x:row r="1360" ht="37" customHeight="1">
      <x:c r="A1360" s="16" t="str">
        <x:v>RAW-01354</x:v>
      </x:c>
      <x:c r="B1360" s="16" t="str">
        <x:v>Recommendation</x:v>
      </x:c>
      <x:c r="C1360" s="16" t="str">
        <x:v>– Clean, remove corrosion and repaint all sections.</x:v>
      </x:c>
      <x:c r="D1360" s="16" t="str">
        <x:v>Steel hollow sections</x:v>
      </x:c>
      <x:c r="E1360" s="16" t="str">
        <x:v>SRC-071</x:v>
      </x:c>
      <x:c r="F1360" s="16" t="str">
        <x:v>REC-0018</x:v>
      </x:c>
      <x:c r="G1360" s="16" t="str">
        <x:v>正式报告</x:v>
      </x:c>
      <x:c r="H1360" s="19" t="n">
        <x:v>7</x:v>
      </x:c>
      <x:c r="I1360" s="19" t="n">
        <x:v>7</x:v>
      </x:c>
      <x:c r="J1360" s="19" t="n">
        <x:v>1</x:v>
      </x:c>
      <x:c r="K1360" s="16" t="str">
        <x:v>5. Major deterioration</x:v>
      </x:c>
      <x:c r="L1360" s="16" t="str">
        <x:v>Possible</x:v>
      </x:c>
      <x:c r="M1360" s="16" t="str">
        <x:v>Moderate</x:v>
      </x:c>
      <x:c r="N1360" s="16" t="str">
        <x:v>High</x:v>
      </x:c>
    </x:row>
    <x:row r="1361" ht="41" customHeight="1">
      <x:c r="A1361" s="16" t="str">
        <x:v>RAW-01355</x:v>
      </x:c>
      <x:c r="B1361" s="16" t="str">
        <x:v>Observation</x:v>
      </x:c>
      <x:c r="C1361" s="16" t="str">
        <x:v>– Surface corrosion and paint deterioration on rafters. Corrosion is most pronounced atop the rafters and at welds.</x:v>
      </x:c>
      <x:c r="D1361" s="16" t="str">
        <x:v>Steel hollow sections</x:v>
      </x:c>
      <x:c r="E1361" s="16" t="str">
        <x:v>SRC-071</x:v>
      </x:c>
      <x:c r="F1361" s="16" t="str">
        <x:v>OBS-0579</x:v>
      </x:c>
      <x:c r="G1361" s="16" t="str">
        <x:v>正式报告</x:v>
      </x:c>
      <x:c r="H1361" s="19" t="n">
        <x:v>7</x:v>
      </x:c>
      <x:c r="I1361" s="19" t="n">
        <x:v>8</x:v>
      </x:c>
      <x:c r="J1361" s="19" t="n">
        <x:v>1</x:v>
      </x:c>
      <x:c r="K1361" s="16" t="str">
        <x:v>5. Major deterioration</x:v>
      </x:c>
      <x:c r="L1361" s="16" t="str">
        <x:v>Possible</x:v>
      </x:c>
      <x:c r="M1361" s="16" t="str">
        <x:v>Moderate</x:v>
      </x:c>
      <x:c r="N1361" s="16" t="str">
        <x:v>High</x:v>
      </x:c>
    </x:row>
    <x:row r="1362" ht="37" customHeight="1">
      <x:c r="A1362" s="16" t="str">
        <x:v>RAW-01356</x:v>
      </x:c>
      <x:c r="B1362" s="16" t="str">
        <x:v>Recommendation</x:v>
      </x:c>
      <x:c r="C1362" s="16" t="str">
        <x:v>– Clean, remove corrosion and repaint all sections.</x:v>
      </x:c>
      <x:c r="D1362" s="16" t="str">
        <x:v>Steel hollow sections</x:v>
      </x:c>
      <x:c r="E1362" s="16" t="str">
        <x:v>SRC-071</x:v>
      </x:c>
      <x:c r="F1362" s="16" t="str">
        <x:v>REC-0018</x:v>
      </x:c>
      <x:c r="G1362" s="16" t="str">
        <x:v>正式报告</x:v>
      </x:c>
      <x:c r="H1362" s="19" t="n">
        <x:v>7</x:v>
      </x:c>
      <x:c r="I1362" s="19" t="n">
        <x:v>8</x:v>
      </x:c>
      <x:c r="J1362" s="19" t="n">
        <x:v>1</x:v>
      </x:c>
      <x:c r="K1362" s="16" t="str">
        <x:v>5. Major deterioration</x:v>
      </x:c>
      <x:c r="L1362" s="16" t="str">
        <x:v>Possible</x:v>
      </x:c>
      <x:c r="M1362" s="16" t="str">
        <x:v>Moderate</x:v>
      </x:c>
      <x:c r="N1362" s="16" t="str">
        <x:v>High</x:v>
      </x:c>
    </x:row>
    <x:row r="1363" ht="37" customHeight="1">
      <x:c r="A1363" s="16" t="str">
        <x:v>RAW-01357</x:v>
      </x:c>
      <x:c r="B1363" s="16" t="str">
        <x:v>Observation</x:v>
      </x:c>
      <x:c r="C1363" s="16" t="str">
        <x:v>– Corrosion behind the placard. Minor corrosion and pitting of the entire steel sheet.</x:v>
      </x:c>
      <x:c r="D1363" s="16" t="str">
        <x:v>Informational Panel 1</x:v>
      </x:c>
      <x:c r="E1363" s="16" t="str">
        <x:v>SRC-071</x:v>
      </x:c>
      <x:c r="F1363" s="16" t="str">
        <x:v>OBS-0225</x:v>
      </x:c>
      <x:c r="G1363" s="16" t="str">
        <x:v>正式报告</x:v>
      </x:c>
      <x:c r="H1363" s="19" t="n">
        <x:v>8</x:v>
      </x:c>
      <x:c r="I1363" s="19" t="n">
        <x:v>6</x:v>
      </x:c>
      <x:c r="J1363" s="19" t="n">
        <x:v>1</x:v>
      </x:c>
      <x:c r="K1363" s="16" t="str">
        <x:v>4. Moderate deterioration</x:v>
      </x:c>
      <x:c r="L1363" s="16" t="str">
        <x:v>Possible</x:v>
      </x:c>
      <x:c r="M1363" s="16" t="str">
        <x:v>Minor</x:v>
      </x:c>
      <x:c r="N1363" s="16" t="str">
        <x:v>Moderate</x:v>
      </x:c>
    </x:row>
    <x:row r="1364" ht="37" customHeight="1">
      <x:c r="A1364" s="16" t="str">
        <x:v>RAW-01358</x:v>
      </x:c>
      <x:c r="B1364" s="16" t="str">
        <x:v>Recommendation</x:v>
      </x:c>
      <x:c r="C1364" s="16" t="str">
        <x:v>– Replace panel.</x:v>
      </x:c>
      <x:c r="D1364" s="16" t="str">
        <x:v>Informational Panel 1</x:v>
      </x:c>
      <x:c r="E1364" s="16" t="str">
        <x:v>SRC-071</x:v>
      </x:c>
      <x:c r="F1364" s="16" t="str">
        <x:v>REC-0147</x:v>
      </x:c>
      <x:c r="G1364" s="16" t="str">
        <x:v>正式报告</x:v>
      </x:c>
      <x:c r="H1364" s="19" t="n">
        <x:v>8</x:v>
      </x:c>
      <x:c r="I1364" s="19" t="n">
        <x:v>6</x:v>
      </x:c>
      <x:c r="J1364" s="19" t="n">
        <x:v>1</x:v>
      </x:c>
      <x:c r="K1364" s="16" t="str">
        <x:v>4. Moderate deterioration</x:v>
      </x:c>
      <x:c r="L1364" s="16" t="str">
        <x:v>Possible</x:v>
      </x:c>
      <x:c r="M1364" s="16" t="str">
        <x:v>Minor</x:v>
      </x:c>
      <x:c r="N1364" s="16" t="str">
        <x:v>Moderate</x:v>
      </x:c>
    </x:row>
    <x:row r="1365" ht="37" customHeight="1">
      <x:c r="A1365" s="16" t="str">
        <x:v>RAW-01359</x:v>
      </x:c>
      <x:c r="B1365" s="16" t="str">
        <x:v>Observation</x:v>
      </x:c>
      <x:c r="C1365" s="16" t="str">
        <x:v>– Deformed roof sheeting due to impact damage.</x:v>
      </x:c>
      <x:c r="D1365" s="16" t="str">
        <x:v>Roof sheeting</x:v>
      </x:c>
      <x:c r="E1365" s="16" t="str">
        <x:v>SRC-071</x:v>
      </x:c>
      <x:c r="F1365" s="16" t="str">
        <x:v>OBS-0246</x:v>
      </x:c>
      <x:c r="G1365" s="16" t="str">
        <x:v>正式报告</x:v>
      </x:c>
      <x:c r="H1365" s="19" t="n">
        <x:v>9</x:v>
      </x:c>
      <x:c r="I1365" s="19" t="n">
        <x:v>6</x:v>
      </x:c>
      <x:c r="J1365" s="19" t="n">
        <x:v>1</x:v>
      </x:c>
      <x:c r="K1365" s="16" t="str">
        <x:v>3. Minor deterioration</x:v>
      </x:c>
      <x:c r="L1365" s="16" t="str">
        <x:v>Unlikely</x:v>
      </x:c>
      <x:c r="M1365" s="16" t="str">
        <x:v>Minor</x:v>
      </x:c>
      <x:c r="N1365" s="16" t="str">
        <x:v>Low</x:v>
      </x:c>
    </x:row>
    <x:row r="1366" ht="37" customHeight="1">
      <x:c r="A1366" s="16" t="str">
        <x:v>RAW-01360</x:v>
      </x:c>
      <x:c r="B1366" s="16" t="str">
        <x:v>Observation</x:v>
      </x:c>
      <x:c r="C1366" s="16" t="str">
        <x:v>– Deformed roof sheeting.</x:v>
      </x:c>
      <x:c r="D1366" s="16" t="str">
        <x:v>Roof sheeting</x:v>
      </x:c>
      <x:c r="E1366" s="16" t="str">
        <x:v>SRC-071</x:v>
      </x:c>
      <x:c r="F1366" s="16" t="str">
        <x:v>OBS-0247</x:v>
      </x:c>
      <x:c r="G1366" s="16" t="str">
        <x:v>正式报告</x:v>
      </x:c>
      <x:c r="H1366" s="19" t="n">
        <x:v>9</x:v>
      </x:c>
      <x:c r="I1366" s="19" t="n">
        <x:v>7</x:v>
      </x:c>
      <x:c r="J1366" s="19" t="n">
        <x:v>1</x:v>
      </x:c>
      <x:c r="K1366" s="16" t="str">
        <x:v>3. Minor deterioration</x:v>
      </x:c>
      <x:c r="L1366" s="16" t="str">
        <x:v>Unlikely</x:v>
      </x:c>
      <x:c r="M1366" s="16" t="str">
        <x:v>Minor</x:v>
      </x:c>
      <x:c r="N1366" s="16" t="str">
        <x:v>Low</x:v>
      </x:c>
    </x:row>
    <x:row r="1367" ht="37" customHeight="1">
      <x:c r="A1367" s="16" t="str">
        <x:v>RAW-01361</x:v>
      </x:c>
      <x:c r="B1367" s="16" t="str">
        <x:v>Observation</x:v>
      </x:c>
      <x:c r="C1367" s="16" t="str">
        <x:v>– Minor corrosion of sheeting at corner.</x:v>
      </x:c>
      <x:c r="D1367" s="16" t="str">
        <x:v>Roof sheeting</x:v>
      </x:c>
      <x:c r="E1367" s="16" t="str">
        <x:v>SRC-071</x:v>
      </x:c>
      <x:c r="F1367" s="16" t="str">
        <x:v>OBS-0064</x:v>
      </x:c>
      <x:c r="G1367" s="16" t="str">
        <x:v>正式报告</x:v>
      </x:c>
      <x:c r="H1367" s="19" t="n">
        <x:v>9</x:v>
      </x:c>
      <x:c r="I1367" s="19" t="n">
        <x:v>8</x:v>
      </x:c>
      <x:c r="J1367" s="19" t="n">
        <x:v>1</x:v>
      </x:c>
      <x:c r="K1367" s="16" t="str">
        <x:v>3. Minor deterioration</x:v>
      </x:c>
      <x:c r="L1367" s="16" t="str">
        <x:v>Unlikely</x:v>
      </x:c>
      <x:c r="M1367" s="16" t="str">
        <x:v>Minor</x:v>
      </x:c>
      <x:c r="N1367" s="16" t="str">
        <x:v>Low</x:v>
      </x:c>
    </x:row>
    <x:row r="1368" ht="37" customHeight="1">
      <x:c r="A1368" s="16" t="str">
        <x:v>RAW-01362</x:v>
      </x:c>
      <x:c r="B1368" s="16" t="str">
        <x:v>Observation</x:v>
      </x:c>
      <x:c r="C1368" s="16" t="str">
        <x:v>– Minor corrosion of sheeting at corner.</x:v>
      </x:c>
      <x:c r="D1368" s="16" t="str">
        <x:v>Roof sheeting</x:v>
      </x:c>
      <x:c r="E1368" s="16" t="str">
        <x:v>SRC-071</x:v>
      </x:c>
      <x:c r="F1368" s="16" t="str">
        <x:v>OBS-0064</x:v>
      </x:c>
      <x:c r="G1368" s="16" t="str">
        <x:v>正式报告</x:v>
      </x:c>
      <x:c r="H1368" s="19" t="n">
        <x:v>9</x:v>
      </x:c>
      <x:c r="I1368" s="19" t="n">
        <x:v>9</x:v>
      </x:c>
      <x:c r="J1368" s="19" t="n">
        <x:v>1</x:v>
      </x:c>
      <x:c r="K1368" s="16" t="str">
        <x:v>3. Minor deterioration</x:v>
      </x:c>
      <x:c r="L1368" s="16" t="str">
        <x:v>Unlikely</x:v>
      </x:c>
      <x:c r="M1368" s="16" t="str">
        <x:v>Minor</x:v>
      </x:c>
      <x:c r="N1368" s="16" t="str">
        <x:v>Low</x:v>
      </x:c>
    </x:row>
    <x:row r="1369" ht="41" customHeight="1">
      <x:c r="A1369" s="16" t="str">
        <x:v>RAW-01363</x:v>
      </x:c>
      <x:c r="B1369" s="16" t="str">
        <x:v>Recommendation</x:v>
      </x:c>
      <x:c r="C1369" s="16" t="str">
        <x:v>– Bend roof back using rubber mallet. Clean, remove corrosion and repaint corroded sections of roof sheeting.</x:v>
      </x:c>
      <x:c r="D1369" s="16" t="str">
        <x:v>Roof sheeting</x:v>
      </x:c>
      <x:c r="E1369" s="16" t="str">
        <x:v>SRC-071</x:v>
      </x:c>
      <x:c r="F1369" s="16" t="str">
        <x:v>REC-0048</x:v>
      </x:c>
      <x:c r="G1369" s="16" t="str">
        <x:v>正式报告</x:v>
      </x:c>
      <x:c r="H1369" s="19" t="n">
        <x:v>9</x:v>
      </x:c>
      <x:c r="I1369" s="19" t="n">
        <x:v>9</x:v>
      </x:c>
      <x:c r="J1369" s="19" t="n">
        <x:v>1</x:v>
      </x:c>
      <x:c r="K1369" s="16" t="str">
        <x:v>3. Minor deterioration</x:v>
      </x:c>
      <x:c r="L1369" s="16" t="str">
        <x:v>Unlikely</x:v>
      </x:c>
      <x:c r="M1369" s="16" t="str">
        <x:v>Minor</x:v>
      </x:c>
      <x:c r="N1369" s="16" t="str">
        <x:v>Low</x:v>
      </x:c>
    </x:row>
    <x:row r="1370" ht="37" customHeight="1">
      <x:c r="A1370" s="16" t="str">
        <x:v>RAW-01364</x:v>
      </x:c>
      <x:c r="B1370" s="16" t="str">
        <x:v>Observation</x:v>
      </x:c>
      <x:c r="C1370" s="16" t="str">
        <x:v>– Shade structure overview.</x:v>
      </x:c>
      <x:c r="D1370" s="16" t="str">
        <x:v>Column baseplate</x:v>
      </x:c>
      <x:c r="E1370" s="16" t="str">
        <x:v>SRC-071</x:v>
      </x:c>
      <x:c r="F1370" s="16" t="str">
        <x:v>OBS-0566</x:v>
      </x:c>
      <x:c r="G1370" s="16" t="str">
        <x:v>正式报告</x:v>
      </x:c>
      <x:c r="H1370" s="19" t="n">
        <x:v>10</x:v>
      </x:c>
      <x:c r="I1370" s="19" t="n">
        <x:v>6</x:v>
      </x:c>
      <x:c r="J1370" s="19" t="n">
        <x:v>1</x:v>
      </x:c>
      <x:c r="K1370" s="16" t="str">
        <x:v>3. Minor deterioration</x:v>
      </x:c>
      <x:c r="L1370" s="16" t="str">
        <x:v>Unlikely</x:v>
      </x:c>
      <x:c r="M1370" s="16" t="str">
        <x:v>Minor</x:v>
      </x:c>
      <x:c r="N1370" s="16" t="str">
        <x:v>Low</x:v>
      </x:c>
    </x:row>
    <x:row r="1371" ht="37" customHeight="1">
      <x:c r="A1371" s="16" t="str">
        <x:v>RAW-01365</x:v>
      </x:c>
      <x:c r="B1371" s="16" t="str">
        <x:v>Observation</x:v>
      </x:c>
      <x:c r="C1371" s="16" t="str">
        <x:v>– Corroded base plate and bolts.</x:v>
      </x:c>
      <x:c r="D1371" s="16" t="str">
        <x:v>Column baseplate</x:v>
      </x:c>
      <x:c r="E1371" s="16" t="str">
        <x:v>SRC-071</x:v>
      </x:c>
      <x:c r="F1371" s="16" t="str">
        <x:v>OBS-0220</x:v>
      </x:c>
      <x:c r="G1371" s="16" t="str">
        <x:v>正式报告</x:v>
      </x:c>
      <x:c r="H1371" s="19" t="n">
        <x:v>10</x:v>
      </x:c>
      <x:c r="I1371" s="19" t="n">
        <x:v>7</x:v>
      </x:c>
      <x:c r="J1371" s="19" t="n">
        <x:v>3</x:v>
      </x:c>
      <x:c r="K1371" s="16" t="str">
        <x:v>3. Minor deterioration</x:v>
      </x:c>
      <x:c r="L1371" s="16" t="str">
        <x:v>Unlikely</x:v>
      </x:c>
      <x:c r="M1371" s="16" t="str">
        <x:v>Minor</x:v>
      </x:c>
      <x:c r="N1371" s="16" t="str">
        <x:v>Low</x:v>
      </x:c>
    </x:row>
    <x:row r="1372" ht="37" customHeight="1">
      <x:c r="A1372" s="16" t="str">
        <x:v>RAW-01366</x:v>
      </x:c>
      <x:c r="B1372" s="16" t="str">
        <x:v>Recommendation</x:v>
      </x:c>
      <x:c r="C1372" s="16" t="str">
        <x:v>– Clean, remove corrosion and repaint.</x:v>
      </x:c>
      <x:c r="D1372" s="16" t="str">
        <x:v>Column baseplate</x:v>
      </x:c>
      <x:c r="E1372" s="16" t="str">
        <x:v>SRC-071</x:v>
      </x:c>
      <x:c r="F1372" s="16" t="str">
        <x:v>REC-0002</x:v>
      </x:c>
      <x:c r="G1372" s="16" t="str">
        <x:v>正式报告</x:v>
      </x:c>
      <x:c r="H1372" s="19" t="n">
        <x:v>10</x:v>
      </x:c>
      <x:c r="I1372" s="19" t="n">
        <x:v>7</x:v>
      </x:c>
      <x:c r="J1372" s="19" t="n">
        <x:v>3</x:v>
      </x:c>
      <x:c r="K1372" s="16" t="str">
        <x:v>3. Minor deterioration</x:v>
      </x:c>
      <x:c r="L1372" s="16" t="str">
        <x:v>Unlikely</x:v>
      </x:c>
      <x:c r="M1372" s="16" t="str">
        <x:v>Minor</x:v>
      </x:c>
      <x:c r="N1372" s="16" t="str">
        <x:v>Low</x:v>
      </x:c>
    </x:row>
    <x:row r="1373" ht="37" customHeight="1">
      <x:c r="A1373" s="16" t="str">
        <x:v>RAW-01367</x:v>
      </x:c>
      <x:c r="B1373" s="16" t="str">
        <x:v>Observation</x:v>
      </x:c>
      <x:c r="C1373" s="16" t="str">
        <x:v>– Informational panel supported by steel hollow section columns.</x:v>
      </x:c>
      <x:c r="D1373" s="16" t="str">
        <x:v>Informational panel 2</x:v>
      </x:c>
      <x:c r="E1373" s="16" t="str">
        <x:v>SRC-071</x:v>
      </x:c>
      <x:c r="F1373" s="16" t="str">
        <x:v>OBS-0333</x:v>
      </x:c>
      <x:c r="G1373" s="16" t="str">
        <x:v>正式报告</x:v>
      </x:c>
      <x:c r="H1373" s="19" t="n">
        <x:v>11</x:v>
      </x:c>
      <x:c r="I1373" s="19" t="n">
        <x:v>6</x:v>
      </x:c>
      <x:c r="J1373" s="19" t="n">
        <x:v>1</x:v>
      </x:c>
      <x:c r="K1373" s="16" t="str">
        <x:v>3. Minor deterioration</x:v>
      </x:c>
      <x:c r="L1373" s="16" t="str">
        <x:v>Unlikely</x:v>
      </x:c>
      <x:c r="M1373" s="16" t="str">
        <x:v>Minor</x:v>
      </x:c>
      <x:c r="N1373" s="16" t="str">
        <x:v>Low</x:v>
      </x:c>
    </x:row>
    <x:row r="1374" ht="37" customHeight="1">
      <x:c r="A1374" s="16" t="str">
        <x:v>RAW-01368</x:v>
      </x:c>
      <x:c r="B1374" s="16" t="str">
        <x:v>Observation</x:v>
      </x:c>
      <x:c r="C1374" s="16" t="str">
        <x:v>– Front two legs. Surface corrosion of baseplate.</x:v>
      </x:c>
      <x:c r="D1374" s="16" t="str">
        <x:v>Informational panel 2</x:v>
      </x:c>
      <x:c r="E1374" s="16" t="str">
        <x:v>SRC-071</x:v>
      </x:c>
      <x:c r="F1374" s="16" t="str">
        <x:v>OBS-0286</x:v>
      </x:c>
      <x:c r="G1374" s="16" t="str">
        <x:v>正式报告</x:v>
      </x:c>
      <x:c r="H1374" s="19" t="n">
        <x:v>11</x:v>
      </x:c>
      <x:c r="I1374" s="19" t="n">
        <x:v>7</x:v>
      </x:c>
      <x:c r="J1374" s="19" t="n">
        <x:v>1</x:v>
      </x:c>
      <x:c r="K1374" s="16" t="str">
        <x:v>3. Minor deterioration</x:v>
      </x:c>
      <x:c r="L1374" s="16" t="str">
        <x:v>Unlikely</x:v>
      </x:c>
      <x:c r="M1374" s="16" t="str">
        <x:v>Minor</x:v>
      </x:c>
      <x:c r="N1374" s="16" t="str">
        <x:v>Low</x:v>
      </x:c>
    </x:row>
    <x:row r="1375" ht="37" customHeight="1">
      <x:c r="A1375" s="16" t="str">
        <x:v>RAW-01369</x:v>
      </x:c>
      <x:c r="B1375" s="16" t="str">
        <x:v>Observation</x:v>
      </x:c>
      <x:c r="C1375" s="16" t="str">
        <x:v>– Back leg. Surface corrosion of baseplate.</x:v>
      </x:c>
      <x:c r="D1375" s="16" t="str">
        <x:v>Informational panel 2</x:v>
      </x:c>
      <x:c r="E1375" s="16" t="str">
        <x:v>SRC-071</x:v>
      </x:c>
      <x:c r="F1375" s="16" t="str">
        <x:v>OBS-0100</x:v>
      </x:c>
      <x:c r="G1375" s="16" t="str">
        <x:v>正式报告</x:v>
      </x:c>
      <x:c r="H1375" s="19" t="n">
        <x:v>11</x:v>
      </x:c>
      <x:c r="I1375" s="19" t="n">
        <x:v>8</x:v>
      </x:c>
      <x:c r="J1375" s="19" t="n">
        <x:v>1</x:v>
      </x:c>
      <x:c r="K1375" s="16" t="str">
        <x:v>3. Minor deterioration</x:v>
      </x:c>
      <x:c r="L1375" s="16" t="str">
        <x:v>Unlikely</x:v>
      </x:c>
      <x:c r="M1375" s="16" t="str">
        <x:v>Minor</x:v>
      </x:c>
      <x:c r="N1375" s="16" t="str">
        <x:v>Low</x:v>
      </x:c>
    </x:row>
    <x:row r="1376" ht="37" customHeight="1">
      <x:c r="A1376" s="16" t="str">
        <x:v>RAW-01370</x:v>
      </x:c>
      <x:c r="B1376" s="16" t="str">
        <x:v>Recommendation</x:v>
      </x:c>
      <x:c r="C1376" s="16" t="str">
        <x:v>– Clean, remove corrosion and repaint.</x:v>
      </x:c>
      <x:c r="D1376" s="16" t="str">
        <x:v>Informational panel 2</x:v>
      </x:c>
      <x:c r="E1376" s="16" t="str">
        <x:v>SRC-071</x:v>
      </x:c>
      <x:c r="F1376" s="16" t="str">
        <x:v>REC-0002</x:v>
      </x:c>
      <x:c r="G1376" s="16" t="str">
        <x:v>正式报告</x:v>
      </x:c>
      <x:c r="H1376" s="19" t="n">
        <x:v>11</x:v>
      </x:c>
      <x:c r="I1376" s="19" t="n">
        <x:v>8</x:v>
      </x:c>
      <x:c r="J1376" s="19" t="n">
        <x:v>1</x:v>
      </x:c>
      <x:c r="K1376" s="16" t="str">
        <x:v>3. Minor deterioration</x:v>
      </x:c>
      <x:c r="L1376" s="16" t="str">
        <x:v>Unlikely</x:v>
      </x:c>
      <x:c r="M1376" s="16" t="str">
        <x:v>Minor</x:v>
      </x:c>
      <x:c r="N1376" s="16" t="str">
        <x:v>Low</x:v>
      </x:c>
    </x:row>
    <x:row r="1377" ht="37" customHeight="1">
      <x:c r="A1377" s="16" t="str">
        <x:v>RAW-01371</x:v>
      </x:c>
      <x:c r="B1377" s="16" t="str">
        <x:v>Observation</x:v>
      </x:c>
      <x:c r="C1377" s="16" t="str">
        <x:v>– Overview of miner statue.</x:v>
      </x:c>
      <x:c r="D1377" s="16" t="str">
        <x:v>Miner statue</x:v>
      </x:c>
      <x:c r="E1377" s="16" t="str">
        <x:v>SRC-072</x:v>
      </x:c>
      <x:c r="F1377" s="16" t="str">
        <x:v>OBS-0434</x:v>
      </x:c>
      <x:c r="G1377" s="16" t="str">
        <x:v>审阅或辅助文档</x:v>
      </x:c>
      <x:c r="H1377" s="19" t="n">
        <x:v>3</x:v>
      </x:c>
      <x:c r="I1377" s="19" t="n">
        <x:v>6</x:v>
      </x:c>
      <x:c r="J1377" s="19" t="n">
        <x:v>1</x:v>
      </x:c>
      <x:c r="K1377" s="16" t="str">
        <x:v>7. Very severe deterioration</x:v>
      </x:c>
      <x:c r="L1377" s="16" t="str">
        <x:v>Very likely</x:v>
      </x:c>
      <x:c r="M1377" s="16" t="str">
        <x:v>Significant</x:v>
      </x:c>
      <x:c r="N1377" s="16" t="str">
        <x:v>Urgent</x:v>
      </x:c>
    </x:row>
    <x:row r="1378" ht="37" customHeight="1">
      <x:c r="A1378" s="16" t="str">
        <x:v>RAW-01372</x:v>
      </x:c>
      <x:c r="B1378" s="16" t="str">
        <x:v>Observation</x:v>
      </x:c>
      <x:c r="C1378" s="16" t="str">
        <x:v>– Holes through the lower portion of the miner and severe flaking present.</x:v>
      </x:c>
      <x:c r="D1378" s="16" t="str">
        <x:v>Miner statue</x:v>
      </x:c>
      <x:c r="E1378" s="16" t="str">
        <x:v>SRC-072</x:v>
      </x:c>
      <x:c r="F1378" s="16" t="str">
        <x:v>OBS-0330</x:v>
      </x:c>
      <x:c r="G1378" s="16" t="str">
        <x:v>审阅或辅助文档</x:v>
      </x:c>
      <x:c r="H1378" s="19" t="n">
        <x:v>3</x:v>
      </x:c>
      <x:c r="I1378" s="19" t="n">
        <x:v>7</x:v>
      </x:c>
      <x:c r="J1378" s="19" t="n">
        <x:v>1</x:v>
      </x:c>
      <x:c r="K1378" s="16" t="str">
        <x:v>7. Very severe deterioration</x:v>
      </x:c>
      <x:c r="L1378" s="16" t="str">
        <x:v>Very likely</x:v>
      </x:c>
      <x:c r="M1378" s="16" t="str">
        <x:v>Significant</x:v>
      </x:c>
      <x:c r="N1378" s="16" t="str">
        <x:v>Urgent</x:v>
      </x:c>
    </x:row>
    <x:row r="1379" ht="37" customHeight="1">
      <x:c r="A1379" s="16" t="str">
        <x:v>RAW-01373</x:v>
      </x:c>
      <x:c r="B1379" s="16" t="str">
        <x:v>Recommendation</x:v>
      </x:c>
      <x:c r="C1379" s="16" t="str">
        <x:v>– Replacement of lower portion to match existing.</x:v>
      </x:c>
      <x:c r="D1379" s="16" t="str">
        <x:v>Miner statue</x:v>
      </x:c>
      <x:c r="E1379" s="16" t="str">
        <x:v>SRC-072</x:v>
      </x:c>
      <x:c r="F1379" s="16" t="str">
        <x:v>REC-0160</x:v>
      </x:c>
      <x:c r="G1379" s="16" t="str">
        <x:v>审阅或辅助文档</x:v>
      </x:c>
      <x:c r="H1379" s="19" t="n">
        <x:v>3</x:v>
      </x:c>
      <x:c r="I1379" s="19" t="n">
        <x:v>7</x:v>
      </x:c>
      <x:c r="J1379" s="19" t="n">
        <x:v>1</x:v>
      </x:c>
      <x:c r="K1379" s="16" t="str">
        <x:v>7. Very severe deterioration</x:v>
      </x:c>
      <x:c r="L1379" s="16" t="str">
        <x:v>Very likely</x:v>
      </x:c>
      <x:c r="M1379" s="16" t="str">
        <x:v>Significant</x:v>
      </x:c>
      <x:c r="N1379" s="16" t="str">
        <x:v>Urgent</x:v>
      </x:c>
    </x:row>
    <x:row r="1380" ht="37" customHeight="1">
      <x:c r="A1380" s="16" t="str">
        <x:v>RAW-01374</x:v>
      </x:c>
      <x:c r="B1380" s="16" t="str">
        <x:v>Observation</x:v>
      </x:c>
      <x:c r="C1380" s="16" t="str">
        <x:v>– Minor pitting of steel rail and cross beams.</x:v>
      </x:c>
      <x:c r="D1380" s="16" t="str">
        <x:v>Miner statue</x:v>
      </x:c>
      <x:c r="E1380" s="16" t="str">
        <x:v>SRC-072</x:v>
      </x:c>
      <x:c r="F1380" s="16" t="str">
        <x:v>OBS-0403</x:v>
      </x:c>
      <x:c r="G1380" s="16" t="str">
        <x:v>审阅或辅助文档</x:v>
      </x:c>
      <x:c r="H1380" s="19" t="n">
        <x:v>3</x:v>
      </x:c>
      <x:c r="I1380" s="19" t="n">
        <x:v>8</x:v>
      </x:c>
      <x:c r="J1380" s="19" t="n">
        <x:v>1</x:v>
      </x:c>
      <x:c r="K1380" s="16" t="str">
        <x:v>7. Very severe deterioration</x:v>
      </x:c>
      <x:c r="L1380" s="16" t="str">
        <x:v>Very likely</x:v>
      </x:c>
      <x:c r="M1380" s="16" t="str">
        <x:v>Significant</x:v>
      </x:c>
      <x:c r="N1380" s="16" t="str">
        <x:v>Urgent</x:v>
      </x:c>
    </x:row>
    <x:row r="1381" ht="37" customHeight="1">
      <x:c r="A1381" s="16" t="str">
        <x:v>RAW-01375</x:v>
      </x:c>
      <x:c r="B1381" s="16" t="str">
        <x:v>Recommendation</x:v>
      </x:c>
      <x:c r="C1381" s="16" t="str">
        <x:v>– Clean, remove corrosion and repaint.</x:v>
      </x:c>
      <x:c r="D1381" s="16" t="str">
        <x:v>Miner statue</x:v>
      </x:c>
      <x:c r="E1381" s="16" t="str">
        <x:v>SRC-072</x:v>
      </x:c>
      <x:c r="F1381" s="16" t="str">
        <x:v>REC-0002</x:v>
      </x:c>
      <x:c r="G1381" s="16" t="str">
        <x:v>审阅或辅助文档</x:v>
      </x:c>
      <x:c r="H1381" s="19" t="n">
        <x:v>3</x:v>
      </x:c>
      <x:c r="I1381" s="19" t="n">
        <x:v>8</x:v>
      </x:c>
      <x:c r="J1381" s="19" t="n">
        <x:v>1</x:v>
      </x:c>
      <x:c r="K1381" s="16" t="str">
        <x:v>7. Very severe deterioration</x:v>
      </x:c>
      <x:c r="L1381" s="16" t="str">
        <x:v>Very likely</x:v>
      </x:c>
      <x:c r="M1381" s="16" t="str">
        <x:v>Significant</x:v>
      </x:c>
      <x:c r="N1381" s="16" t="str">
        <x:v>Urgent</x:v>
      </x:c>
    </x:row>
    <x:row r="1382" ht="37" customHeight="1">
      <x:c r="A1382" s="16" t="str">
        <x:v>RAW-01376</x:v>
      </x:c>
      <x:c r="B1382" s="16" t="str">
        <x:v>Observation</x:v>
      </x:c>
      <x:c r="C1382" s="16" t="str">
        <x:v>– Pitting and blistering of steel to mining axe.</x:v>
      </x:c>
      <x:c r="D1382" s="16" t="str">
        <x:v>Miner statue</x:v>
      </x:c>
      <x:c r="E1382" s="16" t="str">
        <x:v>SRC-072</x:v>
      </x:c>
      <x:c r="F1382" s="16" t="str">
        <x:v>OBS-0463</x:v>
      </x:c>
      <x:c r="G1382" s="16" t="str">
        <x:v>审阅或辅助文档</x:v>
      </x:c>
      <x:c r="H1382" s="19" t="n">
        <x:v>3</x:v>
      </x:c>
      <x:c r="I1382" s="19" t="n">
        <x:v>9</x:v>
      </x:c>
      <x:c r="J1382" s="19" t="n">
        <x:v>1</x:v>
      </x:c>
      <x:c r="K1382" s="16" t="str">
        <x:v>7. Very severe deterioration</x:v>
      </x:c>
      <x:c r="L1382" s="16" t="str">
        <x:v>Very likely</x:v>
      </x:c>
      <x:c r="M1382" s="16" t="str">
        <x:v>Significant</x:v>
      </x:c>
      <x:c r="N1382" s="16" t="str">
        <x:v>Urgent</x:v>
      </x:c>
    </x:row>
    <x:row r="1383" ht="37" customHeight="1">
      <x:c r="A1383" s="16" t="str">
        <x:v>RAW-01377</x:v>
      </x:c>
      <x:c r="B1383" s="16" t="str">
        <x:v>Recommendation</x:v>
      </x:c>
      <x:c r="C1383" s="16" t="str">
        <x:v>– Clean, remove corrosion and repaint.</x:v>
      </x:c>
      <x:c r="D1383" s="16" t="str">
        <x:v>Miner statue</x:v>
      </x:c>
      <x:c r="E1383" s="16" t="str">
        <x:v>SRC-072</x:v>
      </x:c>
      <x:c r="F1383" s="16" t="str">
        <x:v>REC-0002</x:v>
      </x:c>
      <x:c r="G1383" s="16" t="str">
        <x:v>审阅或辅助文档</x:v>
      </x:c>
      <x:c r="H1383" s="19" t="n">
        <x:v>3</x:v>
      </x:c>
      <x:c r="I1383" s="19" t="n">
        <x:v>9</x:v>
      </x:c>
      <x:c r="J1383" s="19" t="n">
        <x:v>1</x:v>
      </x:c>
      <x:c r="K1383" s="16" t="str">
        <x:v>7. Very severe deterioration</x:v>
      </x:c>
      <x:c r="L1383" s="16" t="str">
        <x:v>Very likely</x:v>
      </x:c>
      <x:c r="M1383" s="16" t="str">
        <x:v>Significant</x:v>
      </x:c>
      <x:c r="N1383" s="16" t="str">
        <x:v>Urgent</x:v>
      </x:c>
    </x:row>
    <x:row r="1384" ht="41" customHeight="1">
      <x:c r="A1384" s="16" t="str">
        <x:v>RAW-01378</x:v>
      </x:c>
      <x:c r="B1384" s="16" t="str">
        <x:v>Observation</x:v>
      </x:c>
      <x:c r="C1384" s="16" t="str">
        <x:v>– Bench adjacent to column. Steel tube supporting seat has failed. All other tables and seating show signs of minor corrosion.</x:v>
      </x:c>
      <x:c r="D1384" s="16" t="str">
        <x:v>Table and seating</x:v>
      </x:c>
      <x:c r="E1384" s="16" t="str">
        <x:v>SRC-072</x:v>
      </x:c>
      <x:c r="F1384" s="16" t="str"/>
      <x:c r="G1384" s="16" t="str">
        <x:v>审阅或辅助文档</x:v>
      </x:c>
      <x:c r="H1384" s="19" t="n">
        <x:v>4</x:v>
      </x:c>
      <x:c r="I1384" s="19" t="n">
        <x:v>6</x:v>
      </x:c>
      <x:c r="J1384" s="19" t="n">
        <x:v>1</x:v>
      </x:c>
      <x:c r="K1384" s="16" t="str">
        <x:v>7. Very severe deterioration</x:v>
      </x:c>
      <x:c r="L1384" s="16" t="str">
        <x:v>Very likely</x:v>
      </x:c>
      <x:c r="M1384" s="16" t="str">
        <x:v>Moderate</x:v>
      </x:c>
      <x:c r="N1384" s="16" t="str">
        <x:v>Critical</x:v>
      </x:c>
    </x:row>
    <x:row r="1385" ht="37" customHeight="1">
      <x:c r="A1385" s="16" t="str">
        <x:v>RAW-01379</x:v>
      </x:c>
      <x:c r="B1385" s="16" t="str">
        <x:v>Observation</x:v>
      </x:c>
      <x:c r="C1385" s="16" t="str">
        <x:v>– Bench adjacent to column. Steel tube supporting seat has failed.</x:v>
      </x:c>
      <x:c r="D1385" s="16" t="str">
        <x:v>Table and seating</x:v>
      </x:c>
      <x:c r="E1385" s="16" t="str">
        <x:v>SRC-072</x:v>
      </x:c>
      <x:c r="F1385" s="16" t="str"/>
      <x:c r="G1385" s="16" t="str">
        <x:v>审阅或辅助文档</x:v>
      </x:c>
      <x:c r="H1385" s="19" t="n">
        <x:v>4</x:v>
      </x:c>
      <x:c r="I1385" s="19" t="n">
        <x:v>7</x:v>
      </x:c>
      <x:c r="J1385" s="19" t="n">
        <x:v>1</x:v>
      </x:c>
      <x:c r="K1385" s="16" t="str">
        <x:v>7. Very severe deterioration</x:v>
      </x:c>
      <x:c r="L1385" s="16" t="str">
        <x:v>Very likely</x:v>
      </x:c>
      <x:c r="M1385" s="16" t="str">
        <x:v>Moderate</x:v>
      </x:c>
      <x:c r="N1385" s="16" t="str">
        <x:v>Critical</x:v>
      </x:c>
    </x:row>
    <x:row r="1386" ht="37" customHeight="1">
      <x:c r="A1386" s="16" t="str">
        <x:v>RAW-01380</x:v>
      </x:c>
      <x:c r="B1386" s="16" t="str">
        <x:v>Observation</x:v>
      </x:c>
      <x:c r="C1386" s="16" t="str">
        <x:v>– Overview of table and seating. Minor corrosion to all areas.</x:v>
      </x:c>
      <x:c r="D1386" s="16" t="str">
        <x:v>Table and seating</x:v>
      </x:c>
      <x:c r="E1386" s="16" t="str">
        <x:v>SRC-072</x:v>
      </x:c>
      <x:c r="F1386" s="16" t="str">
        <x:v>OBS-0077</x:v>
      </x:c>
      <x:c r="G1386" s="16" t="str">
        <x:v>审阅或辅助文档</x:v>
      </x:c>
      <x:c r="H1386" s="19" t="n">
        <x:v>4</x:v>
      </x:c>
      <x:c r="I1386" s="19" t="n">
        <x:v>8</x:v>
      </x:c>
      <x:c r="J1386" s="19" t="n">
        <x:v>1</x:v>
      </x:c>
      <x:c r="K1386" s="16" t="str">
        <x:v>7. Very severe deterioration</x:v>
      </x:c>
      <x:c r="L1386" s="16" t="str">
        <x:v>Very likely</x:v>
      </x:c>
      <x:c r="M1386" s="16" t="str">
        <x:v>Moderate</x:v>
      </x:c>
      <x:c r="N1386" s="16" t="str">
        <x:v>Critical</x:v>
      </x:c>
    </x:row>
    <x:row r="1387" ht="37" customHeight="1">
      <x:c r="A1387" s="16" t="str">
        <x:v>RAW-01381</x:v>
      </x:c>
      <x:c r="B1387" s="16" t="str">
        <x:v>Observation</x:v>
      </x:c>
      <x:c r="C1387" s="16" t="str">
        <x:v>– Overview of table and seating. Minor corrosion to all areas.</x:v>
      </x:c>
      <x:c r="D1387" s="16" t="str">
        <x:v>Table and seating</x:v>
      </x:c>
      <x:c r="E1387" s="16" t="str">
        <x:v>SRC-072</x:v>
      </x:c>
      <x:c r="F1387" s="16" t="str">
        <x:v>OBS-0077</x:v>
      </x:c>
      <x:c r="G1387" s="16" t="str">
        <x:v>审阅或辅助文档</x:v>
      </x:c>
      <x:c r="H1387" s="19" t="n">
        <x:v>4</x:v>
      </x:c>
      <x:c r="I1387" s="19" t="n">
        <x:v>9</x:v>
      </x:c>
      <x:c r="J1387" s="19" t="n">
        <x:v>1</x:v>
      </x:c>
      <x:c r="K1387" s="16" t="str">
        <x:v>7. Very severe deterioration</x:v>
      </x:c>
      <x:c r="L1387" s="16" t="str">
        <x:v>Very likely</x:v>
      </x:c>
      <x:c r="M1387" s="16" t="str">
        <x:v>Moderate</x:v>
      </x:c>
      <x:c r="N1387" s="16" t="str">
        <x:v>Critical</x:v>
      </x:c>
    </x:row>
    <x:row r="1388" ht="37" customHeight="1">
      <x:c r="A1388" s="16" t="str">
        <x:v>RAW-01382</x:v>
      </x:c>
      <x:c r="B1388" s="16" t="str">
        <x:v>Recommendation</x:v>
      </x:c>
      <x:c r="C1388" s="16" t="str">
        <x:v>– Clean, remove corrosion and repaint. Replace failed steel tube.</x:v>
      </x:c>
      <x:c r="D1388" s="16" t="str">
        <x:v>Table and seating</x:v>
      </x:c>
      <x:c r="E1388" s="16" t="str">
        <x:v>SRC-072</x:v>
      </x:c>
      <x:c r="F1388" s="16" t="str">
        <x:v>REC-0067</x:v>
      </x:c>
      <x:c r="G1388" s="16" t="str">
        <x:v>审阅或辅助文档</x:v>
      </x:c>
      <x:c r="H1388" s="19" t="n">
        <x:v>4</x:v>
      </x:c>
      <x:c r="I1388" s="19" t="n">
        <x:v>9</x:v>
      </x:c>
      <x:c r="J1388" s="19" t="n">
        <x:v>1</x:v>
      </x:c>
      <x:c r="K1388" s="16" t="str">
        <x:v>7. Very severe deterioration</x:v>
      </x:c>
      <x:c r="L1388" s="16" t="str">
        <x:v>Very likely</x:v>
      </x:c>
      <x:c r="M1388" s="16" t="str">
        <x:v>Moderate</x:v>
      </x:c>
      <x:c r="N1388" s="16" t="str">
        <x:v>Critical</x:v>
      </x:c>
    </x:row>
    <x:row r="1389" ht="37" customHeight="1">
      <x:c r="A1389" s="16" t="str">
        <x:v>RAW-01383</x:v>
      </x:c>
      <x:c r="B1389" s="16" t="str">
        <x:v>Observation</x:v>
      </x:c>
      <x:c r="C1389" s="16" t="str">
        <x:v>– Failed steel sheeting poses a safety hazard to the public. Access to train not restricted.</x:v>
      </x:c>
      <x:c r="D1389" s="16" t="str">
        <x:v>Historical train steel sheeting</x:v>
      </x:c>
      <x:c r="E1389" s="16" t="str">
        <x:v>SRC-072</x:v>
      </x:c>
      <x:c r="F1389" s="16" t="str"/>
      <x:c r="G1389" s="16" t="str">
        <x:v>审阅或辅助文档</x:v>
      </x:c>
      <x:c r="H1389" s="19" t="n">
        <x:v>5</x:v>
      </x:c>
      <x:c r="I1389" s="19" t="n">
        <x:v>6</x:v>
      </x:c>
      <x:c r="J1389" s="19" t="n">
        <x:v>2</x:v>
      </x:c>
      <x:c r="K1389" s="16" t="str">
        <x:v>N/A</x:v>
      </x:c>
      <x:c r="L1389" s="16" t="str">
        <x:v>Likely</x:v>
      </x:c>
      <x:c r="M1389" s="16" t="str">
        <x:v>Significant</x:v>
      </x:c>
      <x:c r="N1389" s="16" t="str">
        <x:v>Critical</x:v>
      </x:c>
    </x:row>
    <x:row r="1390" ht="37" customHeight="1">
      <x:c r="A1390" s="16" t="str">
        <x:v>RAW-01384</x:v>
      </x:c>
      <x:c r="B1390" s="16" t="str">
        <x:v>Recommendation</x:v>
      </x:c>
      <x:c r="C1390" s="16" t="str">
        <x:v>– Repair fencing to restrict access to the train. Remove failed steel sheeting from site.</x:v>
      </x:c>
      <x:c r="D1390" s="16" t="str">
        <x:v>Historical train steel sheeting</x:v>
      </x:c>
      <x:c r="E1390" s="16" t="str">
        <x:v>SRC-072</x:v>
      </x:c>
      <x:c r="F1390" s="16" t="str"/>
      <x:c r="G1390" s="16" t="str">
        <x:v>审阅或辅助文档</x:v>
      </x:c>
      <x:c r="H1390" s="19" t="n">
        <x:v>5</x:v>
      </x:c>
      <x:c r="I1390" s="19" t="n">
        <x:v>6</x:v>
      </x:c>
      <x:c r="J1390" s="19" t="n">
        <x:v>2</x:v>
      </x:c>
      <x:c r="K1390" s="16" t="str">
        <x:v>N/A</x:v>
      </x:c>
      <x:c r="L1390" s="16" t="str">
        <x:v>Likely</x:v>
      </x:c>
      <x:c r="M1390" s="16" t="str">
        <x:v>Significant</x:v>
      </x:c>
      <x:c r="N1390" s="16" t="str">
        <x:v>Critical</x:v>
      </x:c>
    </x:row>
    <x:row r="1391" ht="37" customHeight="1">
      <x:c r="A1391" s="16" t="str">
        <x:v>RAW-01385</x:v>
      </x:c>
      <x:c r="B1391" s="16" t="str">
        <x:v>Observation</x:v>
      </x:c>
      <x:c r="C1391" s="16" t="str">
        <x:v>– Services terminal box not secure</x:v>
      </x:c>
      <x:c r="D1391" s="16" t="str">
        <x:v>Terminal box</x:v>
      </x:c>
      <x:c r="E1391" s="16" t="str">
        <x:v>SRC-072</x:v>
      </x:c>
      <x:c r="F1391" s="16" t="str"/>
      <x:c r="G1391" s="16" t="str">
        <x:v>审阅或辅助文档</x:v>
      </x:c>
      <x:c r="H1391" s="19" t="n">
        <x:v>6</x:v>
      </x:c>
      <x:c r="I1391" s="19" t="n">
        <x:v>6</x:v>
      </x:c>
      <x:c r="J1391" s="19" t="n">
        <x:v>1</x:v>
      </x:c>
      <x:c r="K1391" s="16" t="str">
        <x:v>N/A</x:v>
      </x:c>
      <x:c r="L1391" s="16" t="str">
        <x:v>Likely</x:v>
      </x:c>
      <x:c r="M1391" s="16" t="str">
        <x:v>Significant</x:v>
      </x:c>
      <x:c r="N1391" s="16" t="str">
        <x:v>Critical</x:v>
      </x:c>
    </x:row>
    <x:row r="1392" ht="37" customHeight="1">
      <x:c r="A1392" s="16" t="str">
        <x:v>RAW-01386</x:v>
      </x:c>
      <x:c r="B1392" s="16" t="str">
        <x:v>Recommendation</x:v>
      </x:c>
      <x:c r="C1392" s="16" t="str">
        <x:v>– Lock the service door to protect against public access.</x:v>
      </x:c>
      <x:c r="D1392" s="16" t="str">
        <x:v>Terminal box</x:v>
      </x:c>
      <x:c r="E1392" s="16" t="str">
        <x:v>SRC-072</x:v>
      </x:c>
      <x:c r="F1392" s="16" t="str">
        <x:v>REC-0110</x:v>
      </x:c>
      <x:c r="G1392" s="16" t="str">
        <x:v>审阅或辅助文档</x:v>
      </x:c>
      <x:c r="H1392" s="19" t="n">
        <x:v>6</x:v>
      </x:c>
      <x:c r="I1392" s="19" t="n">
        <x:v>6</x:v>
      </x:c>
      <x:c r="J1392" s="19" t="n">
        <x:v>1</x:v>
      </x:c>
      <x:c r="K1392" s="16" t="str">
        <x:v>N/A</x:v>
      </x:c>
      <x:c r="L1392" s="16" t="str">
        <x:v>Likely</x:v>
      </x:c>
      <x:c r="M1392" s="16" t="str">
        <x:v>Significant</x:v>
      </x:c>
      <x:c r="N1392" s="16" t="str">
        <x:v>Critical</x:v>
      </x:c>
    </x:row>
    <x:row r="1393" ht="41" customHeight="1">
      <x:c r="A1393" s="16" t="str">
        <x:v>RAW-01387</x:v>
      </x:c>
      <x:c r="B1393" s="16" t="str">
        <x:v>Observation</x:v>
      </x:c>
      <x:c r="C1393" s="16" t="str">
        <x:v>– Surface corrosion of roof and structural columns. Corrosion is worst on top of rafters. Corrosion is most pronounced atop the rafters and at welds.</x:v>
      </x:c>
      <x:c r="D1393" s="16" t="str">
        <x:v>Steel hollow sections</x:v>
      </x:c>
      <x:c r="E1393" s="16" t="str">
        <x:v>SRC-072</x:v>
      </x:c>
      <x:c r="F1393" s="16" t="str">
        <x:v>OBS-0582</x:v>
      </x:c>
      <x:c r="G1393" s="16" t="str">
        <x:v>审阅或辅助文档</x:v>
      </x:c>
      <x:c r="H1393" s="19" t="n">
        <x:v>7</x:v>
      </x:c>
      <x:c r="I1393" s="19" t="n">
        <x:v>6</x:v>
      </x:c>
      <x:c r="J1393" s="19" t="n">
        <x:v>1</x:v>
      </x:c>
      <x:c r="K1393" s="16" t="str">
        <x:v>5. Major deterioration</x:v>
      </x:c>
      <x:c r="L1393" s="16" t="str">
        <x:v>Possible</x:v>
      </x:c>
      <x:c r="M1393" s="16" t="str">
        <x:v>Moderate</x:v>
      </x:c>
      <x:c r="N1393" s="16" t="str">
        <x:v>High</x:v>
      </x:c>
    </x:row>
    <x:row r="1394" ht="37" customHeight="1">
      <x:c r="A1394" s="16" t="str">
        <x:v>RAW-01388</x:v>
      </x:c>
      <x:c r="B1394" s="16" t="str">
        <x:v>Observation</x:v>
      </x:c>
      <x:c r="C1394" s="16" t="str">
        <x:v>– Surface corrosion on columns and paint deterioration.</x:v>
      </x:c>
      <x:c r="D1394" s="16" t="str">
        <x:v>Steel hollow sections</x:v>
      </x:c>
      <x:c r="E1394" s="16" t="str">
        <x:v>SRC-072</x:v>
      </x:c>
      <x:c r="F1394" s="16" t="str">
        <x:v>OBS-0584</x:v>
      </x:c>
      <x:c r="G1394" s="16" t="str">
        <x:v>审阅或辅助文档</x:v>
      </x:c>
      <x:c r="H1394" s="19" t="n">
        <x:v>7</x:v>
      </x:c>
      <x:c r="I1394" s="19" t="n">
        <x:v>7</x:v>
      </x:c>
      <x:c r="J1394" s="19" t="n">
        <x:v>1</x:v>
      </x:c>
      <x:c r="K1394" s="16" t="str">
        <x:v>5. Major deterioration</x:v>
      </x:c>
      <x:c r="L1394" s="16" t="str">
        <x:v>Possible</x:v>
      </x:c>
      <x:c r="M1394" s="16" t="str">
        <x:v>Moderate</x:v>
      </x:c>
      <x:c r="N1394" s="16" t="str">
        <x:v>High</x:v>
      </x:c>
    </x:row>
    <x:row r="1395" ht="41" customHeight="1">
      <x:c r="A1395" s="16" t="str">
        <x:v>RAW-01389</x:v>
      </x:c>
      <x:c r="B1395" s="16" t="str">
        <x:v>Observation</x:v>
      </x:c>
      <x:c r="C1395" s="16" t="str">
        <x:v>– Surface corrosion and paint deterioration on rafters. Corrosion is most pronounced atop the rafters and at welds.</x:v>
      </x:c>
      <x:c r="D1395" s="16" t="str">
        <x:v>Steel hollow sections</x:v>
      </x:c>
      <x:c r="E1395" s="16" t="str">
        <x:v>SRC-072</x:v>
      </x:c>
      <x:c r="F1395" s="16" t="str">
        <x:v>OBS-0579</x:v>
      </x:c>
      <x:c r="G1395" s="16" t="str">
        <x:v>审阅或辅助文档</x:v>
      </x:c>
      <x:c r="H1395" s="19" t="n">
        <x:v>7</x:v>
      </x:c>
      <x:c r="I1395" s="19" t="n">
        <x:v>8</x:v>
      </x:c>
      <x:c r="J1395" s="19" t="n">
        <x:v>1</x:v>
      </x:c>
      <x:c r="K1395" s="16" t="str">
        <x:v>5. Major deterioration</x:v>
      </x:c>
      <x:c r="L1395" s="16" t="str">
        <x:v>Possible</x:v>
      </x:c>
      <x:c r="M1395" s="16" t="str">
        <x:v>Moderate</x:v>
      </x:c>
      <x:c r="N1395" s="16" t="str">
        <x:v>High</x:v>
      </x:c>
    </x:row>
    <x:row r="1396" ht="37" customHeight="1">
      <x:c r="A1396" s="16" t="str">
        <x:v>RAW-01390</x:v>
      </x:c>
      <x:c r="B1396" s="16" t="str">
        <x:v>Recommendation</x:v>
      </x:c>
      <x:c r="C1396" s="16" t="str">
        <x:v>– Clean, remove corrosion and repaint all sections.</x:v>
      </x:c>
      <x:c r="D1396" s="16" t="str">
        <x:v>Steel hollow sections</x:v>
      </x:c>
      <x:c r="E1396" s="16" t="str">
        <x:v>SRC-072</x:v>
      </x:c>
      <x:c r="F1396" s="16" t="str">
        <x:v>REC-0018</x:v>
      </x:c>
      <x:c r="G1396" s="16" t="str">
        <x:v>审阅或辅助文档</x:v>
      </x:c>
      <x:c r="H1396" s="19" t="n">
        <x:v>7</x:v>
      </x:c>
      <x:c r="I1396" s="19" t="n">
        <x:v>8</x:v>
      </x:c>
      <x:c r="J1396" s="19" t="n">
        <x:v>1</x:v>
      </x:c>
      <x:c r="K1396" s="16" t="str">
        <x:v>5. Major deterioration</x:v>
      </x:c>
      <x:c r="L1396" s="16" t="str">
        <x:v>Possible</x:v>
      </x:c>
      <x:c r="M1396" s="16" t="str">
        <x:v>Moderate</x:v>
      </x:c>
      <x:c r="N1396" s="16" t="str">
        <x:v>High</x:v>
      </x:c>
    </x:row>
    <x:row r="1397" ht="37" customHeight="1">
      <x:c r="A1397" s="16" t="str">
        <x:v>RAW-01391</x:v>
      </x:c>
      <x:c r="B1397" s="16" t="str">
        <x:v>Observation</x:v>
      </x:c>
      <x:c r="C1397" s="16" t="str">
        <x:v>– Flaking corrosion behind the placard. Minor corrosion and pitting of the entire steel sheet.</x:v>
      </x:c>
      <x:c r="D1397" s="16" t="str">
        <x:v>Informational panel 1</x:v>
      </x:c>
      <x:c r="E1397" s="16" t="str">
        <x:v>SRC-072</x:v>
      </x:c>
      <x:c r="F1397" s="16" t="str"/>
      <x:c r="G1397" s="16" t="str">
        <x:v>审阅或辅助文档</x:v>
      </x:c>
      <x:c r="H1397" s="19" t="n">
        <x:v>8</x:v>
      </x:c>
      <x:c r="I1397" s="19" t="n">
        <x:v>6</x:v>
      </x:c>
      <x:c r="J1397" s="19" t="n">
        <x:v>1</x:v>
      </x:c>
      <x:c r="K1397" s="16" t="str">
        <x:v>4. Moderate deterioration</x:v>
      </x:c>
      <x:c r="L1397" s="16" t="str">
        <x:v>Possible</x:v>
      </x:c>
      <x:c r="M1397" s="16" t="str">
        <x:v>Minor</x:v>
      </x:c>
      <x:c r="N1397" s="16" t="str">
        <x:v>Moderate</x:v>
      </x:c>
    </x:row>
    <x:row r="1398" ht="37" customHeight="1">
      <x:c r="A1398" s="16" t="str">
        <x:v>RAW-01392</x:v>
      </x:c>
      <x:c r="B1398" s="16" t="str">
        <x:v>Recommendation</x:v>
      </x:c>
      <x:c r="C1398" s="16" t="str">
        <x:v>– Replace panel.</x:v>
      </x:c>
      <x:c r="D1398" s="16" t="str">
        <x:v>Informational panel 1</x:v>
      </x:c>
      <x:c r="E1398" s="16" t="str">
        <x:v>SRC-072</x:v>
      </x:c>
      <x:c r="F1398" s="16" t="str">
        <x:v>REC-0147</x:v>
      </x:c>
      <x:c r="G1398" s="16" t="str">
        <x:v>审阅或辅助文档</x:v>
      </x:c>
      <x:c r="H1398" s="19" t="n">
        <x:v>8</x:v>
      </x:c>
      <x:c r="I1398" s="19" t="n">
        <x:v>6</x:v>
      </x:c>
      <x:c r="J1398" s="19" t="n">
        <x:v>1</x:v>
      </x:c>
      <x:c r="K1398" s="16" t="str">
        <x:v>4. Moderate deterioration</x:v>
      </x:c>
      <x:c r="L1398" s="16" t="str">
        <x:v>Possible</x:v>
      </x:c>
      <x:c r="M1398" s="16" t="str">
        <x:v>Minor</x:v>
      </x:c>
      <x:c r="N1398" s="16" t="str">
        <x:v>Moderate</x:v>
      </x:c>
    </x:row>
    <x:row r="1399" ht="37" customHeight="1">
      <x:c r="A1399" s="16" t="str">
        <x:v>RAW-01393</x:v>
      </x:c>
      <x:c r="B1399" s="16" t="str">
        <x:v>Observation</x:v>
      </x:c>
      <x:c r="C1399" s="16" t="str">
        <x:v>– Deformed roof sheeting due to impact damage.</x:v>
      </x:c>
      <x:c r="D1399" s="16" t="str">
        <x:v>Roof sheeting</x:v>
      </x:c>
      <x:c r="E1399" s="16" t="str">
        <x:v>SRC-072</x:v>
      </x:c>
      <x:c r="F1399" s="16" t="str">
        <x:v>OBS-0246</x:v>
      </x:c>
      <x:c r="G1399" s="16" t="str">
        <x:v>审阅或辅助文档</x:v>
      </x:c>
      <x:c r="H1399" s="19" t="n">
        <x:v>9</x:v>
      </x:c>
      <x:c r="I1399" s="19" t="n">
        <x:v>6</x:v>
      </x:c>
      <x:c r="J1399" s="19" t="n">
        <x:v>1</x:v>
      </x:c>
      <x:c r="K1399" s="16" t="str">
        <x:v>3. Minor deterioration</x:v>
      </x:c>
      <x:c r="L1399" s="16" t="str">
        <x:v>Unlikely</x:v>
      </x:c>
      <x:c r="M1399" s="16" t="str">
        <x:v>Minor</x:v>
      </x:c>
      <x:c r="N1399" s="16" t="str">
        <x:v>Low</x:v>
      </x:c>
    </x:row>
    <x:row r="1400" ht="37" customHeight="1">
      <x:c r="A1400" s="16" t="str">
        <x:v>RAW-01394</x:v>
      </x:c>
      <x:c r="B1400" s="16" t="str">
        <x:v>Observation</x:v>
      </x:c>
      <x:c r="C1400" s="16" t="str">
        <x:v>– Deformed roof sheeting.</x:v>
      </x:c>
      <x:c r="D1400" s="16" t="str">
        <x:v>Roof sheeting</x:v>
      </x:c>
      <x:c r="E1400" s="16" t="str">
        <x:v>SRC-072</x:v>
      </x:c>
      <x:c r="F1400" s="16" t="str">
        <x:v>OBS-0247</x:v>
      </x:c>
      <x:c r="G1400" s="16" t="str">
        <x:v>审阅或辅助文档</x:v>
      </x:c>
      <x:c r="H1400" s="19" t="n">
        <x:v>9</x:v>
      </x:c>
      <x:c r="I1400" s="19" t="n">
        <x:v>7</x:v>
      </x:c>
      <x:c r="J1400" s="19" t="n">
        <x:v>1</x:v>
      </x:c>
      <x:c r="K1400" s="16" t="str">
        <x:v>3. Minor deterioration</x:v>
      </x:c>
      <x:c r="L1400" s="16" t="str">
        <x:v>Unlikely</x:v>
      </x:c>
      <x:c r="M1400" s="16" t="str">
        <x:v>Minor</x:v>
      </x:c>
      <x:c r="N1400" s="16" t="str">
        <x:v>Low</x:v>
      </x:c>
    </x:row>
    <x:row r="1401" ht="37" customHeight="1">
      <x:c r="A1401" s="16" t="str">
        <x:v>RAW-01395</x:v>
      </x:c>
      <x:c r="B1401" s="16" t="str">
        <x:v>Observation</x:v>
      </x:c>
      <x:c r="C1401" s="16" t="str">
        <x:v>– Minor corrosion of sheeting at corner.</x:v>
      </x:c>
      <x:c r="D1401" s="16" t="str">
        <x:v>Roof sheeting</x:v>
      </x:c>
      <x:c r="E1401" s="16" t="str">
        <x:v>SRC-072</x:v>
      </x:c>
      <x:c r="F1401" s="16" t="str">
        <x:v>OBS-0064</x:v>
      </x:c>
      <x:c r="G1401" s="16" t="str">
        <x:v>审阅或辅助文档</x:v>
      </x:c>
      <x:c r="H1401" s="19" t="n">
        <x:v>9</x:v>
      </x:c>
      <x:c r="I1401" s="19" t="n">
        <x:v>8</x:v>
      </x:c>
      <x:c r="J1401" s="19" t="n">
        <x:v>1</x:v>
      </x:c>
      <x:c r="K1401" s="16" t="str">
        <x:v>3. Minor deterioration</x:v>
      </x:c>
      <x:c r="L1401" s="16" t="str">
        <x:v>Unlikely</x:v>
      </x:c>
      <x:c r="M1401" s="16" t="str">
        <x:v>Minor</x:v>
      </x:c>
      <x:c r="N1401" s="16" t="str">
        <x:v>Low</x:v>
      </x:c>
    </x:row>
    <x:row r="1402" ht="37" customHeight="1">
      <x:c r="A1402" s="16" t="str">
        <x:v>RAW-01396</x:v>
      </x:c>
      <x:c r="B1402" s="16" t="str">
        <x:v>Observation</x:v>
      </x:c>
      <x:c r="C1402" s="16" t="str">
        <x:v>– Minor corrosion of sheeting at corner.</x:v>
      </x:c>
      <x:c r="D1402" s="16" t="str">
        <x:v>Roof sheeting</x:v>
      </x:c>
      <x:c r="E1402" s="16" t="str">
        <x:v>SRC-072</x:v>
      </x:c>
      <x:c r="F1402" s="16" t="str">
        <x:v>OBS-0064</x:v>
      </x:c>
      <x:c r="G1402" s="16" t="str">
        <x:v>审阅或辅助文档</x:v>
      </x:c>
      <x:c r="H1402" s="19" t="n">
        <x:v>9</x:v>
      </x:c>
      <x:c r="I1402" s="19" t="n">
        <x:v>9</x:v>
      </x:c>
      <x:c r="J1402" s="19" t="n">
        <x:v>1</x:v>
      </x:c>
      <x:c r="K1402" s="16" t="str">
        <x:v>3. Minor deterioration</x:v>
      </x:c>
      <x:c r="L1402" s="16" t="str">
        <x:v>Unlikely</x:v>
      </x:c>
      <x:c r="M1402" s="16" t="str">
        <x:v>Minor</x:v>
      </x:c>
      <x:c r="N1402" s="16" t="str">
        <x:v>Low</x:v>
      </x:c>
    </x:row>
    <x:row r="1403" ht="41" customHeight="1">
      <x:c r="A1403" s="16" t="str">
        <x:v>RAW-01397</x:v>
      </x:c>
      <x:c r="B1403" s="16" t="str">
        <x:v>Recommendation</x:v>
      </x:c>
      <x:c r="C1403" s="16" t="str">
        <x:v>– Bend roof back using rubber mallet. Clean, remove corrosion and repaint corroded sections of roof sheeting.</x:v>
      </x:c>
      <x:c r="D1403" s="16" t="str">
        <x:v>Roof sheeting</x:v>
      </x:c>
      <x:c r="E1403" s="16" t="str">
        <x:v>SRC-072</x:v>
      </x:c>
      <x:c r="F1403" s="16" t="str">
        <x:v>REC-0048</x:v>
      </x:c>
      <x:c r="G1403" s="16" t="str">
        <x:v>审阅或辅助文档</x:v>
      </x:c>
      <x:c r="H1403" s="19" t="n">
        <x:v>9</x:v>
      </x:c>
      <x:c r="I1403" s="19" t="n">
        <x:v>9</x:v>
      </x:c>
      <x:c r="J1403" s="19" t="n">
        <x:v>1</x:v>
      </x:c>
      <x:c r="K1403" s="16" t="str">
        <x:v>3. Minor deterioration</x:v>
      </x:c>
      <x:c r="L1403" s="16" t="str">
        <x:v>Unlikely</x:v>
      </x:c>
      <x:c r="M1403" s="16" t="str">
        <x:v>Minor</x:v>
      </x:c>
      <x:c r="N1403" s="16" t="str">
        <x:v>Low</x:v>
      </x:c>
    </x:row>
    <x:row r="1404" ht="37" customHeight="1">
      <x:c r="A1404" s="16" t="str">
        <x:v>RAW-01398</x:v>
      </x:c>
      <x:c r="B1404" s="16" t="str">
        <x:v>Observation</x:v>
      </x:c>
      <x:c r="C1404" s="16" t="str">
        <x:v>– Shade structure overview.</x:v>
      </x:c>
      <x:c r="D1404" s="16" t="str">
        <x:v>Column baseplate</x:v>
      </x:c>
      <x:c r="E1404" s="16" t="str">
        <x:v>SRC-072</x:v>
      </x:c>
      <x:c r="F1404" s="16" t="str">
        <x:v>OBS-0566</x:v>
      </x:c>
      <x:c r="G1404" s="16" t="str">
        <x:v>审阅或辅助文档</x:v>
      </x:c>
      <x:c r="H1404" s="19" t="n">
        <x:v>10</x:v>
      </x:c>
      <x:c r="I1404" s="19" t="n">
        <x:v>6</x:v>
      </x:c>
      <x:c r="J1404" s="19" t="n">
        <x:v>1</x:v>
      </x:c>
      <x:c r="K1404" s="16" t="str">
        <x:v>3. Minor deterioration</x:v>
      </x:c>
      <x:c r="L1404" s="16" t="str">
        <x:v>Unlikely</x:v>
      </x:c>
      <x:c r="M1404" s="16" t="str">
        <x:v>Minor</x:v>
      </x:c>
      <x:c r="N1404" s="16" t="str">
        <x:v>Low</x:v>
      </x:c>
    </x:row>
    <x:row r="1405" ht="37" customHeight="1">
      <x:c r="A1405" s="16" t="str">
        <x:v>RAW-01399</x:v>
      </x:c>
      <x:c r="B1405" s="16" t="str">
        <x:v>Observation</x:v>
      </x:c>
      <x:c r="C1405" s="16" t="str">
        <x:v>– Corroded base plate and bolts</x:v>
      </x:c>
      <x:c r="D1405" s="16" t="str">
        <x:v>Column baseplate</x:v>
      </x:c>
      <x:c r="E1405" s="16" t="str">
        <x:v>SRC-072</x:v>
      </x:c>
      <x:c r="F1405" s="16" t="str">
        <x:v>OBS-0220</x:v>
      </x:c>
      <x:c r="G1405" s="16" t="str">
        <x:v>审阅或辅助文档</x:v>
      </x:c>
      <x:c r="H1405" s="19" t="n">
        <x:v>10</x:v>
      </x:c>
      <x:c r="I1405" s="19" t="n">
        <x:v>7</x:v>
      </x:c>
      <x:c r="J1405" s="19" t="n">
        <x:v>3</x:v>
      </x:c>
      <x:c r="K1405" s="16" t="str">
        <x:v>3. Minor deterioration</x:v>
      </x:c>
      <x:c r="L1405" s="16" t="str">
        <x:v>Unlikely</x:v>
      </x:c>
      <x:c r="M1405" s="16" t="str">
        <x:v>Minor</x:v>
      </x:c>
      <x:c r="N1405" s="16" t="str">
        <x:v>Low</x:v>
      </x:c>
    </x:row>
    <x:row r="1406" ht="37" customHeight="1">
      <x:c r="A1406" s="16" t="str">
        <x:v>RAW-01400</x:v>
      </x:c>
      <x:c r="B1406" s="16" t="str">
        <x:v>Recommendation</x:v>
      </x:c>
      <x:c r="C1406" s="16" t="str">
        <x:v>– Clean, remove corrosion and repaint.</x:v>
      </x:c>
      <x:c r="D1406" s="16" t="str">
        <x:v>Column baseplate</x:v>
      </x:c>
      <x:c r="E1406" s="16" t="str">
        <x:v>SRC-072</x:v>
      </x:c>
      <x:c r="F1406" s="16" t="str">
        <x:v>REC-0002</x:v>
      </x:c>
      <x:c r="G1406" s="16" t="str">
        <x:v>审阅或辅助文档</x:v>
      </x:c>
      <x:c r="H1406" s="19" t="n">
        <x:v>10</x:v>
      </x:c>
      <x:c r="I1406" s="19" t="n">
        <x:v>7</x:v>
      </x:c>
      <x:c r="J1406" s="19" t="n">
        <x:v>3</x:v>
      </x:c>
      <x:c r="K1406" s="16" t="str">
        <x:v>3. Minor deterioration</x:v>
      </x:c>
      <x:c r="L1406" s="16" t="str">
        <x:v>Unlikely</x:v>
      </x:c>
      <x:c r="M1406" s="16" t="str">
        <x:v>Minor</x:v>
      </x:c>
      <x:c r="N1406" s="16" t="str">
        <x:v>Low</x:v>
      </x:c>
    </x:row>
    <x:row r="1407" ht="37" customHeight="1">
      <x:c r="A1407" s="16" t="str">
        <x:v>RAW-01401</x:v>
      </x:c>
      <x:c r="B1407" s="16" t="str">
        <x:v>Observation</x:v>
      </x:c>
      <x:c r="C1407" s="16" t="str">
        <x:v>– Informational panel supported by steel hollow section columns.</x:v>
      </x:c>
      <x:c r="D1407" s="16" t="str">
        <x:v>Informational panel 2</x:v>
      </x:c>
      <x:c r="E1407" s="16" t="str">
        <x:v>SRC-072</x:v>
      </x:c>
      <x:c r="F1407" s="16" t="str">
        <x:v>OBS-0333</x:v>
      </x:c>
      <x:c r="G1407" s="16" t="str">
        <x:v>审阅或辅助文档</x:v>
      </x:c>
      <x:c r="H1407" s="19" t="n">
        <x:v>11</x:v>
      </x:c>
      <x:c r="I1407" s="19" t="n">
        <x:v>6</x:v>
      </x:c>
      <x:c r="J1407" s="19" t="n">
        <x:v>1</x:v>
      </x:c>
      <x:c r="K1407" s="16" t="str">
        <x:v>3. Minor deterioration</x:v>
      </x:c>
      <x:c r="L1407" s="16" t="str">
        <x:v>Unlikely</x:v>
      </x:c>
      <x:c r="M1407" s="16" t="str">
        <x:v>Minor</x:v>
      </x:c>
      <x:c r="N1407" s="16" t="str">
        <x:v>Low</x:v>
      </x:c>
    </x:row>
    <x:row r="1408" ht="37" customHeight="1">
      <x:c r="A1408" s="16" t="str">
        <x:v>RAW-01402</x:v>
      </x:c>
      <x:c r="B1408" s="16" t="str">
        <x:v>Observation</x:v>
      </x:c>
      <x:c r="C1408" s="16" t="str">
        <x:v>– Front two legs. Surface corrosion of baseplate.</x:v>
      </x:c>
      <x:c r="D1408" s="16" t="str">
        <x:v>Informational panel 2</x:v>
      </x:c>
      <x:c r="E1408" s="16" t="str">
        <x:v>SRC-072</x:v>
      </x:c>
      <x:c r="F1408" s="16" t="str">
        <x:v>OBS-0286</x:v>
      </x:c>
      <x:c r="G1408" s="16" t="str">
        <x:v>审阅或辅助文档</x:v>
      </x:c>
      <x:c r="H1408" s="19" t="n">
        <x:v>11</x:v>
      </x:c>
      <x:c r="I1408" s="19" t="n">
        <x:v>7</x:v>
      </x:c>
      <x:c r="J1408" s="19" t="n">
        <x:v>1</x:v>
      </x:c>
      <x:c r="K1408" s="16" t="str">
        <x:v>3. Minor deterioration</x:v>
      </x:c>
      <x:c r="L1408" s="16" t="str">
        <x:v>Unlikely</x:v>
      </x:c>
      <x:c r="M1408" s="16" t="str">
        <x:v>Minor</x:v>
      </x:c>
      <x:c r="N1408" s="16" t="str">
        <x:v>Low</x:v>
      </x:c>
    </x:row>
    <x:row r="1409" ht="37" customHeight="1">
      <x:c r="A1409" s="16" t="str">
        <x:v>RAW-01403</x:v>
      </x:c>
      <x:c r="B1409" s="16" t="str">
        <x:v>Observation</x:v>
      </x:c>
      <x:c r="C1409" s="16" t="str">
        <x:v>– Back leg. Surface corrosion of baseplate.</x:v>
      </x:c>
      <x:c r="D1409" s="16" t="str">
        <x:v>Informational panel 2</x:v>
      </x:c>
      <x:c r="E1409" s="16" t="str">
        <x:v>SRC-072</x:v>
      </x:c>
      <x:c r="F1409" s="16" t="str">
        <x:v>OBS-0100</x:v>
      </x:c>
      <x:c r="G1409" s="16" t="str">
        <x:v>审阅或辅助文档</x:v>
      </x:c>
      <x:c r="H1409" s="19" t="n">
        <x:v>11</x:v>
      </x:c>
      <x:c r="I1409" s="19" t="n">
        <x:v>8</x:v>
      </x:c>
      <x:c r="J1409" s="19" t="n">
        <x:v>1</x:v>
      </x:c>
      <x:c r="K1409" s="16" t="str">
        <x:v>3. Minor deterioration</x:v>
      </x:c>
      <x:c r="L1409" s="16" t="str">
        <x:v>Unlikely</x:v>
      </x:c>
      <x:c r="M1409" s="16" t="str">
        <x:v>Minor</x:v>
      </x:c>
      <x:c r="N1409" s="16" t="str">
        <x:v>Low</x:v>
      </x:c>
    </x:row>
    <x:row r="1410" ht="37" customHeight="1">
      <x:c r="A1410" s="16" t="str">
        <x:v>RAW-01404</x:v>
      </x:c>
      <x:c r="B1410" s="16" t="str">
        <x:v>Recommendation</x:v>
      </x:c>
      <x:c r="C1410" s="16" t="str">
        <x:v>– Clean, remove corrosion and repaint.</x:v>
      </x:c>
      <x:c r="D1410" s="16" t="str">
        <x:v>Informational panel 2</x:v>
      </x:c>
      <x:c r="E1410" s="16" t="str">
        <x:v>SRC-072</x:v>
      </x:c>
      <x:c r="F1410" s="16" t="str">
        <x:v>REC-0002</x:v>
      </x:c>
      <x:c r="G1410" s="16" t="str">
        <x:v>审阅或辅助文档</x:v>
      </x:c>
      <x:c r="H1410" s="19" t="n">
        <x:v>11</x:v>
      </x:c>
      <x:c r="I1410" s="19" t="n">
        <x:v>8</x:v>
      </x:c>
      <x:c r="J1410" s="19" t="n">
        <x:v>1</x:v>
      </x:c>
      <x:c r="K1410" s="16" t="str">
        <x:v>3. Minor deterioration</x:v>
      </x:c>
      <x:c r="L1410" s="16" t="str">
        <x:v>Unlikely</x:v>
      </x:c>
      <x:c r="M1410" s="16" t="str">
        <x:v>Minor</x:v>
      </x:c>
      <x:c r="N1410" s="16" t="str">
        <x:v>Low</x:v>
      </x:c>
    </x:row>
    <x:row r="1411" ht="37" customHeight="1">
      <x:c r="A1411" s="16" t="str">
        <x:v>RAW-01405</x:v>
      </x:c>
      <x:c r="B1411" s="16" t="str">
        <x:v>Observation</x:v>
      </x:c>
      <x:c r="C1411" s="16" t="str">
        <x:v>– Side nearest to ocean (shown in photo) has the most significant corrosion. Purlins have holes at ends.</x:v>
      </x:c>
      <x:c r="D1411" s="16" t="str">
        <x:v>Purlins</x:v>
      </x:c>
      <x:c r="E1411" s="16" t="str">
        <x:v>SRC-080</x:v>
      </x:c>
      <x:c r="F1411" s="16" t="str">
        <x:v>OBS-0569</x:v>
      </x:c>
      <x:c r="G1411" s="16" t="str">
        <x:v>正式报告</x:v>
      </x:c>
      <x:c r="H1411" s="19" t="n">
        <x:v>3</x:v>
      </x:c>
      <x:c r="I1411" s="19" t="n">
        <x:v>6</x:v>
      </x:c>
      <x:c r="J1411" s="19" t="n">
        <x:v>1</x:v>
      </x:c>
      <x:c r="K1411" s="16" t="str">
        <x:v>7. Very severe deterioration</x:v>
      </x:c>
      <x:c r="L1411" s="16" t="str">
        <x:v>Very likely</x:v>
      </x:c>
      <x:c r="M1411" s="16" t="str">
        <x:v>Significant</x:v>
      </x:c>
      <x:c r="N1411" s="16" t="str">
        <x:v>Urgent</x:v>
      </x:c>
    </x:row>
    <x:row r="1412" ht="37" customHeight="1">
      <x:c r="A1412" s="16" t="str">
        <x:v>RAW-01406</x:v>
      </x:c>
      <x:c r="B1412" s="16" t="str">
        <x:v>Recommendation</x:v>
      </x:c>
      <x:c r="C1412" s="16" t="str">
        <x:v>– Replace the purlins and severely rusted tapered section at the end of the rafters.</x:v>
      </x:c>
      <x:c r="D1412" s="16" t="str">
        <x:v>Purlins</x:v>
      </x:c>
      <x:c r="E1412" s="16" t="str">
        <x:v>SRC-080</x:v>
      </x:c>
      <x:c r="F1412" s="16" t="str">
        <x:v>REC-0157</x:v>
      </x:c>
      <x:c r="G1412" s="16" t="str">
        <x:v>正式报告</x:v>
      </x:c>
      <x:c r="H1412" s="19" t="n">
        <x:v>3</x:v>
      </x:c>
      <x:c r="I1412" s="19" t="n">
        <x:v>6</x:v>
      </x:c>
      <x:c r="J1412" s="19" t="n">
        <x:v>1</x:v>
      </x:c>
      <x:c r="K1412" s="16" t="str">
        <x:v>7. Very severe deterioration</x:v>
      </x:c>
      <x:c r="L1412" s="16" t="str">
        <x:v>Very likely</x:v>
      </x:c>
      <x:c r="M1412" s="16" t="str">
        <x:v>Significant</x:v>
      </x:c>
      <x:c r="N1412" s="16" t="str">
        <x:v>Urgent</x:v>
      </x:c>
    </x:row>
    <x:row r="1413" ht="37" customHeight="1">
      <x:c r="A1413" s="16" t="str">
        <x:v>RAW-01407</x:v>
      </x:c>
      <x:c r="B1413" s="16" t="str">
        <x:v>Observation</x:v>
      </x:c>
      <x:c r="C1413" s="16" t="str">
        <x:v>– Significant corrosion of steel work at purlin weld and bolted connection.</x:v>
      </x:c>
      <x:c r="D1413" s="16" t="str">
        <x:v>Purlins</x:v>
      </x:c>
      <x:c r="E1413" s="16" t="str">
        <x:v>SRC-080</x:v>
      </x:c>
      <x:c r="F1413" s="16" t="str">
        <x:v>OBS-0575</x:v>
      </x:c>
      <x:c r="G1413" s="16" t="str">
        <x:v>正式报告</x:v>
      </x:c>
      <x:c r="H1413" s="19" t="n">
        <x:v>3</x:v>
      </x:c>
      <x:c r="I1413" s="19" t="n">
        <x:v>7</x:v>
      </x:c>
      <x:c r="J1413" s="19" t="n">
        <x:v>1</x:v>
      </x:c>
      <x:c r="K1413" s="16" t="str">
        <x:v>7. Very severe deterioration</x:v>
      </x:c>
      <x:c r="L1413" s="16" t="str">
        <x:v>Very likely</x:v>
      </x:c>
      <x:c r="M1413" s="16" t="str">
        <x:v>Significant</x:v>
      </x:c>
      <x:c r="N1413" s="16" t="str">
        <x:v>Urgent</x:v>
      </x:c>
    </x:row>
    <x:row r="1414" ht="41" customHeight="1">
      <x:c r="A1414" s="16" t="str">
        <x:v>RAW-01408</x:v>
      </x:c>
      <x:c r="B1414" s="16" t="str">
        <x:v>Recommendation</x:v>
      </x:c>
      <x:c r="C1414" s="16" t="str">
        <x:v>– Replace the purlins, cut the end tapered section, remove the corrosion, weld new taped section and install new purlins.</x:v>
      </x:c>
      <x:c r="D1414" s="16" t="str">
        <x:v>Purlins</x:v>
      </x:c>
      <x:c r="E1414" s="16" t="str">
        <x:v>SRC-080</x:v>
      </x:c>
      <x:c r="F1414" s="16" t="str">
        <x:v>REC-0158</x:v>
      </x:c>
      <x:c r="G1414" s="16" t="str">
        <x:v>正式报告</x:v>
      </x:c>
      <x:c r="H1414" s="19" t="n">
        <x:v>3</x:v>
      </x:c>
      <x:c r="I1414" s="19" t="n">
        <x:v>7</x:v>
      </x:c>
      <x:c r="J1414" s="19" t="n">
        <x:v>1</x:v>
      </x:c>
      <x:c r="K1414" s="16" t="str">
        <x:v>7. Very severe deterioration</x:v>
      </x:c>
      <x:c r="L1414" s="16" t="str">
        <x:v>Very likely</x:v>
      </x:c>
      <x:c r="M1414" s="16" t="str">
        <x:v>Significant</x:v>
      </x:c>
      <x:c r="N1414" s="16" t="str">
        <x:v>Urgent</x:v>
      </x:c>
    </x:row>
    <x:row r="1415" ht="41" customHeight="1">
      <x:c r="A1415" s="16" t="str">
        <x:v>RAW-01409</x:v>
      </x:c>
      <x:c r="B1415" s="16" t="str">
        <x:v>Observation</x:v>
      </x:c>
      <x:c r="C1415" s="16" t="str">
        <x:v>– Purlin has significant corrosion, resulting in holes through the steel work. Deflection of roof sheeting was observed.</x:v>
      </x:c>
      <x:c r="D1415" s="16" t="str">
        <x:v>Purlins</x:v>
      </x:c>
      <x:c r="E1415" s="16" t="str">
        <x:v>SRC-080</x:v>
      </x:c>
      <x:c r="F1415" s="16" t="str">
        <x:v>OBS-0472</x:v>
      </x:c>
      <x:c r="G1415" s="16" t="str">
        <x:v>正式报告</x:v>
      </x:c>
      <x:c r="H1415" s="19" t="n">
        <x:v>3</x:v>
      </x:c>
      <x:c r="I1415" s="19" t="n">
        <x:v>8</x:v>
      </x:c>
      <x:c r="J1415" s="19" t="n">
        <x:v>1</x:v>
      </x:c>
      <x:c r="K1415" s="16" t="str">
        <x:v>7. Very severe deterioration</x:v>
      </x:c>
      <x:c r="L1415" s="16" t="str">
        <x:v>Very likely</x:v>
      </x:c>
      <x:c r="M1415" s="16" t="str">
        <x:v>Significant</x:v>
      </x:c>
      <x:c r="N1415" s="16" t="str">
        <x:v>Urgent</x:v>
      </x:c>
    </x:row>
    <x:row r="1416" ht="37" customHeight="1">
      <x:c r="A1416" s="16" t="str">
        <x:v>RAW-01410</x:v>
      </x:c>
      <x:c r="B1416" s="16" t="str">
        <x:v>Recommendation</x:v>
      </x:c>
      <x:c r="C1416" s="16" t="str">
        <x:v>– Cut the existing purlin and replace with a new purlin</x:v>
      </x:c>
      <x:c r="D1416" s="16" t="str">
        <x:v>Purlins</x:v>
      </x:c>
      <x:c r="E1416" s="16" t="str">
        <x:v>SRC-080</x:v>
      </x:c>
      <x:c r="F1416" s="16" t="str">
        <x:v>REC-0088</x:v>
      </x:c>
      <x:c r="G1416" s="16" t="str">
        <x:v>正式报告</x:v>
      </x:c>
      <x:c r="H1416" s="19" t="n">
        <x:v>3</x:v>
      </x:c>
      <x:c r="I1416" s="19" t="n">
        <x:v>8</x:v>
      </x:c>
      <x:c r="J1416" s="19" t="n">
        <x:v>1</x:v>
      </x:c>
      <x:c r="K1416" s="16" t="str">
        <x:v>7. Very severe deterioration</x:v>
      </x:c>
      <x:c r="L1416" s="16" t="str">
        <x:v>Very likely</x:v>
      </x:c>
      <x:c r="M1416" s="16" t="str">
        <x:v>Significant</x:v>
      </x:c>
      <x:c r="N1416" s="16" t="str">
        <x:v>Urgent</x:v>
      </x:c>
    </x:row>
    <x:row r="1417" ht="37" customHeight="1">
      <x:c r="A1417" s="16" t="str">
        <x:v>RAW-01411</x:v>
      </x:c>
      <x:c r="B1417" s="16" t="str">
        <x:v>Observation</x:v>
      </x:c>
      <x:c r="C1417" s="16" t="str">
        <x:v>– Significant corrosion to the top of purlins.</x:v>
      </x:c>
      <x:c r="D1417" s="16" t="str">
        <x:v>Purlins</x:v>
      </x:c>
      <x:c r="E1417" s="16" t="str">
        <x:v>SRC-080</x:v>
      </x:c>
      <x:c r="F1417" s="16" t="str">
        <x:v>OBS-0576</x:v>
      </x:c>
      <x:c r="G1417" s="16" t="str">
        <x:v>正式报告</x:v>
      </x:c>
      <x:c r="H1417" s="19" t="n">
        <x:v>3</x:v>
      </x:c>
      <x:c r="I1417" s="19" t="n">
        <x:v>9</x:v>
      </x:c>
      <x:c r="J1417" s="19" t="n">
        <x:v>1</x:v>
      </x:c>
      <x:c r="K1417" s="16" t="str">
        <x:v>7. Very severe deterioration</x:v>
      </x:c>
      <x:c r="L1417" s="16" t="str">
        <x:v>Very likely</x:v>
      </x:c>
      <x:c r="M1417" s="16" t="str">
        <x:v>Significant</x:v>
      </x:c>
      <x:c r="N1417" s="16" t="str">
        <x:v>Urgent</x:v>
      </x:c>
    </x:row>
    <x:row r="1418" ht="37" customHeight="1">
      <x:c r="A1418" s="16" t="str">
        <x:v>RAW-01412</x:v>
      </x:c>
      <x:c r="B1418" s="16" t="str">
        <x:v>Recommendation</x:v>
      </x:c>
      <x:c r="C1418" s="16" t="str">
        <x:v>– Temporarily barricade structure with construction fencing all around until failed members are replaced.</x:v>
      </x:c>
      <x:c r="D1418" s="16" t="str">
        <x:v>Purlins</x:v>
      </x:c>
      <x:c r="E1418" s="16" t="str">
        <x:v>SRC-080</x:v>
      </x:c>
      <x:c r="F1418" s="16" t="str">
        <x:v>REC-0166</x:v>
      </x:c>
      <x:c r="G1418" s="16" t="str">
        <x:v>正式报告</x:v>
      </x:c>
      <x:c r="H1418" s="19" t="n">
        <x:v>3</x:v>
      </x:c>
      <x:c r="I1418" s="19" t="n">
        <x:v>9</x:v>
      </x:c>
      <x:c r="J1418" s="19" t="n">
        <x:v>1</x:v>
      </x:c>
      <x:c r="K1418" s="16" t="str">
        <x:v>7. Very severe deterioration</x:v>
      </x:c>
      <x:c r="L1418" s="16" t="str">
        <x:v>Very likely</x:v>
      </x:c>
      <x:c r="M1418" s="16" t="str">
        <x:v>Significant</x:v>
      </x:c>
      <x:c r="N1418" s="16" t="str">
        <x:v>Urgent</x:v>
      </x:c>
    </x:row>
    <x:row r="1419" ht="41" customHeight="1">
      <x:c r="A1419" s="16" t="str">
        <x:v>RAW-01413</x:v>
      </x:c>
      <x:c r="B1419" s="16" t="str">
        <x:v>Observation</x:v>
      </x:c>
      <x:c r="C1419" s="16" t="str">
        <x:v>– Column furthest away from ocean.
GENERAL</x:v>
      </x:c>
      <x:c r="D1419" s="16" t="str">
        <x:v>Column baseplate</x:v>
      </x:c>
      <x:c r="E1419" s="16" t="str">
        <x:v>SRC-080</x:v>
      </x:c>
      <x:c r="F1419" s="16" t="str">
        <x:v>OBS-0214</x:v>
      </x:c>
      <x:c r="G1419" s="16" t="str">
        <x:v>正式报告</x:v>
      </x:c>
      <x:c r="H1419" s="19" t="n">
        <x:v>4</x:v>
      </x:c>
      <x:c r="I1419" s="19" t="n">
        <x:v>6</x:v>
      </x:c>
      <x:c r="J1419" s="19" t="n">
        <x:v>2</x:v>
      </x:c>
      <x:c r="K1419" s="16" t="str">
        <x:v>6. Severe deterioration</x:v>
      </x:c>
      <x:c r="L1419" s="16" t="str">
        <x:v>Very likely</x:v>
      </x:c>
      <x:c r="M1419" s="16" t="str">
        <x:v>Significant</x:v>
      </x:c>
      <x:c r="N1419" s="16" t="str">
        <x:v>Urgent</x:v>
      </x:c>
    </x:row>
    <x:row r="1420" ht="37" customHeight="1">
      <x:c r="A1420" s="16" t="str">
        <x:v>RAW-01414</x:v>
      </x:c>
      <x:c r="B1420" s="16" t="str">
        <x:v>Recommendation</x:v>
      </x:c>
      <x:c r="C1420" s="16" t="str">
        <x:v>– Clean, remove the corrosion and repaint.</x:v>
      </x:c>
      <x:c r="D1420" s="16" t="str">
        <x:v>Column baseplate</x:v>
      </x:c>
      <x:c r="E1420" s="16" t="str">
        <x:v>SRC-080</x:v>
      </x:c>
      <x:c r="F1420" s="16" t="str">
        <x:v>REC-0025</x:v>
      </x:c>
      <x:c r="G1420" s="16" t="str">
        <x:v>正式报告</x:v>
      </x:c>
      <x:c r="H1420" s="19" t="n">
        <x:v>4</x:v>
      </x:c>
      <x:c r="I1420" s="19" t="n">
        <x:v>6</x:v>
      </x:c>
      <x:c r="J1420" s="19" t="n">
        <x:v>2</x:v>
      </x:c>
      <x:c r="K1420" s="16" t="str">
        <x:v>6. Severe deterioration</x:v>
      </x:c>
      <x:c r="L1420" s="16" t="str">
        <x:v>Very likely</x:v>
      </x:c>
      <x:c r="M1420" s="16" t="str">
        <x:v>Significant</x:v>
      </x:c>
      <x:c r="N1420" s="16" t="str">
        <x:v>Urgent</x:v>
      </x:c>
    </x:row>
    <x:row r="1421" ht="41" customHeight="1">
      <x:c r="A1421" s="16" t="str">
        <x:v>RAW-01415</x:v>
      </x:c>
      <x:c r="B1421" s="16" t="str">
        <x:v>Observation</x:v>
      </x:c>
      <x:c r="C1421" s="16" t="str">
        <x:v>– In same condition as previous dragonfly shade structure.
GENERAL</x:v>
      </x:c>
      <x:c r="D1421" s="16" t="str">
        <x:v>Dragonfly shade structure</x:v>
      </x:c>
      <x:c r="E1421" s="16" t="str">
        <x:v>SRC-080</x:v>
      </x:c>
      <x:c r="F1421" s="16" t="str">
        <x:v>OBS-0332</x:v>
      </x:c>
      <x:c r="G1421" s="16" t="str">
        <x:v>正式报告</x:v>
      </x:c>
      <x:c r="H1421" s="19" t="n">
        <x:v>5</x:v>
      </x:c>
      <x:c r="I1421" s="19" t="n">
        <x:v>6</x:v>
      </x:c>
      <x:c r="J1421" s="19" t="n">
        <x:v>1</x:v>
      </x:c>
      <x:c r="K1421" s="16" t="str">
        <x:v>6. Severe deterioration</x:v>
      </x:c>
      <x:c r="L1421" s="16" t="str">
        <x:v>Very likely</x:v>
      </x:c>
      <x:c r="M1421" s="16" t="str">
        <x:v>Significant</x:v>
      </x:c>
      <x:c r="N1421" s="16" t="str">
        <x:v>Urgent</x:v>
      </x:c>
    </x:row>
    <x:row r="1422" ht="37" customHeight="1">
      <x:c r="A1422" s="16" t="str">
        <x:v>RAW-01416</x:v>
      </x:c>
      <x:c r="B1422" s="16" t="str">
        <x:v>Recommendation</x:v>
      </x:c>
      <x:c r="C1422" s="16" t="str">
        <x:v>– Clean, remove the corrosion and repaint.</x:v>
      </x:c>
      <x:c r="D1422" s="16" t="str">
        <x:v>Dragonfly shade structure</x:v>
      </x:c>
      <x:c r="E1422" s="16" t="str">
        <x:v>SRC-080</x:v>
      </x:c>
      <x:c r="F1422" s="16" t="str">
        <x:v>REC-0025</x:v>
      </x:c>
      <x:c r="G1422" s="16" t="str">
        <x:v>正式报告</x:v>
      </x:c>
      <x:c r="H1422" s="19" t="n">
        <x:v>5</x:v>
      </x:c>
      <x:c r="I1422" s="19" t="n">
        <x:v>6</x:v>
      </x:c>
      <x:c r="J1422" s="19" t="n">
        <x:v>1</x:v>
      </x:c>
      <x:c r="K1422" s="16" t="str">
        <x:v>6. Severe deterioration</x:v>
      </x:c>
      <x:c r="L1422" s="16" t="str">
        <x:v>Very likely</x:v>
      </x:c>
      <x:c r="M1422" s="16" t="str">
        <x:v>Significant</x:v>
      </x:c>
      <x:c r="N1422" s="16" t="str">
        <x:v>Urgent</x:v>
      </x:c>
    </x:row>
    <x:row r="1423" ht="37" customHeight="1">
      <x:c r="A1423" s="16" t="str">
        <x:v>RAW-01417</x:v>
      </x:c>
      <x:c r="B1423" s="16" t="str">
        <x:v>Observation</x:v>
      </x:c>
      <x:c r="C1423" s="16" t="str">
        <x:v>– Severely corroded purlin circled in red</x:v>
      </x:c>
      <x:c r="D1423" s="16" t="str">
        <x:v>Dragonfly shade structure</x:v>
      </x:c>
      <x:c r="E1423" s="16" t="str">
        <x:v>SRC-080</x:v>
      </x:c>
      <x:c r="F1423" s="16" t="str">
        <x:v>OBS-0558</x:v>
      </x:c>
      <x:c r="G1423" s="16" t="str">
        <x:v>正式报告</x:v>
      </x:c>
      <x:c r="H1423" s="19" t="n">
        <x:v>5</x:v>
      </x:c>
      <x:c r="I1423" s="19" t="n">
        <x:v>7</x:v>
      </x:c>
      <x:c r="J1423" s="19" t="n">
        <x:v>1</x:v>
      </x:c>
      <x:c r="K1423" s="16" t="str">
        <x:v>6. Severe deterioration</x:v>
      </x:c>
      <x:c r="L1423" s="16" t="str">
        <x:v>Very likely</x:v>
      </x:c>
      <x:c r="M1423" s="16" t="str">
        <x:v>Significant</x:v>
      </x:c>
      <x:c r="N1423" s="16" t="str">
        <x:v>Urgent</x:v>
      </x:c>
    </x:row>
    <x:row r="1424" ht="37" customHeight="1">
      <x:c r="A1424" s="16" t="str">
        <x:v>RAW-01418</x:v>
      </x:c>
      <x:c r="B1424" s="16" t="str">
        <x:v>Recommendation</x:v>
      </x:c>
      <x:c r="C1424" s="16" t="str">
        <x:v>– Replace the purlin.</x:v>
      </x:c>
      <x:c r="D1424" s="16" t="str">
        <x:v>Dragonfly shade structure</x:v>
      </x:c>
      <x:c r="E1424" s="16" t="str">
        <x:v>SRC-080</x:v>
      </x:c>
      <x:c r="F1424" s="16" t="str">
        <x:v>REC-0156</x:v>
      </x:c>
      <x:c r="G1424" s="16" t="str">
        <x:v>正式报告</x:v>
      </x:c>
      <x:c r="H1424" s="19" t="n">
        <x:v>5</x:v>
      </x:c>
      <x:c r="I1424" s="19" t="n">
        <x:v>7</x:v>
      </x:c>
      <x:c r="J1424" s="19" t="n">
        <x:v>1</x:v>
      </x:c>
      <x:c r="K1424" s="16" t="str">
        <x:v>6. Severe deterioration</x:v>
      </x:c>
      <x:c r="L1424" s="16" t="str">
        <x:v>Very likely</x:v>
      </x:c>
      <x:c r="M1424" s="16" t="str">
        <x:v>Significant</x:v>
      </x:c>
      <x:c r="N1424" s="16" t="str">
        <x:v>Urgent</x:v>
      </x:c>
    </x:row>
    <x:row r="1425" ht="37" customHeight="1">
      <x:c r="A1425" s="16" t="str">
        <x:v>RAW-01419</x:v>
      </x:c>
      <x:c r="B1425" s="16" t="str">
        <x:v>Observation</x:v>
      </x:c>
      <x:c r="C1425" s="16" t="str">
        <x:v>– Severely corroded purlins.</x:v>
      </x:c>
      <x:c r="D1425" s="16" t="str">
        <x:v>Dragonfly shade structure</x:v>
      </x:c>
      <x:c r="E1425" s="16" t="str">
        <x:v>SRC-080</x:v>
      </x:c>
      <x:c r="F1425" s="16" t="str">
        <x:v>OBS-0559</x:v>
      </x:c>
      <x:c r="G1425" s="16" t="str">
        <x:v>正式报告</x:v>
      </x:c>
      <x:c r="H1425" s="19" t="n">
        <x:v>5</x:v>
      </x:c>
      <x:c r="I1425" s="19" t="n">
        <x:v>8</x:v>
      </x:c>
      <x:c r="J1425" s="19" t="n">
        <x:v>1</x:v>
      </x:c>
      <x:c r="K1425" s="16" t="str">
        <x:v>6. Severe deterioration</x:v>
      </x:c>
      <x:c r="L1425" s="16" t="str">
        <x:v>Very likely</x:v>
      </x:c>
      <x:c r="M1425" s="16" t="str">
        <x:v>Significant</x:v>
      </x:c>
      <x:c r="N1425" s="16" t="str">
        <x:v>Urgent</x:v>
      </x:c>
    </x:row>
    <x:row r="1426" ht="37" customHeight="1">
      <x:c r="A1426" s="16" t="str">
        <x:v>RAW-01420</x:v>
      </x:c>
      <x:c r="B1426" s="16" t="str">
        <x:v>Recommendation</x:v>
      </x:c>
      <x:c r="C1426" s="16" t="str">
        <x:v>– Replace the purlins.</x:v>
      </x:c>
      <x:c r="D1426" s="16" t="str">
        <x:v>Dragonfly shade structure</x:v>
      </x:c>
      <x:c r="E1426" s="16" t="str">
        <x:v>SRC-080</x:v>
      </x:c>
      <x:c r="F1426" s="16" t="str">
        <x:v>REC-0159</x:v>
      </x:c>
      <x:c r="G1426" s="16" t="str">
        <x:v>正式报告</x:v>
      </x:c>
      <x:c r="H1426" s="19" t="n">
        <x:v>5</x:v>
      </x:c>
      <x:c r="I1426" s="19" t="n">
        <x:v>8</x:v>
      </x:c>
      <x:c r="J1426" s="19" t="n">
        <x:v>1</x:v>
      </x:c>
      <x:c r="K1426" s="16" t="str">
        <x:v>6. Severe deterioration</x:v>
      </x:c>
      <x:c r="L1426" s="16" t="str">
        <x:v>Very likely</x:v>
      </x:c>
      <x:c r="M1426" s="16" t="str">
        <x:v>Significant</x:v>
      </x:c>
      <x:c r="N1426" s="16" t="str">
        <x:v>Urgent</x:v>
      </x:c>
    </x:row>
    <x:row r="1427" ht="37" customHeight="1">
      <x:c r="A1427" s="16" t="str">
        <x:v>RAW-01421</x:v>
      </x:c>
      <x:c r="B1427" s="16" t="str">
        <x:v>Observation</x:v>
      </x:c>
      <x:c r="C1427" s="16" t="str">
        <x:v>– Significant corrosion of purlins.</x:v>
      </x:c>
      <x:c r="D1427" s="16" t="str">
        <x:v>Dragonfly shade structure</x:v>
      </x:c>
      <x:c r="E1427" s="16" t="str">
        <x:v>SRC-080</x:v>
      </x:c>
      <x:c r="F1427" s="16" t="str">
        <x:v>OBS-0574</x:v>
      </x:c>
      <x:c r="G1427" s="16" t="str">
        <x:v>正式报告</x:v>
      </x:c>
      <x:c r="H1427" s="19" t="n">
        <x:v>5</x:v>
      </x:c>
      <x:c r="I1427" s="19" t="n">
        <x:v>9</x:v>
      </x:c>
      <x:c r="J1427" s="19" t="n">
        <x:v>1</x:v>
      </x:c>
      <x:c r="K1427" s="16" t="str">
        <x:v>6. Severe deterioration</x:v>
      </x:c>
      <x:c r="L1427" s="16" t="str">
        <x:v>Very likely</x:v>
      </x:c>
      <x:c r="M1427" s="16" t="str">
        <x:v>Significant</x:v>
      </x:c>
      <x:c r="N1427" s="16" t="str">
        <x:v>Urgent</x:v>
      </x:c>
    </x:row>
    <x:row r="1428" ht="41" customHeight="1">
      <x:c r="A1428" s="16" t="str">
        <x:v>RAW-01422</x:v>
      </x:c>
      <x:c r="B1428" s="16" t="str">
        <x:v>Recommendation</x:v>
      </x:c>
      <x:c r="C1428" s="16" t="str">
        <x:v>– Temporarily barricade the dragon shelter. Remove all failed purlins. Clean, remove corrosion and repaint all structural elements.</x:v>
      </x:c>
      <x:c r="D1428" s="16" t="str">
        <x:v>Dragonfly shade structure</x:v>
      </x:c>
      <x:c r="E1428" s="16" t="str">
        <x:v>SRC-080</x:v>
      </x:c>
      <x:c r="F1428" s="16" t="str">
        <x:v>REC-0167</x:v>
      </x:c>
      <x:c r="G1428" s="16" t="str">
        <x:v>正式报告</x:v>
      </x:c>
      <x:c r="H1428" s="19" t="n">
        <x:v>5</x:v>
      </x:c>
      <x:c r="I1428" s="19" t="n">
        <x:v>9</x:v>
      </x:c>
      <x:c r="J1428" s="19" t="n">
        <x:v>1</x:v>
      </x:c>
      <x:c r="K1428" s="16" t="str">
        <x:v>6. Severe deterioration</x:v>
      </x:c>
      <x:c r="L1428" s="16" t="str">
        <x:v>Very likely</x:v>
      </x:c>
      <x:c r="M1428" s="16" t="str">
        <x:v>Significant</x:v>
      </x:c>
      <x:c r="N1428" s="16" t="str">
        <x:v>Urgent</x:v>
      </x:c>
    </x:row>
    <x:row r="1429" ht="37" customHeight="1">
      <x:c r="A1429" s="16" t="str">
        <x:v>RAW-01423</x:v>
      </x:c>
      <x:c r="B1429" s="16" t="str">
        <x:v>Observation</x:v>
      </x:c>
      <x:c r="C1429" s="16" t="str">
        <x:v>– Overview of shade structure at lookout.</x:v>
      </x:c>
      <x:c r="D1429" s="16" t="str">
        <x:v>Shade structure</x:v>
      </x:c>
      <x:c r="E1429" s="16" t="str">
        <x:v>SRC-080</x:v>
      </x:c>
      <x:c r="F1429" s="16" t="str">
        <x:v>OBS-0436</x:v>
      </x:c>
      <x:c r="G1429" s="16" t="str">
        <x:v>正式报告</x:v>
      </x:c>
      <x:c r="H1429" s="19" t="n">
        <x:v>6</x:v>
      </x:c>
      <x:c r="I1429" s="19" t="n">
        <x:v>6</x:v>
      </x:c>
      <x:c r="J1429" s="19" t="n">
        <x:v>1</x:v>
      </x:c>
      <x:c r="K1429" s="16" t="str">
        <x:v>4. Moderate deterioration</x:v>
      </x:c>
      <x:c r="L1429" s="16" t="str">
        <x:v>Possible</x:v>
      </x:c>
      <x:c r="M1429" s="16" t="str">
        <x:v>Significant</x:v>
      </x:c>
      <x:c r="N1429" s="16" t="str">
        <x:v>High</x:v>
      </x:c>
    </x:row>
    <x:row r="1430" ht="37" customHeight="1">
      <x:c r="A1430" s="16" t="str">
        <x:v>RAW-01424</x:v>
      </x:c>
      <x:c r="B1430" s="16" t="str">
        <x:v>Observation</x:v>
      </x:c>
      <x:c r="C1430" s="16" t="str">
        <x:v>– Significant corrosion at column due to ocean spray.</x:v>
      </x:c>
      <x:c r="D1430" s="16" t="str">
        <x:v>Shade structure</x:v>
      </x:c>
      <x:c r="E1430" s="16" t="str">
        <x:v>SRC-080</x:v>
      </x:c>
      <x:c r="F1430" s="16" t="str">
        <x:v>OBS-0573</x:v>
      </x:c>
      <x:c r="G1430" s="16" t="str">
        <x:v>正式报告</x:v>
      </x:c>
      <x:c r="H1430" s="19" t="n">
        <x:v>6</x:v>
      </x:c>
      <x:c r="I1430" s="19" t="n">
        <x:v>7</x:v>
      </x:c>
      <x:c r="J1430" s="19" t="n">
        <x:v>1</x:v>
      </x:c>
      <x:c r="K1430" s="16" t="str">
        <x:v>4. Moderate deterioration</x:v>
      </x:c>
      <x:c r="L1430" s="16" t="str">
        <x:v>Possible</x:v>
      </x:c>
      <x:c r="M1430" s="16" t="str">
        <x:v>Significant</x:v>
      </x:c>
      <x:c r="N1430" s="16" t="str">
        <x:v>High</x:v>
      </x:c>
    </x:row>
    <x:row r="1431" ht="41" customHeight="1">
      <x:c r="A1431" s="16" t="str">
        <x:v>RAW-01425</x:v>
      </x:c>
      <x:c r="B1431" s="16" t="str">
        <x:v>Recommendation</x:v>
      </x:c>
      <x:c r="C1431" s="16" t="str">
        <x:v>– Clean and remove corrosion, then assess the remaining structure to determine whether replacement or repainting is required.</x:v>
      </x:c>
      <x:c r="D1431" s="16" t="str">
        <x:v>Shade structure</x:v>
      </x:c>
      <x:c r="E1431" s="16" t="str">
        <x:v>SRC-080</x:v>
      </x:c>
      <x:c r="F1431" s="16" t="str">
        <x:v>REC-0052</x:v>
      </x:c>
      <x:c r="G1431" s="16" t="str">
        <x:v>正式报告</x:v>
      </x:c>
      <x:c r="H1431" s="19" t="n">
        <x:v>6</x:v>
      </x:c>
      <x:c r="I1431" s="19" t="n">
        <x:v>7</x:v>
      </x:c>
      <x:c r="J1431" s="19" t="n">
        <x:v>1</x:v>
      </x:c>
      <x:c r="K1431" s="16" t="str">
        <x:v>4. Moderate deterioration</x:v>
      </x:c>
      <x:c r="L1431" s="16" t="str">
        <x:v>Possible</x:v>
      </x:c>
      <x:c r="M1431" s="16" t="str">
        <x:v>Significant</x:v>
      </x:c>
      <x:c r="N1431" s="16" t="str">
        <x:v>High</x:v>
      </x:c>
    </x:row>
    <x:row r="1432" ht="37" customHeight="1">
      <x:c r="A1432" s="16" t="str">
        <x:v>RAW-01426</x:v>
      </x:c>
      <x:c r="B1432" s="16" t="str">
        <x:v>Observation</x:v>
      </x:c>
      <x:c r="C1432" s="16" t="str">
        <x:v>– Surface corrosion on curved circular section.</x:v>
      </x:c>
      <x:c r="D1432" s="16" t="str">
        <x:v>Shade structure</x:v>
      </x:c>
      <x:c r="E1432" s="16" t="str">
        <x:v>SRC-080</x:v>
      </x:c>
      <x:c r="F1432" s="16" t="str">
        <x:v>OBS-0585</x:v>
      </x:c>
      <x:c r="G1432" s="16" t="str">
        <x:v>正式报告</x:v>
      </x:c>
      <x:c r="H1432" s="19" t="n">
        <x:v>6</x:v>
      </x:c>
      <x:c r="I1432" s="19" t="n">
        <x:v>8</x:v>
      </x:c>
      <x:c r="J1432" s="19" t="n">
        <x:v>1</x:v>
      </x:c>
      <x:c r="K1432" s="16" t="str">
        <x:v>4. Moderate deterioration</x:v>
      </x:c>
      <x:c r="L1432" s="16" t="str">
        <x:v>Possible</x:v>
      </x:c>
      <x:c r="M1432" s="16" t="str">
        <x:v>Significant</x:v>
      </x:c>
      <x:c r="N1432" s="16" t="str">
        <x:v>High</x:v>
      </x:c>
    </x:row>
    <x:row r="1433" ht="37" customHeight="1">
      <x:c r="A1433" s="16" t="str">
        <x:v>RAW-01427</x:v>
      </x:c>
      <x:c r="B1433" s="16" t="str">
        <x:v>Recommendation</x:v>
      </x:c>
      <x:c r="C1433" s="16" t="str">
        <x:v>–Clean, remove corrosion, investigate and repainting.</x:v>
      </x:c>
      <x:c r="D1433" s="16" t="str">
        <x:v>Shade structure</x:v>
      </x:c>
      <x:c r="E1433" s="16" t="str">
        <x:v>SRC-080</x:v>
      </x:c>
      <x:c r="F1433" s="16" t="str">
        <x:v>REC-0069</x:v>
      </x:c>
      <x:c r="G1433" s="16" t="str">
        <x:v>正式报告</x:v>
      </x:c>
      <x:c r="H1433" s="19" t="n">
        <x:v>6</x:v>
      </x:c>
      <x:c r="I1433" s="19" t="n">
        <x:v>8</x:v>
      </x:c>
      <x:c r="J1433" s="19" t="n">
        <x:v>1</x:v>
      </x:c>
      <x:c r="K1433" s="16" t="str">
        <x:v>4. Moderate deterioration</x:v>
      </x:c>
      <x:c r="L1433" s="16" t="str">
        <x:v>Possible</x:v>
      </x:c>
      <x:c r="M1433" s="16" t="str">
        <x:v>Significant</x:v>
      </x:c>
      <x:c r="N1433" s="16" t="str">
        <x:v>High</x:v>
      </x:c>
    </x:row>
    <x:row r="1434" ht="37" customHeight="1">
      <x:c r="A1434" s="16" t="str">
        <x:v>RAW-01428</x:v>
      </x:c>
      <x:c r="B1434" s="16" t="str">
        <x:v>Observation</x:v>
      </x:c>
      <x:c r="C1434" s="16" t="str">
        <x:v>– Roof structure in good condition when compared to dragonfly structures.</x:v>
      </x:c>
      <x:c r="D1434" s="16" t="str">
        <x:v>Shade structure</x:v>
      </x:c>
      <x:c r="E1434" s="16" t="str">
        <x:v>SRC-080</x:v>
      </x:c>
      <x:c r="F1434" s="16" t="str">
        <x:v>OBS-0515</x:v>
      </x:c>
      <x:c r="G1434" s="16" t="str">
        <x:v>正式报告</x:v>
      </x:c>
      <x:c r="H1434" s="19" t="n">
        <x:v>6</x:v>
      </x:c>
      <x:c r="I1434" s="19" t="n">
        <x:v>9</x:v>
      </x:c>
      <x:c r="J1434" s="19" t="n">
        <x:v>1</x:v>
      </x:c>
      <x:c r="K1434" s="16" t="str">
        <x:v>4. Moderate deterioration</x:v>
      </x:c>
      <x:c r="L1434" s="16" t="str">
        <x:v>Possible</x:v>
      </x:c>
      <x:c r="M1434" s="16" t="str">
        <x:v>Significant</x:v>
      </x:c>
      <x:c r="N1434" s="16" t="str">
        <x:v>High</x:v>
      </x:c>
    </x:row>
    <x:row r="1435" ht="37" customHeight="1">
      <x:c r="A1435" s="16" t="str">
        <x:v>RAW-01429</x:v>
      </x:c>
      <x:c r="B1435" s="16" t="str">
        <x:v>Recommendation</x:v>
      </x:c>
      <x:c r="C1435" s="16" t="str">
        <x:v>– Clean, wire brush and repaint all steel members.</x:v>
      </x:c>
      <x:c r="D1435" s="16" t="str">
        <x:v>Shade structure</x:v>
      </x:c>
      <x:c r="E1435" s="16" t="str">
        <x:v>SRC-080</x:v>
      </x:c>
      <x:c r="F1435" s="16" t="str">
        <x:v>REC-0072</x:v>
      </x:c>
      <x:c r="G1435" s="16" t="str">
        <x:v>正式报告</x:v>
      </x:c>
      <x:c r="H1435" s="19" t="n">
        <x:v>6</x:v>
      </x:c>
      <x:c r="I1435" s="19" t="n">
        <x:v>9</x:v>
      </x:c>
      <x:c r="J1435" s="19" t="n">
        <x:v>1</x:v>
      </x:c>
      <x:c r="K1435" s="16" t="str">
        <x:v>4. Moderate deterioration</x:v>
      </x:c>
      <x:c r="L1435" s="16" t="str">
        <x:v>Possible</x:v>
      </x:c>
      <x:c r="M1435" s="16" t="str">
        <x:v>Significant</x:v>
      </x:c>
      <x:c r="N1435" s="16" t="str">
        <x:v>High</x:v>
      </x:c>
    </x:row>
    <x:row r="1436" ht="37" customHeight="1">
      <x:c r="A1436" s="16" t="str">
        <x:v>RAW-01430</x:v>
      </x:c>
      <x:c r="B1436" s="16" t="str">
        <x:v>Observation</x:v>
      </x:c>
      <x:c r="C1436" s="16" t="str">
        <x:v>– Overview of roof.</x:v>
      </x:c>
      <x:c r="D1436" s="16" t="str">
        <x:v>Roof sheeting</x:v>
      </x:c>
      <x:c r="E1436" s="16" t="str">
        <x:v>SRC-080</x:v>
      </x:c>
      <x:c r="F1436" s="16" t="str">
        <x:v>OBS-0435</x:v>
      </x:c>
      <x:c r="G1436" s="16" t="str">
        <x:v>正式报告</x:v>
      </x:c>
      <x:c r="H1436" s="19" t="n">
        <x:v>7</x:v>
      </x:c>
      <x:c r="I1436" s="19" t="n">
        <x:v>6</x:v>
      </x:c>
      <x:c r="J1436" s="19" t="n">
        <x:v>1</x:v>
      </x:c>
      <x:c r="K1436" s="16" t="str">
        <x:v>3. Minor corrosion</x:v>
      </x:c>
      <x:c r="L1436" s="16" t="str">
        <x:v>Unlikely</x:v>
      </x:c>
      <x:c r="M1436" s="16" t="str">
        <x:v>Minor</x:v>
      </x:c>
      <x:c r="N1436" s="16" t="str">
        <x:v>Low</x:v>
      </x:c>
    </x:row>
    <x:row r="1437" ht="37" customHeight="1">
      <x:c r="A1437" s="16" t="str">
        <x:v>RAW-01431</x:v>
      </x:c>
      <x:c r="B1437" s="16" t="str">
        <x:v>Observation</x:v>
      </x:c>
      <x:c r="C1437" s="16" t="str">
        <x:v>– Minor corrosion and staining on Tek screws.</x:v>
      </x:c>
      <x:c r="D1437" s="16" t="str">
        <x:v>Roof sheeting</x:v>
      </x:c>
      <x:c r="E1437" s="16" t="str">
        <x:v>SRC-080</x:v>
      </x:c>
      <x:c r="F1437" s="16" t="str">
        <x:v>OBS-0380</x:v>
      </x:c>
      <x:c r="G1437" s="16" t="str">
        <x:v>正式报告</x:v>
      </x:c>
      <x:c r="H1437" s="19" t="n">
        <x:v>7</x:v>
      </x:c>
      <x:c r="I1437" s="19" t="n">
        <x:v>7</x:v>
      </x:c>
      <x:c r="J1437" s="19" t="n">
        <x:v>1</x:v>
      </x:c>
      <x:c r="K1437" s="16" t="str">
        <x:v>3. Minor corrosion</x:v>
      </x:c>
      <x:c r="L1437" s="16" t="str">
        <x:v>Unlikely</x:v>
      </x:c>
      <x:c r="M1437" s="16" t="str">
        <x:v>Minor</x:v>
      </x:c>
      <x:c r="N1437" s="16" t="str">
        <x:v>Low</x:v>
      </x:c>
    </x:row>
    <x:row r="1438" ht="37" customHeight="1">
      <x:c r="A1438" s="16" t="str">
        <x:v>RAW-01432</x:v>
      </x:c>
      <x:c r="B1438" s="16" t="str">
        <x:v>Observation</x:v>
      </x:c>
      <x:c r="C1438" s="16" t="str">
        <x:v>– Minor corrosion and staining on Tek screws. Rubber seals were not installed.</x:v>
      </x:c>
      <x:c r="D1438" s="16" t="str">
        <x:v>Roof sheeting</x:v>
      </x:c>
      <x:c r="E1438" s="16" t="str">
        <x:v>SRC-080</x:v>
      </x:c>
      <x:c r="F1438" s="16" t="str">
        <x:v>OBS-0381</x:v>
      </x:c>
      <x:c r="G1438" s="16" t="str">
        <x:v>正式报告</x:v>
      </x:c>
      <x:c r="H1438" s="19" t="n">
        <x:v>7</x:v>
      </x:c>
      <x:c r="I1438" s="19" t="n">
        <x:v>8</x:v>
      </x:c>
      <x:c r="J1438" s="19" t="n">
        <x:v>1</x:v>
      </x:c>
      <x:c r="K1438" s="16" t="str">
        <x:v>3. Minor corrosion</x:v>
      </x:c>
      <x:c r="L1438" s="16" t="str">
        <x:v>Unlikely</x:v>
      </x:c>
      <x:c r="M1438" s="16" t="str">
        <x:v>Minor</x:v>
      </x:c>
      <x:c r="N1438" s="16" t="str">
        <x:v>Low</x:v>
      </x:c>
    </x:row>
    <x:row r="1439" ht="37" customHeight="1">
      <x:c r="A1439" s="16" t="str">
        <x:v>RAW-01433</x:v>
      </x:c>
      <x:c r="B1439" s="16" t="str">
        <x:v>Recommendation</x:v>
      </x:c>
      <x:c r="C1439" s="16" t="str">
        <x:v>– Remove all Tek screws. Clean and repaint sheeting. Reinstate Tek screws with rubber seals.</x:v>
      </x:c>
      <x:c r="D1439" s="16" t="str">
        <x:v>Roof sheeting</x:v>
      </x:c>
      <x:c r="E1439" s="16" t="str">
        <x:v>SRC-080</x:v>
      </x:c>
      <x:c r="F1439" s="16" t="str">
        <x:v>REC-0123</x:v>
      </x:c>
      <x:c r="G1439" s="16" t="str">
        <x:v>正式报告</x:v>
      </x:c>
      <x:c r="H1439" s="19" t="n">
        <x:v>7</x:v>
      </x:c>
      <x:c r="I1439" s="19" t="n">
        <x:v>8</x:v>
      </x:c>
      <x:c r="J1439" s="19" t="n">
        <x:v>1</x:v>
      </x:c>
      <x:c r="K1439" s="16" t="str">
        <x:v>3. Minor corrosion</x:v>
      </x:c>
      <x:c r="L1439" s="16" t="str">
        <x:v>Unlikely</x:v>
      </x:c>
      <x:c r="M1439" s="16" t="str">
        <x:v>Minor</x:v>
      </x:c>
      <x:c r="N1439" s="16" t="str">
        <x:v>Low</x:v>
      </x:c>
    </x:row>
    <x:row r="1440" ht="41" customHeight="1">
      <x:c r="A1440" s="16" t="str">
        <x:v>RAW-01434</x:v>
      </x:c>
      <x:c r="B1440" s="16" t="str">
        <x:v>Observation</x:v>
      </x:c>
      <x:c r="C1440" s="16" t="str">
        <x:v>–
Side nearest to ocean (shown in photo) has the most significant corrosion. Purlins have holes at ends.</x:v>
      </x:c>
      <x:c r="D1440" s="16" t="str">
        <x:v>Purlins</x:v>
      </x:c>
      <x:c r="E1440" s="16" t="str">
        <x:v>SRC-081</x:v>
      </x:c>
      <x:c r="F1440" s="16" t="str">
        <x:v>OBS-0569</x:v>
      </x:c>
      <x:c r="G1440" s="16" t="str">
        <x:v>审阅或辅助文档</x:v>
      </x:c>
      <x:c r="H1440" s="19" t="n">
        <x:v>3</x:v>
      </x:c>
      <x:c r="I1440" s="19" t="n">
        <x:v>6</x:v>
      </x:c>
      <x:c r="J1440" s="19" t="n">
        <x:v>1</x:v>
      </x:c>
      <x:c r="K1440" s="16" t="str">
        <x:v>7. Very severe deterioration</x:v>
      </x:c>
      <x:c r="L1440" s="16" t="str">
        <x:v>Very likely</x:v>
      </x:c>
      <x:c r="M1440" s="16" t="str">
        <x:v>Significant</x:v>
      </x:c>
      <x:c r="N1440" s="16" t="str">
        <x:v>Urgent</x:v>
      </x:c>
    </x:row>
    <x:row r="1441" ht="37" customHeight="1">
      <x:c r="A1441" s="16" t="str">
        <x:v>RAW-01435</x:v>
      </x:c>
      <x:c r="B1441" s="16" t="str">
        <x:v>Observation</x:v>
      </x:c>
      <x:c r="C1441" s="16" t="str">
        <x:v>– Significant blistering and flaking of steel work at purlin weld and bolted connection.</x:v>
      </x:c>
      <x:c r="D1441" s="16" t="str">
        <x:v>Purlins</x:v>
      </x:c>
      <x:c r="E1441" s="16" t="str">
        <x:v>SRC-081</x:v>
      </x:c>
      <x:c r="F1441" s="16" t="str"/>
      <x:c r="G1441" s="16" t="str">
        <x:v>审阅或辅助文档</x:v>
      </x:c>
      <x:c r="H1441" s="19" t="n">
        <x:v>3</x:v>
      </x:c>
      <x:c r="I1441" s="19" t="n">
        <x:v>7</x:v>
      </x:c>
      <x:c r="J1441" s="19" t="n">
        <x:v>1</x:v>
      </x:c>
      <x:c r="K1441" s="16" t="str">
        <x:v>7. Very severe deterioration</x:v>
      </x:c>
      <x:c r="L1441" s="16" t="str">
        <x:v>Very likely</x:v>
      </x:c>
      <x:c r="M1441" s="16" t="str">
        <x:v>Significant</x:v>
      </x:c>
      <x:c r="N1441" s="16" t="str">
        <x:v>Urgent</x:v>
      </x:c>
    </x:row>
    <x:row r="1442" ht="41" customHeight="1">
      <x:c r="A1442" s="16" t="str">
        <x:v>RAW-01436</x:v>
      </x:c>
      <x:c r="B1442" s="16" t="str">
        <x:v>Observation</x:v>
      </x:c>
      <x:c r="C1442" s="16" t="str">
        <x:v>– Purlin has failed due to significant corrosion, resulting in holes through the steel work. Deflection of roof sheeting was observed at failed purlin.</x:v>
      </x:c>
      <x:c r="D1442" s="16" t="str">
        <x:v>Purlins</x:v>
      </x:c>
      <x:c r="E1442" s="16" t="str">
        <x:v>SRC-081</x:v>
      </x:c>
      <x:c r="F1442" s="16" t="str"/>
      <x:c r="G1442" s="16" t="str">
        <x:v>审阅或辅助文档</x:v>
      </x:c>
      <x:c r="H1442" s="19" t="n">
        <x:v>3</x:v>
      </x:c>
      <x:c r="I1442" s="19" t="n">
        <x:v>8</x:v>
      </x:c>
      <x:c r="J1442" s="19" t="n">
        <x:v>1</x:v>
      </x:c>
      <x:c r="K1442" s="16" t="str">
        <x:v>7. Very severe deterioration</x:v>
      </x:c>
      <x:c r="L1442" s="16" t="str">
        <x:v>Very likely</x:v>
      </x:c>
      <x:c r="M1442" s="16" t="str">
        <x:v>Significant</x:v>
      </x:c>
      <x:c r="N1442" s="16" t="str">
        <x:v>Urgent</x:v>
      </x:c>
    </x:row>
    <x:row r="1443" ht="37" customHeight="1">
      <x:c r="A1443" s="16" t="str">
        <x:v>RAW-01437</x:v>
      </x:c>
      <x:c r="B1443" s="16" t="str">
        <x:v>Observation</x:v>
      </x:c>
      <x:c r="C1443" s="16" t="str">
        <x:v>– Significant corrosion to the top of purlins.</x:v>
      </x:c>
      <x:c r="D1443" s="16" t="str">
        <x:v>Purlins</x:v>
      </x:c>
      <x:c r="E1443" s="16" t="str">
        <x:v>SRC-081</x:v>
      </x:c>
      <x:c r="F1443" s="16" t="str">
        <x:v>OBS-0576</x:v>
      </x:c>
      <x:c r="G1443" s="16" t="str">
        <x:v>审阅或辅助文档</x:v>
      </x:c>
      <x:c r="H1443" s="19" t="n">
        <x:v>3</x:v>
      </x:c>
      <x:c r="I1443" s="19" t="n">
        <x:v>9</x:v>
      </x:c>
      <x:c r="J1443" s="19" t="n">
        <x:v>1</x:v>
      </x:c>
      <x:c r="K1443" s="16" t="str">
        <x:v>7. Very severe deterioration</x:v>
      </x:c>
      <x:c r="L1443" s="16" t="str">
        <x:v>Very likely</x:v>
      </x:c>
      <x:c r="M1443" s="16" t="str">
        <x:v>Significant</x:v>
      </x:c>
      <x:c r="N1443" s="16" t="str">
        <x:v>Urgent</x:v>
      </x:c>
    </x:row>
    <x:row r="1444" ht="37" customHeight="1">
      <x:c r="A1444" s="16" t="str">
        <x:v>RAW-01438</x:v>
      </x:c>
      <x:c r="B1444" s="16" t="str">
        <x:v>Recommendation</x:v>
      </x:c>
      <x:c r="C1444" s="16" t="str">
        <x:v>– Temporarily barricade structure with construction fencing all around until failed members are replaced.</x:v>
      </x:c>
      <x:c r="D1444" s="16" t="str">
        <x:v>Purlins</x:v>
      </x:c>
      <x:c r="E1444" s="16" t="str">
        <x:v>SRC-081</x:v>
      </x:c>
      <x:c r="F1444" s="16" t="str">
        <x:v>REC-0166</x:v>
      </x:c>
      <x:c r="G1444" s="16" t="str">
        <x:v>审阅或辅助文档</x:v>
      </x:c>
      <x:c r="H1444" s="19" t="n">
        <x:v>3</x:v>
      </x:c>
      <x:c r="I1444" s="19" t="n">
        <x:v>9</x:v>
      </x:c>
      <x:c r="J1444" s="19" t="n">
        <x:v>1</x:v>
      </x:c>
      <x:c r="K1444" s="16" t="str">
        <x:v>7. Very severe deterioration</x:v>
      </x:c>
      <x:c r="L1444" s="16" t="str">
        <x:v>Very likely</x:v>
      </x:c>
      <x:c r="M1444" s="16" t="str">
        <x:v>Significant</x:v>
      </x:c>
      <x:c r="N1444" s="16" t="str">
        <x:v>Urgent</x:v>
      </x:c>
    </x:row>
    <x:row r="1445" ht="37" customHeight="1">
      <x:c r="A1445" s="16" t="str">
        <x:v>RAW-01439</x:v>
      </x:c>
      <x:c r="B1445" s="16" t="str">
        <x:v>Observation</x:v>
      </x:c>
      <x:c r="C1445" s="16" t="str">
        <x:v>– Column furthest away from ocean.</x:v>
      </x:c>
      <x:c r="D1445" s="16" t="str">
        <x:v>Column baseplate</x:v>
      </x:c>
      <x:c r="E1445" s="16" t="str">
        <x:v>SRC-081</x:v>
      </x:c>
      <x:c r="F1445" s="16" t="str"/>
      <x:c r="G1445" s="16" t="str">
        <x:v>审阅或辅助文档</x:v>
      </x:c>
      <x:c r="H1445" s="19" t="n">
        <x:v>4</x:v>
      </x:c>
      <x:c r="I1445" s="19" t="n">
        <x:v>6</x:v>
      </x:c>
      <x:c r="J1445" s="19" t="n">
        <x:v>1</x:v>
      </x:c>
      <x:c r="K1445" s="16" t="str">
        <x:v>6. Severe deterioration</x:v>
      </x:c>
      <x:c r="L1445" s="16" t="str">
        <x:v>Very likely</x:v>
      </x:c>
      <x:c r="M1445" s="16" t="str">
        <x:v>Significant</x:v>
      </x:c>
      <x:c r="N1445" s="16" t="str">
        <x:v>Urgent</x:v>
      </x:c>
    </x:row>
    <x:row r="1446" ht="37" customHeight="1">
      <x:c r="A1446" s="16" t="str">
        <x:v>RAW-01440</x:v>
      </x:c>
      <x:c r="B1446" s="16" t="str">
        <x:v>Observation</x:v>
      </x:c>
      <x:c r="C1446" s="16" t="str">
        <x:v>– Column furthest away from ocean. Significant corrosion at welds and bolts.</x:v>
      </x:c>
      <x:c r="D1446" s="16" t="str">
        <x:v>Column baseplate</x:v>
      </x:c>
      <x:c r="E1446" s="16" t="str">
        <x:v>SRC-081</x:v>
      </x:c>
      <x:c r="F1446" s="16" t="str"/>
      <x:c r="G1446" s="16" t="str">
        <x:v>审阅或辅助文档</x:v>
      </x:c>
      <x:c r="H1446" s="19" t="n">
        <x:v>4</x:v>
      </x:c>
      <x:c r="I1446" s="19" t="n">
        <x:v>7</x:v>
      </x:c>
      <x:c r="J1446" s="19" t="n">
        <x:v>1</x:v>
      </x:c>
      <x:c r="K1446" s="16" t="str">
        <x:v>6. Severe deterioration</x:v>
      </x:c>
      <x:c r="L1446" s="16" t="str">
        <x:v>Very likely</x:v>
      </x:c>
      <x:c r="M1446" s="16" t="str">
        <x:v>Significant</x:v>
      </x:c>
      <x:c r="N1446" s="16" t="str">
        <x:v>Urgent</x:v>
      </x:c>
    </x:row>
    <x:row r="1447" ht="37" customHeight="1">
      <x:c r="A1447" s="16" t="str">
        <x:v>RAW-01441</x:v>
      </x:c>
      <x:c r="B1447" s="16" t="str">
        <x:v>Recommendation</x:v>
      </x:c>
      <x:c r="C1447" s="16" t="str">
        <x:v>– Clean, remove corroded steel and repaint.</x:v>
      </x:c>
      <x:c r="D1447" s="16" t="str">
        <x:v>Column baseplate</x:v>
      </x:c>
      <x:c r="E1447" s="16" t="str">
        <x:v>SRC-081</x:v>
      </x:c>
      <x:c r="F1447" s="16" t="str"/>
      <x:c r="G1447" s="16" t="str">
        <x:v>审阅或辅助文档</x:v>
      </x:c>
      <x:c r="H1447" s="19" t="n">
        <x:v>4</x:v>
      </x:c>
      <x:c r="I1447" s="19" t="n">
        <x:v>7</x:v>
      </x:c>
      <x:c r="J1447" s="19" t="n">
        <x:v>1</x:v>
      </x:c>
      <x:c r="K1447" s="16" t="str">
        <x:v>6. Severe deterioration</x:v>
      </x:c>
      <x:c r="L1447" s="16" t="str">
        <x:v>Very likely</x:v>
      </x:c>
      <x:c r="M1447" s="16" t="str">
        <x:v>Significant</x:v>
      </x:c>
      <x:c r="N1447" s="16" t="str">
        <x:v>Urgent</x:v>
      </x:c>
    </x:row>
    <x:row r="1448" ht="37" customHeight="1">
      <x:c r="A1448" s="16" t="str">
        <x:v>RAW-01442</x:v>
      </x:c>
      <x:c r="B1448" s="16" t="str">
        <x:v>Observation</x:v>
      </x:c>
      <x:c r="C1448" s="16" t="str">
        <x:v>– In same condition as previous dragonfly shade structure.</x:v>
      </x:c>
      <x:c r="D1448" s="16" t="str">
        <x:v>Dragonfly shade structure</x:v>
      </x:c>
      <x:c r="E1448" s="16" t="str">
        <x:v>SRC-081</x:v>
      </x:c>
      <x:c r="F1448" s="16" t="str"/>
      <x:c r="G1448" s="16" t="str">
        <x:v>审阅或辅助文档</x:v>
      </x:c>
      <x:c r="H1448" s="19" t="n">
        <x:v>5</x:v>
      </x:c>
      <x:c r="I1448" s="19" t="n">
        <x:v>6</x:v>
      </x:c>
      <x:c r="J1448" s="19" t="n">
        <x:v>1</x:v>
      </x:c>
      <x:c r="K1448" s="16" t="str">
        <x:v>6. Severe deterioration</x:v>
      </x:c>
      <x:c r="L1448" s="16" t="str">
        <x:v>Very likely</x:v>
      </x:c>
      <x:c r="M1448" s="16" t="str">
        <x:v>Significant</x:v>
      </x:c>
      <x:c r="N1448" s="16" t="str">
        <x:v>Urgent</x:v>
      </x:c>
    </x:row>
    <x:row r="1449" ht="37" customHeight="1">
      <x:c r="A1449" s="16" t="str">
        <x:v>RAW-01443</x:v>
      </x:c>
      <x:c r="B1449" s="16" t="str">
        <x:v>Observation</x:v>
      </x:c>
      <x:c r="C1449" s="16" t="str">
        <x:v>– Failed purlin circled in red</x:v>
      </x:c>
      <x:c r="D1449" s="16" t="str">
        <x:v>Dragonfly shade structure</x:v>
      </x:c>
      <x:c r="E1449" s="16" t="str">
        <x:v>SRC-081</x:v>
      </x:c>
      <x:c r="F1449" s="16" t="str"/>
      <x:c r="G1449" s="16" t="str">
        <x:v>审阅或辅助文档</x:v>
      </x:c>
      <x:c r="H1449" s="19" t="n">
        <x:v>5</x:v>
      </x:c>
      <x:c r="I1449" s="19" t="n">
        <x:v>7</x:v>
      </x:c>
      <x:c r="J1449" s="19" t="n">
        <x:v>1</x:v>
      </x:c>
      <x:c r="K1449" s="16" t="str">
        <x:v>6. Severe deterioration</x:v>
      </x:c>
      <x:c r="L1449" s="16" t="str">
        <x:v>Very likely</x:v>
      </x:c>
      <x:c r="M1449" s="16" t="str">
        <x:v>Significant</x:v>
      </x:c>
      <x:c r="N1449" s="16" t="str">
        <x:v>Urgent</x:v>
      </x:c>
    </x:row>
    <x:row r="1450" ht="37" customHeight="1">
      <x:c r="A1450" s="16" t="str">
        <x:v>RAW-01444</x:v>
      </x:c>
      <x:c r="B1450" s="16" t="str">
        <x:v>Observation</x:v>
      </x:c>
      <x:c r="C1450" s="16" t="str">
        <x:v>– Failed purlin circled in red.</x:v>
      </x:c>
      <x:c r="D1450" s="16" t="str">
        <x:v>Dragonfly shade structure</x:v>
      </x:c>
      <x:c r="E1450" s="16" t="str">
        <x:v>SRC-081</x:v>
      </x:c>
      <x:c r="F1450" s="16" t="str"/>
      <x:c r="G1450" s="16" t="str">
        <x:v>审阅或辅助文档</x:v>
      </x:c>
      <x:c r="H1450" s="19" t="n">
        <x:v>5</x:v>
      </x:c>
      <x:c r="I1450" s="19" t="n">
        <x:v>8</x:v>
      </x:c>
      <x:c r="J1450" s="19" t="n">
        <x:v>1</x:v>
      </x:c>
      <x:c r="K1450" s="16" t="str">
        <x:v>6. Severe deterioration</x:v>
      </x:c>
      <x:c r="L1450" s="16" t="str">
        <x:v>Very likely</x:v>
      </x:c>
      <x:c r="M1450" s="16" t="str">
        <x:v>Significant</x:v>
      </x:c>
      <x:c r="N1450" s="16" t="str">
        <x:v>Urgent</x:v>
      </x:c>
    </x:row>
    <x:row r="1451" ht="37" customHeight="1">
      <x:c r="A1451" s="16" t="str">
        <x:v>RAW-01445</x:v>
      </x:c>
      <x:c r="B1451" s="16" t="str">
        <x:v>Observation</x:v>
      </x:c>
      <x:c r="C1451" s="16" t="str">
        <x:v>– Significant blistering and flaking corrosion of purlins.</x:v>
      </x:c>
      <x:c r="D1451" s="16" t="str">
        <x:v>Dragonfly shade structure</x:v>
      </x:c>
      <x:c r="E1451" s="16" t="str">
        <x:v>SRC-081</x:v>
      </x:c>
      <x:c r="F1451" s="16" t="str"/>
      <x:c r="G1451" s="16" t="str">
        <x:v>审阅或辅助文档</x:v>
      </x:c>
      <x:c r="H1451" s="19" t="n">
        <x:v>5</x:v>
      </x:c>
      <x:c r="I1451" s="19" t="n">
        <x:v>9</x:v>
      </x:c>
      <x:c r="J1451" s="19" t="n">
        <x:v>1</x:v>
      </x:c>
      <x:c r="K1451" s="16" t="str">
        <x:v>6. Severe deterioration</x:v>
      </x:c>
      <x:c r="L1451" s="16" t="str">
        <x:v>Very likely</x:v>
      </x:c>
      <x:c r="M1451" s="16" t="str">
        <x:v>Significant</x:v>
      </x:c>
      <x:c r="N1451" s="16" t="str">
        <x:v>Urgent</x:v>
      </x:c>
    </x:row>
    <x:row r="1452" ht="41" customHeight="1">
      <x:c r="A1452" s="16" t="str">
        <x:v>RAW-01446</x:v>
      </x:c>
      <x:c r="B1452" s="16" t="str">
        <x:v>Recommendation</x:v>
      </x:c>
      <x:c r="C1452" s="16" t="str">
        <x:v>– Temporarily barricade the dragon shelter. Remove all failed purlins. Clean, remove corrosion and repaint all structural elements.</x:v>
      </x:c>
      <x:c r="D1452" s="16" t="str">
        <x:v>Dragonfly shade structure</x:v>
      </x:c>
      <x:c r="E1452" s="16" t="str">
        <x:v>SRC-081</x:v>
      </x:c>
      <x:c r="F1452" s="16" t="str">
        <x:v>REC-0167</x:v>
      </x:c>
      <x:c r="G1452" s="16" t="str">
        <x:v>审阅或辅助文档</x:v>
      </x:c>
      <x:c r="H1452" s="19" t="n">
        <x:v>5</x:v>
      </x:c>
      <x:c r="I1452" s="19" t="n">
        <x:v>9</x:v>
      </x:c>
      <x:c r="J1452" s="19" t="n">
        <x:v>1</x:v>
      </x:c>
      <x:c r="K1452" s="16" t="str">
        <x:v>6. Severe deterioration</x:v>
      </x:c>
      <x:c r="L1452" s="16" t="str">
        <x:v>Very likely</x:v>
      </x:c>
      <x:c r="M1452" s="16" t="str">
        <x:v>Significant</x:v>
      </x:c>
      <x:c r="N1452" s="16" t="str">
        <x:v>Urgent</x:v>
      </x:c>
    </x:row>
    <x:row r="1453" ht="37" customHeight="1">
      <x:c r="A1453" s="16" t="str">
        <x:v>RAW-01447</x:v>
      </x:c>
      <x:c r="B1453" s="16" t="str">
        <x:v>Observation</x:v>
      </x:c>
      <x:c r="C1453" s="16" t="str">
        <x:v>– Overview of shade structure at lookout.</x:v>
      </x:c>
      <x:c r="D1453" s="16" t="str">
        <x:v>Shade structure</x:v>
      </x:c>
      <x:c r="E1453" s="16" t="str">
        <x:v>SRC-081</x:v>
      </x:c>
      <x:c r="F1453" s="16" t="str">
        <x:v>OBS-0436</x:v>
      </x:c>
      <x:c r="G1453" s="16" t="str">
        <x:v>审阅或辅助文档</x:v>
      </x:c>
      <x:c r="H1453" s="19" t="n">
        <x:v>6</x:v>
      </x:c>
      <x:c r="I1453" s="19" t="n">
        <x:v>6</x:v>
      </x:c>
      <x:c r="J1453" s="19" t="n">
        <x:v>1</x:v>
      </x:c>
      <x:c r="K1453" s="16" t="str">
        <x:v>4. Moderate deterioration</x:v>
      </x:c>
      <x:c r="L1453" s="16" t="str">
        <x:v>Possible</x:v>
      </x:c>
      <x:c r="M1453" s="16" t="str">
        <x:v>Significant</x:v>
      </x:c>
      <x:c r="N1453" s="16" t="str">
        <x:v>High</x:v>
      </x:c>
    </x:row>
    <x:row r="1454" ht="37" customHeight="1">
      <x:c r="A1454" s="16" t="str">
        <x:v>RAW-01448</x:v>
      </x:c>
      <x:c r="B1454" s="16" t="str">
        <x:v>Observation</x:v>
      </x:c>
      <x:c r="C1454" s="16" t="str">
        <x:v>– Significant corrosion at column due to ocean spray.</x:v>
      </x:c>
      <x:c r="D1454" s="16" t="str">
        <x:v>Shade structure</x:v>
      </x:c>
      <x:c r="E1454" s="16" t="str">
        <x:v>SRC-081</x:v>
      </x:c>
      <x:c r="F1454" s="16" t="str">
        <x:v>OBS-0573</x:v>
      </x:c>
      <x:c r="G1454" s="16" t="str">
        <x:v>审阅或辅助文档</x:v>
      </x:c>
      <x:c r="H1454" s="19" t="n">
        <x:v>6</x:v>
      </x:c>
      <x:c r="I1454" s="19" t="n">
        <x:v>7</x:v>
      </x:c>
      <x:c r="J1454" s="19" t="n">
        <x:v>1</x:v>
      </x:c>
      <x:c r="K1454" s="16" t="str">
        <x:v>4. Moderate deterioration</x:v>
      </x:c>
      <x:c r="L1454" s="16" t="str">
        <x:v>Possible</x:v>
      </x:c>
      <x:c r="M1454" s="16" t="str">
        <x:v>Significant</x:v>
      </x:c>
      <x:c r="N1454" s="16" t="str">
        <x:v>High</x:v>
      </x:c>
    </x:row>
    <x:row r="1455" ht="37" customHeight="1">
      <x:c r="A1455" s="16" t="str">
        <x:v>RAW-01449</x:v>
      </x:c>
      <x:c r="B1455" s="16" t="str">
        <x:v>Observation</x:v>
      </x:c>
      <x:c r="C1455" s="16" t="str">
        <x:v>– Surface corrosion on curved circular section.</x:v>
      </x:c>
      <x:c r="D1455" s="16" t="str">
        <x:v>Shade structure</x:v>
      </x:c>
      <x:c r="E1455" s="16" t="str">
        <x:v>SRC-081</x:v>
      </x:c>
      <x:c r="F1455" s="16" t="str">
        <x:v>OBS-0585</x:v>
      </x:c>
      <x:c r="G1455" s="16" t="str">
        <x:v>审阅或辅助文档</x:v>
      </x:c>
      <x:c r="H1455" s="19" t="n">
        <x:v>6</x:v>
      </x:c>
      <x:c r="I1455" s="19" t="n">
        <x:v>8</x:v>
      </x:c>
      <x:c r="J1455" s="19" t="n">
        <x:v>1</x:v>
      </x:c>
      <x:c r="K1455" s="16" t="str">
        <x:v>4. Moderate deterioration</x:v>
      </x:c>
      <x:c r="L1455" s="16" t="str">
        <x:v>Possible</x:v>
      </x:c>
      <x:c r="M1455" s="16" t="str">
        <x:v>Significant</x:v>
      </x:c>
      <x:c r="N1455" s="16" t="str">
        <x:v>High</x:v>
      </x:c>
    </x:row>
    <x:row r="1456" ht="37" customHeight="1">
      <x:c r="A1456" s="16" t="str">
        <x:v>RAW-01450</x:v>
      </x:c>
      <x:c r="B1456" s="16" t="str">
        <x:v>Observation</x:v>
      </x:c>
      <x:c r="C1456" s="16" t="str">
        <x:v>– Roof structure in good condition when compared to dragonfly structures.</x:v>
      </x:c>
      <x:c r="D1456" s="16" t="str">
        <x:v>Shade structure</x:v>
      </x:c>
      <x:c r="E1456" s="16" t="str">
        <x:v>SRC-081</x:v>
      </x:c>
      <x:c r="F1456" s="16" t="str">
        <x:v>OBS-0515</x:v>
      </x:c>
      <x:c r="G1456" s="16" t="str">
        <x:v>审阅或辅助文档</x:v>
      </x:c>
      <x:c r="H1456" s="19" t="n">
        <x:v>6</x:v>
      </x:c>
      <x:c r="I1456" s="19" t="n">
        <x:v>9</x:v>
      </x:c>
      <x:c r="J1456" s="19" t="n">
        <x:v>1</x:v>
      </x:c>
      <x:c r="K1456" s="16" t="str">
        <x:v>4. Moderate deterioration</x:v>
      </x:c>
      <x:c r="L1456" s="16" t="str">
        <x:v>Possible</x:v>
      </x:c>
      <x:c r="M1456" s="16" t="str">
        <x:v>Significant</x:v>
      </x:c>
      <x:c r="N1456" s="16" t="str">
        <x:v>High</x:v>
      </x:c>
    </x:row>
    <x:row r="1457" ht="37" customHeight="1">
      <x:c r="A1457" s="16" t="str">
        <x:v>RAW-01451</x:v>
      </x:c>
      <x:c r="B1457" s="16" t="str">
        <x:v>Recommendation</x:v>
      </x:c>
      <x:c r="C1457" s="16" t="str">
        <x:v>– Clean, wire brush and repaint all steel members.</x:v>
      </x:c>
      <x:c r="D1457" s="16" t="str">
        <x:v>Shade structure</x:v>
      </x:c>
      <x:c r="E1457" s="16" t="str">
        <x:v>SRC-081</x:v>
      </x:c>
      <x:c r="F1457" s="16" t="str">
        <x:v>REC-0072</x:v>
      </x:c>
      <x:c r="G1457" s="16" t="str">
        <x:v>审阅或辅助文档</x:v>
      </x:c>
      <x:c r="H1457" s="19" t="n">
        <x:v>6</x:v>
      </x:c>
      <x:c r="I1457" s="19" t="n">
        <x:v>9</x:v>
      </x:c>
      <x:c r="J1457" s="19" t="n">
        <x:v>1</x:v>
      </x:c>
      <x:c r="K1457" s="16" t="str">
        <x:v>4. Moderate deterioration</x:v>
      </x:c>
      <x:c r="L1457" s="16" t="str">
        <x:v>Possible</x:v>
      </x:c>
      <x:c r="M1457" s="16" t="str">
        <x:v>Significant</x:v>
      </x:c>
      <x:c r="N1457" s="16" t="str">
        <x:v>High</x:v>
      </x:c>
    </x:row>
    <x:row r="1458" ht="37" customHeight="1">
      <x:c r="A1458" s="16" t="str">
        <x:v>RAW-01452</x:v>
      </x:c>
      <x:c r="B1458" s="16" t="str">
        <x:v>Observation</x:v>
      </x:c>
      <x:c r="C1458" s="16" t="str">
        <x:v>– Overview of roof.</x:v>
      </x:c>
      <x:c r="D1458" s="16" t="str">
        <x:v>Roof sheeting</x:v>
      </x:c>
      <x:c r="E1458" s="16" t="str">
        <x:v>SRC-081</x:v>
      </x:c>
      <x:c r="F1458" s="16" t="str">
        <x:v>OBS-0435</x:v>
      </x:c>
      <x:c r="G1458" s="16" t="str">
        <x:v>审阅或辅助文档</x:v>
      </x:c>
      <x:c r="H1458" s="19" t="n">
        <x:v>7</x:v>
      </x:c>
      <x:c r="I1458" s="19" t="n">
        <x:v>6</x:v>
      </x:c>
      <x:c r="J1458" s="19" t="n">
        <x:v>1</x:v>
      </x:c>
      <x:c r="K1458" s="16" t="str">
        <x:v>3. Minor corrosion</x:v>
      </x:c>
      <x:c r="L1458" s="16" t="str">
        <x:v>Unlikely</x:v>
      </x:c>
      <x:c r="M1458" s="16" t="str">
        <x:v>Minor</x:v>
      </x:c>
      <x:c r="N1458" s="16" t="str">
        <x:v>Low</x:v>
      </x:c>
    </x:row>
    <x:row r="1459" ht="37" customHeight="1">
      <x:c r="A1459" s="16" t="str">
        <x:v>RAW-01453</x:v>
      </x:c>
      <x:c r="B1459" s="16" t="str">
        <x:v>Observation</x:v>
      </x:c>
      <x:c r="C1459" s="16" t="str">
        <x:v>– Minor corrosion and staining at Tek screws.</x:v>
      </x:c>
      <x:c r="D1459" s="16" t="str">
        <x:v>Roof sheeting</x:v>
      </x:c>
      <x:c r="E1459" s="16" t="str">
        <x:v>SRC-081</x:v>
      </x:c>
      <x:c r="F1459" s="16" t="str"/>
      <x:c r="G1459" s="16" t="str">
        <x:v>审阅或辅助文档</x:v>
      </x:c>
      <x:c r="H1459" s="19" t="n">
        <x:v>7</x:v>
      </x:c>
      <x:c r="I1459" s="19" t="n">
        <x:v>7</x:v>
      </x:c>
      <x:c r="J1459" s="19" t="n">
        <x:v>1</x:v>
      </x:c>
      <x:c r="K1459" s="16" t="str">
        <x:v>3. Minor corrosion</x:v>
      </x:c>
      <x:c r="L1459" s="16" t="str">
        <x:v>Unlikely</x:v>
      </x:c>
      <x:c r="M1459" s="16" t="str">
        <x:v>Minor</x:v>
      </x:c>
      <x:c r="N1459" s="16" t="str">
        <x:v>Low</x:v>
      </x:c>
    </x:row>
    <x:row r="1460" ht="37" customHeight="1">
      <x:c r="A1460" s="16" t="str">
        <x:v>RAW-01454</x:v>
      </x:c>
      <x:c r="B1460" s="16" t="str">
        <x:v>Observation</x:v>
      </x:c>
      <x:c r="C1460" s="16" t="str">
        <x:v>– Minor corrosion and staining at Tek screws. Rubber seals not installed.</x:v>
      </x:c>
      <x:c r="D1460" s="16" t="str">
        <x:v>Roof sheeting</x:v>
      </x:c>
      <x:c r="E1460" s="16" t="str">
        <x:v>SRC-081</x:v>
      </x:c>
      <x:c r="F1460" s="16" t="str"/>
      <x:c r="G1460" s="16" t="str">
        <x:v>审阅或辅助文档</x:v>
      </x:c>
      <x:c r="H1460" s="19" t="n">
        <x:v>7</x:v>
      </x:c>
      <x:c r="I1460" s="19" t="n">
        <x:v>8</x:v>
      </x:c>
      <x:c r="J1460" s="19" t="n">
        <x:v>1</x:v>
      </x:c>
      <x:c r="K1460" s="16" t="str">
        <x:v>3. Minor corrosion</x:v>
      </x:c>
      <x:c r="L1460" s="16" t="str">
        <x:v>Unlikely</x:v>
      </x:c>
      <x:c r="M1460" s="16" t="str">
        <x:v>Minor</x:v>
      </x:c>
      <x:c r="N1460" s="16" t="str">
        <x:v>Low</x:v>
      </x:c>
    </x:row>
    <x:row r="1461" ht="37" customHeight="1">
      <x:c r="A1461" s="16" t="str">
        <x:v>RAW-01455</x:v>
      </x:c>
      <x:c r="B1461" s="16" t="str">
        <x:v>Recommendation</x:v>
      </x:c>
      <x:c r="C1461" s="16" t="str">
        <x:v>– Remove all Tek screws. Clean and repaint sheeting. Reinstate Tek screws with rubber seals.</x:v>
      </x:c>
      <x:c r="D1461" s="16" t="str">
        <x:v>Roof sheeting</x:v>
      </x:c>
      <x:c r="E1461" s="16" t="str">
        <x:v>SRC-081</x:v>
      </x:c>
      <x:c r="F1461" s="16" t="str">
        <x:v>REC-0123</x:v>
      </x:c>
      <x:c r="G1461" s="16" t="str">
        <x:v>审阅或辅助文档</x:v>
      </x:c>
      <x:c r="H1461" s="19" t="n">
        <x:v>7</x:v>
      </x:c>
      <x:c r="I1461" s="19" t="n">
        <x:v>8</x:v>
      </x:c>
      <x:c r="J1461" s="19" t="n">
        <x:v>1</x:v>
      </x:c>
      <x:c r="K1461" s="16" t="str">
        <x:v>3. Minor corrosion</x:v>
      </x:c>
      <x:c r="L1461" s="16" t="str">
        <x:v>Unlikely</x:v>
      </x:c>
      <x:c r="M1461" s="16" t="str">
        <x:v>Minor</x:v>
      </x:c>
      <x:c r="N1461" s="16" t="str">
        <x:v>Low</x:v>
      </x:c>
    </x:row>
    <x:row r="1462" ht="41" customHeight="1">
      <x:c r="A1462" s="16" t="str">
        <x:v>RAW-01456</x:v>
      </x:c>
      <x:c r="B1462" s="16" t="str">
        <x:v>Observation</x:v>
      </x:c>
      <x:c r="C1462" s="16" t="str">
        <x:v>– Overview.</x:v>
      </x:c>
      <x:c r="D1462" s="16" t="str">
        <x:v>Shade structure 1 over children’s pool</x:v>
      </x:c>
      <x:c r="E1462" s="16" t="str">
        <x:v>SRC-092</x:v>
      </x:c>
      <x:c r="F1462" s="16" t="str">
        <x:v>OBS-0002</x:v>
      </x:c>
      <x:c r="G1462" s="16" t="str">
        <x:v>正式报告</x:v>
      </x:c>
      <x:c r="H1462" s="19" t="n">
        <x:v>3</x:v>
      </x:c>
      <x:c r="I1462" s="19" t="n">
        <x:v>6</x:v>
      </x:c>
      <x:c r="J1462" s="19" t="n">
        <x:v>1</x:v>
      </x:c>
      <x:c r="K1462" s="16" t="str">
        <x:v>7. Very severe deterioration</x:v>
      </x:c>
      <x:c r="L1462" s="16" t="str">
        <x:v>Very likely</x:v>
      </x:c>
      <x:c r="M1462" s="16" t="str">
        <x:v>Severe</x:v>
      </x:c>
      <x:c r="N1462" s="16" t="str">
        <x:v>Urgent</x:v>
      </x:c>
    </x:row>
    <x:row r="1463" ht="41" customHeight="1">
      <x:c r="A1463" s="16" t="str">
        <x:v>RAW-01457</x:v>
      </x:c>
      <x:c r="B1463" s="16" t="str">
        <x:v>Observation</x:v>
      </x:c>
      <x:c r="C1463" s="16" t="str">
        <x:v>– Column 1. Severe corrosion of the connection. Steel brush pushed through showing that section loss has occurred and connection has hole through.</x:v>
      </x:c>
      <x:c r="D1463" s="16" t="str">
        <x:v>Shade structure 1 over children’s pool</x:v>
      </x:c>
      <x:c r="E1463" s="16" t="str">
        <x:v>SRC-092</x:v>
      </x:c>
      <x:c r="F1463" s="16" t="str">
        <x:v>OBS-0192</x:v>
      </x:c>
      <x:c r="G1463" s="16" t="str">
        <x:v>正式报告</x:v>
      </x:c>
      <x:c r="H1463" s="19" t="n">
        <x:v>3</x:v>
      </x:c>
      <x:c r="I1463" s="19" t="n">
        <x:v>7</x:v>
      </x:c>
      <x:c r="J1463" s="19" t="n">
        <x:v>2</x:v>
      </x:c>
      <x:c r="K1463" s="16" t="str">
        <x:v>7. Very severe deterioration</x:v>
      </x:c>
      <x:c r="L1463" s="16" t="str">
        <x:v>Very likely</x:v>
      </x:c>
      <x:c r="M1463" s="16" t="str">
        <x:v>Severe</x:v>
      </x:c>
      <x:c r="N1463" s="16" t="str">
        <x:v>Urgent</x:v>
      </x:c>
    </x:row>
    <x:row r="1464" ht="41" customHeight="1">
      <x:c r="A1464" s="16" t="str">
        <x:v>RAW-01458</x:v>
      </x:c>
      <x:c r="B1464" s="16" t="str">
        <x:v>Recommendation</x:v>
      </x:c>
      <x:c r="C1464" s="16" t="str">
        <x:v>– Column to be replaced. Shade structure shall be removed and pool closed to the public until column is replaced.</x:v>
      </x:c>
      <x:c r="D1464" s="16" t="str">
        <x:v>Shade structure 1 over children’s pool</x:v>
      </x:c>
      <x:c r="E1464" s="16" t="str">
        <x:v>SRC-092</x:v>
      </x:c>
      <x:c r="F1464" s="16" t="str">
        <x:v>REC-0029</x:v>
      </x:c>
      <x:c r="G1464" s="16" t="str">
        <x:v>正式报告</x:v>
      </x:c>
      <x:c r="H1464" s="19" t="n">
        <x:v>3</x:v>
      </x:c>
      <x:c r="I1464" s="19" t="n">
        <x:v>7</x:v>
      </x:c>
      <x:c r="J1464" s="19" t="n">
        <x:v>2</x:v>
      </x:c>
      <x:c r="K1464" s="16" t="str">
        <x:v>7. Very severe deterioration</x:v>
      </x:c>
      <x:c r="L1464" s="16" t="str">
        <x:v>Very likely</x:v>
      </x:c>
      <x:c r="M1464" s="16" t="str">
        <x:v>Severe</x:v>
      </x:c>
      <x:c r="N1464" s="16" t="str">
        <x:v>Urgent</x:v>
      </x:c>
    </x:row>
    <x:row r="1465" ht="41" customHeight="1">
      <x:c r="A1465" s="16" t="str">
        <x:v>RAW-01459</x:v>
      </x:c>
      <x:c r="B1465" s="16" t="str">
        <x:v>Observation</x:v>
      </x:c>
      <x:c r="C1465" s="16" t="str">
        <x:v>– Column 1. Major corrosion of the connection.</x:v>
      </x:c>
      <x:c r="D1465" s="16" t="str">
        <x:v>Shade structure 1 over children’s pool</x:v>
      </x:c>
      <x:c r="E1465" s="16" t="str">
        <x:v>SRC-092</x:v>
      </x:c>
      <x:c r="F1465" s="16" t="str">
        <x:v>OBS-0190</x:v>
      </x:c>
      <x:c r="G1465" s="16" t="str">
        <x:v>正式报告</x:v>
      </x:c>
      <x:c r="H1465" s="19" t="n">
        <x:v>3</x:v>
      </x:c>
      <x:c r="I1465" s="19" t="n">
        <x:v>9</x:v>
      </x:c>
      <x:c r="J1465" s="19" t="n">
        <x:v>1</x:v>
      </x:c>
      <x:c r="K1465" s="16" t="str">
        <x:v>7. Very severe deterioration</x:v>
      </x:c>
      <x:c r="L1465" s="16" t="str">
        <x:v>Very likely</x:v>
      </x:c>
      <x:c r="M1465" s="16" t="str">
        <x:v>Severe</x:v>
      </x:c>
      <x:c r="N1465" s="16" t="str">
        <x:v>Urgent</x:v>
      </x:c>
    </x:row>
    <x:row r="1466" ht="41" customHeight="1">
      <x:c r="A1466" s="16" t="str">
        <x:v>RAW-01460</x:v>
      </x:c>
      <x:c r="B1466" s="16" t="str">
        <x:v>Recommendation</x:v>
      </x:c>
      <x:c r="C1466" s="16" t="str">
        <x:v>– Column to be replaced. Shade structure shall be removed and pool closed to the public until column is replaced.</x:v>
      </x:c>
      <x:c r="D1466" s="16" t="str">
        <x:v>Shade structure 1 over children’s pool</x:v>
      </x:c>
      <x:c r="E1466" s="16" t="str">
        <x:v>SRC-092</x:v>
      </x:c>
      <x:c r="F1466" s="16" t="str">
        <x:v>REC-0029</x:v>
      </x:c>
      <x:c r="G1466" s="16" t="str">
        <x:v>正式报告</x:v>
      </x:c>
      <x:c r="H1466" s="19" t="n">
        <x:v>3</x:v>
      </x:c>
      <x:c r="I1466" s="19" t="n">
        <x:v>9</x:v>
      </x:c>
      <x:c r="J1466" s="19" t="n">
        <x:v>1</x:v>
      </x:c>
      <x:c r="K1466" s="16" t="str">
        <x:v>7. Very severe deterioration</x:v>
      </x:c>
      <x:c r="L1466" s="16" t="str">
        <x:v>Very likely</x:v>
      </x:c>
      <x:c r="M1466" s="16" t="str">
        <x:v>Severe</x:v>
      </x:c>
      <x:c r="N1466" s="16" t="str">
        <x:v>Urgent</x:v>
      </x:c>
    </x:row>
    <x:row r="1467" ht="41" customHeight="1">
      <x:c r="A1467" s="16" t="str">
        <x:v>RAW-01461</x:v>
      </x:c>
      <x:c r="B1467" s="16" t="str">
        <x:v>Observation</x:v>
      </x:c>
      <x:c r="C1467" s="16" t="str">
        <x:v>– Column 4. Minor corrosion of the connection.</x:v>
      </x:c>
      <x:c r="D1467" s="16" t="str">
        <x:v>Shade structure 1 over children’s pool</x:v>
      </x:c>
      <x:c r="E1467" s="16" t="str">
        <x:v>SRC-092</x:v>
      </x:c>
      <x:c r="F1467" s="16" t="str">
        <x:v>OBS-0204</x:v>
      </x:c>
      <x:c r="G1467" s="16" t="str">
        <x:v>正式报告</x:v>
      </x:c>
      <x:c r="H1467" s="19" t="n">
        <x:v>3</x:v>
      </x:c>
      <x:c r="I1467" s="19" t="n">
        <x:v>10</x:v>
      </x:c>
      <x:c r="J1467" s="19" t="n">
        <x:v>2</x:v>
      </x:c>
      <x:c r="K1467" s="16" t="str">
        <x:v>7. Very severe deterioration</x:v>
      </x:c>
      <x:c r="L1467" s="16" t="str">
        <x:v>Very likely</x:v>
      </x:c>
      <x:c r="M1467" s="16" t="str">
        <x:v>Severe</x:v>
      </x:c>
      <x:c r="N1467" s="16" t="str">
        <x:v>Urgent</x:v>
      </x:c>
    </x:row>
    <x:row r="1468" ht="41" customHeight="1">
      <x:c r="A1468" s="16" t="str">
        <x:v>RAW-01462</x:v>
      </x:c>
      <x:c r="B1468" s="16" t="str">
        <x:v>Recommendation</x:v>
      </x:c>
      <x:c r="C1468" s="16" t="str">
        <x:v>– Clean, remove corrosion and repaint.</x:v>
      </x:c>
      <x:c r="D1468" s="16" t="str">
        <x:v>Shade structure 1 over children’s pool</x:v>
      </x:c>
      <x:c r="E1468" s="16" t="str">
        <x:v>SRC-092</x:v>
      </x:c>
      <x:c r="F1468" s="16" t="str">
        <x:v>REC-0002</x:v>
      </x:c>
      <x:c r="G1468" s="16" t="str">
        <x:v>正式报告</x:v>
      </x:c>
      <x:c r="H1468" s="19" t="n">
        <x:v>3</x:v>
      </x:c>
      <x:c r="I1468" s="19" t="n">
        <x:v>10</x:v>
      </x:c>
      <x:c r="J1468" s="19" t="n">
        <x:v>2</x:v>
      </x:c>
      <x:c r="K1468" s="16" t="str">
        <x:v>7. Very severe deterioration</x:v>
      </x:c>
      <x:c r="L1468" s="16" t="str">
        <x:v>Very likely</x:v>
      </x:c>
      <x:c r="M1468" s="16" t="str">
        <x:v>Severe</x:v>
      </x:c>
      <x:c r="N1468" s="16" t="str">
        <x:v>Urgent</x:v>
      </x:c>
    </x:row>
    <x:row r="1469" ht="41" customHeight="1">
      <x:c r="A1469" s="16" t="str">
        <x:v>RAW-01463</x:v>
      </x:c>
      <x:c r="B1469" s="16" t="str">
        <x:v>Observation</x:v>
      </x:c>
      <x:c r="C1469" s="16" t="str">
        <x:v>– Column 3 overview. Minor corrosion of the connection.</x:v>
      </x:c>
      <x:c r="D1469" s="16" t="str">
        <x:v>Shade structure 1 over children’s pool</x:v>
      </x:c>
      <x:c r="E1469" s="16" t="str">
        <x:v>SRC-092</x:v>
      </x:c>
      <x:c r="F1469" s="16" t="str">
        <x:v>OBS-0196</x:v>
      </x:c>
      <x:c r="G1469" s="16" t="str">
        <x:v>正式报告</x:v>
      </x:c>
      <x:c r="H1469" s="19" t="n">
        <x:v>3</x:v>
      </x:c>
      <x:c r="I1469" s="19" t="n">
        <x:v>11</x:v>
      </x:c>
      <x:c r="J1469" s="19" t="n">
        <x:v>2</x:v>
      </x:c>
      <x:c r="K1469" s="16" t="str">
        <x:v>7. Very severe deterioration</x:v>
      </x:c>
      <x:c r="L1469" s="16" t="str">
        <x:v>Very likely</x:v>
      </x:c>
      <x:c r="M1469" s="16" t="str">
        <x:v>Severe</x:v>
      </x:c>
      <x:c r="N1469" s="16" t="str">
        <x:v>Urgent</x:v>
      </x:c>
    </x:row>
    <x:row r="1470" ht="41" customHeight="1">
      <x:c r="A1470" s="16" t="str">
        <x:v>RAW-01464</x:v>
      </x:c>
      <x:c r="B1470" s="16" t="str">
        <x:v>Recommendation</x:v>
      </x:c>
      <x:c r="C1470" s="16" t="str">
        <x:v>– Clean, remove corrosion and repaint.</x:v>
      </x:c>
      <x:c r="D1470" s="16" t="str">
        <x:v>Shade structure 1 over children’s pool</x:v>
      </x:c>
      <x:c r="E1470" s="16" t="str">
        <x:v>SRC-092</x:v>
      </x:c>
      <x:c r="F1470" s="16" t="str">
        <x:v>REC-0002</x:v>
      </x:c>
      <x:c r="G1470" s="16" t="str">
        <x:v>正式报告</x:v>
      </x:c>
      <x:c r="H1470" s="19" t="n">
        <x:v>3</x:v>
      </x:c>
      <x:c r="I1470" s="19" t="n">
        <x:v>11</x:v>
      </x:c>
      <x:c r="J1470" s="19" t="n">
        <x:v>2</x:v>
      </x:c>
      <x:c r="K1470" s="16" t="str">
        <x:v>7. Very severe deterioration</x:v>
      </x:c>
      <x:c r="L1470" s="16" t="str">
        <x:v>Very likely</x:v>
      </x:c>
      <x:c r="M1470" s="16" t="str">
        <x:v>Severe</x:v>
      </x:c>
      <x:c r="N1470" s="16" t="str">
        <x:v>Urgent</x:v>
      </x:c>
    </x:row>
    <x:row r="1471" ht="37" customHeight="1">
      <x:c r="A1471" s="16" t="str">
        <x:v>RAW-01465</x:v>
      </x:c>
      <x:c r="B1471" s="16" t="str">
        <x:v>Observation</x:v>
      </x:c>
      <x:c r="C1471" s="16" t="str">
        <x:v>– Overview of columns used for shade structure.</x:v>
      </x:c>
      <x:c r="D1471" s="16" t="str">
        <x:v>Shade structure 2 columns</x:v>
      </x:c>
      <x:c r="E1471" s="16" t="str">
        <x:v>SRC-092</x:v>
      </x:c>
      <x:c r="F1471" s="16" t="str">
        <x:v>OBS-0426</x:v>
      </x:c>
      <x:c r="G1471" s="16" t="str">
        <x:v>正式报告</x:v>
      </x:c>
      <x:c r="H1471" s="19" t="n">
        <x:v>4</x:v>
      </x:c>
      <x:c r="I1471" s="19" t="n">
        <x:v>6</x:v>
      </x:c>
      <x:c r="J1471" s="19" t="n">
        <x:v>1</x:v>
      </x:c>
      <x:c r="K1471" s="16" t="str">
        <x:v>7. Very severe deterioration</x:v>
      </x:c>
      <x:c r="L1471" s="16" t="str">
        <x:v>Very likely</x:v>
      </x:c>
      <x:c r="M1471" s="16" t="str">
        <x:v>Significant</x:v>
      </x:c>
      <x:c r="N1471" s="16" t="str">
        <x:v>Urgent</x:v>
      </x:c>
    </x:row>
    <x:row r="1472" ht="37" customHeight="1">
      <x:c r="A1472" s="16" t="str">
        <x:v>RAW-01466</x:v>
      </x:c>
      <x:c r="B1472" s="16" t="str">
        <x:v>Recommendation</x:v>
      </x:c>
      <x:c r="C1472" s="16" t="str">
        <x:v>– All columns to be excavated to the base investigate corrosion level.</x:v>
      </x:c>
      <x:c r="D1472" s="16" t="str">
        <x:v>Shade structure 2 columns</x:v>
      </x:c>
      <x:c r="E1472" s="16" t="str">
        <x:v>SRC-092</x:v>
      </x:c>
      <x:c r="F1472" s="16" t="str">
        <x:v>REC-0046</x:v>
      </x:c>
      <x:c r="G1472" s="16" t="str">
        <x:v>正式报告</x:v>
      </x:c>
      <x:c r="H1472" s="19" t="n">
        <x:v>4</x:v>
      </x:c>
      <x:c r="I1472" s="19" t="n">
        <x:v>6</x:v>
      </x:c>
      <x:c r="J1472" s="19" t="n">
        <x:v>1</x:v>
      </x:c>
      <x:c r="K1472" s="16" t="str">
        <x:v>7. Very severe deterioration</x:v>
      </x:c>
      <x:c r="L1472" s="16" t="str">
        <x:v>Very likely</x:v>
      </x:c>
      <x:c r="M1472" s="16" t="str">
        <x:v>Significant</x:v>
      </x:c>
      <x:c r="N1472" s="16" t="str">
        <x:v>Urgent</x:v>
      </x:c>
    </x:row>
    <x:row r="1473" ht="41" customHeight="1">
      <x:c r="A1473" s="16" t="str">
        <x:v>RAW-01467</x:v>
      </x:c>
      <x:c r="B1473" s="16" t="str">
        <x:v>Observation</x:v>
      </x:c>
      <x:c r="C1473" s="16" t="str">
        <x:v>– Column 2. Paint deterioration on column. Typical defect to all shade structure columns. Corrosion delamination towards lower section.</x:v>
      </x:c>
      <x:c r="D1473" s="16" t="str">
        <x:v>Shade structure 2 columns</x:v>
      </x:c>
      <x:c r="E1473" s="16" t="str">
        <x:v>SRC-092</x:v>
      </x:c>
      <x:c r="F1473" s="16" t="str">
        <x:v>OBS-0194</x:v>
      </x:c>
      <x:c r="G1473" s="16" t="str">
        <x:v>正式报告</x:v>
      </x:c>
      <x:c r="H1473" s="19" t="n">
        <x:v>4</x:v>
      </x:c>
      <x:c r="I1473" s="19" t="n">
        <x:v>7</x:v>
      </x:c>
      <x:c r="J1473" s="19" t="n">
        <x:v>2</x:v>
      </x:c>
      <x:c r="K1473" s="16" t="str">
        <x:v>7. Very severe deterioration</x:v>
      </x:c>
      <x:c r="L1473" s="16" t="str">
        <x:v>Very likely</x:v>
      </x:c>
      <x:c r="M1473" s="16" t="str">
        <x:v>Significant</x:v>
      </x:c>
      <x:c r="N1473" s="16" t="str">
        <x:v>Urgent</x:v>
      </x:c>
    </x:row>
    <x:row r="1474" ht="37" customHeight="1">
      <x:c r="A1474" s="16" t="str">
        <x:v>RAW-01468</x:v>
      </x:c>
      <x:c r="B1474" s="16" t="str">
        <x:v>Observation</x:v>
      </x:c>
      <x:c r="C1474" s="16" t="str">
        <x:v>– Column 4 has hole in column towards the bottom.</x:v>
      </x:c>
      <x:c r="D1474" s="16" t="str">
        <x:v>Shade structure 2 columns</x:v>
      </x:c>
      <x:c r="E1474" s="16" t="str">
        <x:v>SRC-092</x:v>
      </x:c>
      <x:c r="F1474" s="16" t="str">
        <x:v>OBS-0202</x:v>
      </x:c>
      <x:c r="G1474" s="16" t="str">
        <x:v>正式报告</x:v>
      </x:c>
      <x:c r="H1474" s="19" t="n">
        <x:v>4</x:v>
      </x:c>
      <x:c r="I1474" s="19" t="n">
        <x:v>9</x:v>
      </x:c>
      <x:c r="J1474" s="19" t="n">
        <x:v>3</x:v>
      </x:c>
      <x:c r="K1474" s="16" t="str">
        <x:v>7. Very severe deterioration</x:v>
      </x:c>
      <x:c r="L1474" s="16" t="str">
        <x:v>Very likely</x:v>
      </x:c>
      <x:c r="M1474" s="16" t="str">
        <x:v>Significant</x:v>
      </x:c>
      <x:c r="N1474" s="16" t="str">
        <x:v>Urgent</x:v>
      </x:c>
    </x:row>
    <x:row r="1475" ht="37" customHeight="1">
      <x:c r="A1475" s="16" t="str">
        <x:v>RAW-01469</x:v>
      </x:c>
      <x:c r="B1475" s="16" t="str">
        <x:v>Recommendation</x:v>
      </x:c>
      <x:c r="C1475" s="16" t="str">
        <x:v>– Replace column.</x:v>
      </x:c>
      <x:c r="D1475" s="16" t="str">
        <x:v>Shade structure 2 columns</x:v>
      </x:c>
      <x:c r="E1475" s="16" t="str">
        <x:v>SRC-092</x:v>
      </x:c>
      <x:c r="F1475" s="16" t="str">
        <x:v>REC-0007</x:v>
      </x:c>
      <x:c r="G1475" s="16" t="str">
        <x:v>正式报告</x:v>
      </x:c>
      <x:c r="H1475" s="19" t="n">
        <x:v>4</x:v>
      </x:c>
      <x:c r="I1475" s="19" t="n">
        <x:v>9</x:v>
      </x:c>
      <x:c r="J1475" s="19" t="n">
        <x:v>3</x:v>
      </x:c>
      <x:c r="K1475" s="16" t="str">
        <x:v>7. Very severe deterioration</x:v>
      </x:c>
      <x:c r="L1475" s="16" t="str">
        <x:v>Very likely</x:v>
      </x:c>
      <x:c r="M1475" s="16" t="str">
        <x:v>Significant</x:v>
      </x:c>
      <x:c r="N1475" s="16" t="str">
        <x:v>Urgent</x:v>
      </x:c>
    </x:row>
    <x:row r="1476" ht="37" customHeight="1">
      <x:c r="A1476" s="16" t="str">
        <x:v>RAW-01470</x:v>
      </x:c>
      <x:c r="B1476" s="16" t="str">
        <x:v>Observation</x:v>
      </x:c>
      <x:c r="C1476" s="16" t="str">
        <x:v>– Post circled in red has completely separated due to corrosion. Images shown below.</x:v>
      </x:c>
      <x:c r="D1476" s="16" t="str">
        <x:v>Backstroke flag posts at one side</x:v>
      </x:c>
      <x:c r="E1476" s="16" t="str">
        <x:v>SRC-092</x:v>
      </x:c>
      <x:c r="F1476" s="16" t="str">
        <x:v>OBS-0469</x:v>
      </x:c>
      <x:c r="G1476" s="16" t="str">
        <x:v>正式报告</x:v>
      </x:c>
      <x:c r="H1476" s="19" t="n">
        <x:v>5</x:v>
      </x:c>
      <x:c r="I1476" s="19" t="n">
        <x:v>6</x:v>
      </x:c>
      <x:c r="J1476" s="19" t="n">
        <x:v>4</x:v>
      </x:c>
      <x:c r="K1476" s="16" t="str">
        <x:v>7. Very severe deterioration</x:v>
      </x:c>
      <x:c r="L1476" s="16" t="str">
        <x:v>Very likely</x:v>
      </x:c>
      <x:c r="M1476" s="16" t="str">
        <x:v>Moderate</x:v>
      </x:c>
      <x:c r="N1476" s="16" t="str">
        <x:v>Critical</x:v>
      </x:c>
    </x:row>
    <x:row r="1477" ht="37" customHeight="1">
      <x:c r="A1477" s="16" t="str">
        <x:v>RAW-01471</x:v>
      </x:c>
      <x:c r="B1477" s="16" t="str">
        <x:v>Recommendation</x:v>
      </x:c>
      <x:c r="C1477" s="16" t="str">
        <x:v>– Replace post.</x:v>
      </x:c>
      <x:c r="D1477" s="16" t="str">
        <x:v>Backstroke flag posts at one side</x:v>
      </x:c>
      <x:c r="E1477" s="16" t="str">
        <x:v>SRC-092</x:v>
      </x:c>
      <x:c r="F1477" s="16" t="str">
        <x:v>REC-0042</x:v>
      </x:c>
      <x:c r="G1477" s="16" t="str">
        <x:v>正式报告</x:v>
      </x:c>
      <x:c r="H1477" s="19" t="n">
        <x:v>5</x:v>
      </x:c>
      <x:c r="I1477" s="19" t="n">
        <x:v>6</x:v>
      </x:c>
      <x:c r="J1477" s="19" t="n">
        <x:v>4</x:v>
      </x:c>
      <x:c r="K1477" s="16" t="str">
        <x:v>7. Very severe deterioration</x:v>
      </x:c>
      <x:c r="L1477" s="16" t="str">
        <x:v>Very likely</x:v>
      </x:c>
      <x:c r="M1477" s="16" t="str">
        <x:v>Moderate</x:v>
      </x:c>
      <x:c r="N1477" s="16" t="str">
        <x:v>Critical</x:v>
      </x:c>
    </x:row>
    <x:row r="1478" ht="37" customHeight="1">
      <x:c r="A1478" s="16" t="str">
        <x:v>RAW-01472</x:v>
      </x:c>
      <x:c r="B1478" s="16" t="str">
        <x:v>Observation</x:v>
      </x:c>
      <x:c r="C1478" s="16" t="str">
        <x:v>– Right hand side fence facing the pool entrance.</x:v>
      </x:c>
      <x:c r="D1478" s="16" t="str">
        <x:v>Fence</x:v>
      </x:c>
      <x:c r="E1478" s="16" t="str">
        <x:v>SRC-092</x:v>
      </x:c>
      <x:c r="F1478" s="16" t="str">
        <x:v>OBS-0483</x:v>
      </x:c>
      <x:c r="G1478" s="16" t="str">
        <x:v>正式报告</x:v>
      </x:c>
      <x:c r="H1478" s="19" t="n">
        <x:v>6</x:v>
      </x:c>
      <x:c r="I1478" s="19" t="n">
        <x:v>6</x:v>
      </x:c>
      <x:c r="J1478" s="19" t="n">
        <x:v>1</x:v>
      </x:c>
      <x:c r="K1478" s="16" t="str">
        <x:v>N/A</x:v>
      </x:c>
      <x:c r="L1478" s="16" t="str">
        <x:v>Likely</x:v>
      </x:c>
      <x:c r="M1478" s="16" t="str">
        <x:v>Significant</x:v>
      </x:c>
      <x:c r="N1478" s="16" t="str">
        <x:v>Critical</x:v>
      </x:c>
    </x:row>
    <x:row r="1479" ht="37" customHeight="1">
      <x:c r="A1479" s="16" t="str">
        <x:v>RAW-01473</x:v>
      </x:c>
      <x:c r="B1479" s="16" t="str">
        <x:v>Observation</x:v>
      </x:c>
      <x:c r="C1479" s="16" t="str">
        <x:v>– Deterioration of chain link fence coating.</x:v>
      </x:c>
      <x:c r="D1479" s="16" t="str">
        <x:v>Fence</x:v>
      </x:c>
      <x:c r="E1479" s="16" t="str">
        <x:v>SRC-092</x:v>
      </x:c>
      <x:c r="F1479" s="16" t="str">
        <x:v>OBS-0248</x:v>
      </x:c>
      <x:c r="G1479" s="16" t="str">
        <x:v>正式报告</x:v>
      </x:c>
      <x:c r="H1479" s="19" t="n">
        <x:v>6</x:v>
      </x:c>
      <x:c r="I1479" s="19" t="n">
        <x:v>7</x:v>
      </x:c>
      <x:c r="J1479" s="19" t="n">
        <x:v>1</x:v>
      </x:c>
      <x:c r="K1479" s="16" t="str">
        <x:v>N/A</x:v>
      </x:c>
      <x:c r="L1479" s="16" t="str">
        <x:v>Likely</x:v>
      </x:c>
      <x:c r="M1479" s="16" t="str">
        <x:v>Significant</x:v>
      </x:c>
      <x:c r="N1479" s="16" t="str">
        <x:v>Critical</x:v>
      </x:c>
    </x:row>
    <x:row r="1480" ht="37" customHeight="1">
      <x:c r="A1480" s="16" t="str">
        <x:v>RAW-01474</x:v>
      </x:c>
      <x:c r="B1480" s="16" t="str">
        <x:v>Observation</x:v>
      </x:c>
      <x:c r="C1480" s="16" t="str">
        <x:v>– Connection between fencing frame and mesh has detached.</x:v>
      </x:c>
      <x:c r="D1480" s="16" t="str">
        <x:v>Fence</x:v>
      </x:c>
      <x:c r="E1480" s="16" t="str">
        <x:v>SRC-092</x:v>
      </x:c>
      <x:c r="F1480" s="16" t="str">
        <x:v>OBS-0218</x:v>
      </x:c>
      <x:c r="G1480" s="16" t="str">
        <x:v>正式报告</x:v>
      </x:c>
      <x:c r="H1480" s="19" t="n">
        <x:v>6</x:v>
      </x:c>
      <x:c r="I1480" s="19" t="n">
        <x:v>8</x:v>
      </x:c>
      <x:c r="J1480" s="19" t="n">
        <x:v>1</x:v>
      </x:c>
      <x:c r="K1480" s="16" t="str">
        <x:v>N/A</x:v>
      </x:c>
      <x:c r="L1480" s="16" t="str">
        <x:v>Likely</x:v>
      </x:c>
      <x:c r="M1480" s="16" t="str">
        <x:v>Significant</x:v>
      </x:c>
      <x:c r="N1480" s="16" t="str">
        <x:v>Critical</x:v>
      </x:c>
    </x:row>
    <x:row r="1481" ht="41" customHeight="1">
      <x:c r="A1481" s="16" t="str">
        <x:v>RAW-01475</x:v>
      </x:c>
      <x:c r="B1481" s="16" t="str">
        <x:v>Observation</x:v>
      </x:c>
      <x:c r="C1481" s="16" t="str">
        <x:v>– Large pit adjacent to fence. The fence allows sufficient clearance for individuals to slide underneath and access the pit, presenting a significant risk of injury in the event of a fall</x:v>
      </x:c>
      <x:c r="D1481" s="16" t="str">
        <x:v>Fence</x:v>
      </x:c>
      <x:c r="E1481" s="16" t="str">
        <x:v>SRC-092</x:v>
      </x:c>
      <x:c r="F1481" s="16" t="str">
        <x:v>OBS-0334</x:v>
      </x:c>
      <x:c r="G1481" s="16" t="str">
        <x:v>正式报告</x:v>
      </x:c>
      <x:c r="H1481" s="19" t="n">
        <x:v>6</x:v>
      </x:c>
      <x:c r="I1481" s="19" t="n">
        <x:v>9</x:v>
      </x:c>
      <x:c r="J1481" s="19" t="n">
        <x:v>1</x:v>
      </x:c>
      <x:c r="K1481" s="16" t="str">
        <x:v>N/A</x:v>
      </x:c>
      <x:c r="L1481" s="16" t="str">
        <x:v>Likely</x:v>
      </x:c>
      <x:c r="M1481" s="16" t="str">
        <x:v>Significant</x:v>
      </x:c>
      <x:c r="N1481" s="16" t="str">
        <x:v>Critical</x:v>
      </x:c>
    </x:row>
    <x:row r="1482" ht="37" customHeight="1">
      <x:c r="A1482" s="16" t="str">
        <x:v>RAW-01476</x:v>
      </x:c>
      <x:c r="B1482" s="16" t="str">
        <x:v>Recommendation</x:v>
      </x:c>
      <x:c r="C1482" s="16" t="str">
        <x:v>– Reattach fencing to frame.</x:v>
      </x:c>
      <x:c r="D1482" s="16" t="str">
        <x:v>Fence</x:v>
      </x:c>
      <x:c r="E1482" s="16" t="str">
        <x:v>SRC-092</x:v>
      </x:c>
      <x:c r="F1482" s="16" t="str">
        <x:v>REC-0117</x:v>
      </x:c>
      <x:c r="G1482" s="16" t="str">
        <x:v>正式报告</x:v>
      </x:c>
      <x:c r="H1482" s="19" t="n">
        <x:v>6</x:v>
      </x:c>
      <x:c r="I1482" s="19" t="n">
        <x:v>9</x:v>
      </x:c>
      <x:c r="J1482" s="19" t="n">
        <x:v>1</x:v>
      </x:c>
      <x:c r="K1482" s="16" t="str">
        <x:v>N/A</x:v>
      </x:c>
      <x:c r="L1482" s="16" t="str">
        <x:v>Likely</x:v>
      </x:c>
      <x:c r="M1482" s="16" t="str">
        <x:v>Significant</x:v>
      </x:c>
      <x:c r="N1482" s="16" t="str">
        <x:v>Critical</x:v>
      </x:c>
    </x:row>
    <x:row r="1483" ht="37" customHeight="1">
      <x:c r="A1483" s="16" t="str">
        <x:v>RAW-01477</x:v>
      </x:c>
      <x:c r="B1483" s="16" t="str">
        <x:v>Observation</x:v>
      </x:c>
      <x:c r="C1483" s="16" t="str">
        <x:v>– Shower column has hole through the lower section.</x:v>
      </x:c>
      <x:c r="D1483" s="16" t="str">
        <x:v>Shower post</x:v>
      </x:c>
      <x:c r="E1483" s="16" t="str">
        <x:v>SRC-092</x:v>
      </x:c>
      <x:c r="F1483" s="16" t="str">
        <x:v>OBS-0568</x:v>
      </x:c>
      <x:c r="G1483" s="16" t="str">
        <x:v>正式报告</x:v>
      </x:c>
      <x:c r="H1483" s="19" t="n">
        <x:v>7</x:v>
      </x:c>
      <x:c r="I1483" s="19" t="n">
        <x:v>6</x:v>
      </x:c>
      <x:c r="J1483" s="19" t="n">
        <x:v>2</x:v>
      </x:c>
      <x:c r="K1483" s="16" t="str">
        <x:v>7. Very severe deterioration</x:v>
      </x:c>
      <x:c r="L1483" s="16" t="str">
        <x:v>Very likely</x:v>
      </x:c>
      <x:c r="M1483" s="16" t="str">
        <x:v>Moderate</x:v>
      </x:c>
      <x:c r="N1483" s="16" t="str">
        <x:v>Critical</x:v>
      </x:c>
    </x:row>
    <x:row r="1484" ht="37" customHeight="1">
      <x:c r="A1484" s="16" t="str">
        <x:v>RAW-01478</x:v>
      </x:c>
      <x:c r="B1484" s="16" t="str">
        <x:v>Recommendation</x:v>
      </x:c>
      <x:c r="C1484" s="16" t="str">
        <x:v>– Replace post.</x:v>
      </x:c>
      <x:c r="D1484" s="16" t="str">
        <x:v>Shower post</x:v>
      </x:c>
      <x:c r="E1484" s="16" t="str">
        <x:v>SRC-092</x:v>
      </x:c>
      <x:c r="F1484" s="16" t="str">
        <x:v>REC-0042</x:v>
      </x:c>
      <x:c r="G1484" s="16" t="str">
        <x:v>正式报告</x:v>
      </x:c>
      <x:c r="H1484" s="19" t="n">
        <x:v>7</x:v>
      </x:c>
      <x:c r="I1484" s="19" t="n">
        <x:v>6</x:v>
      </x:c>
      <x:c r="J1484" s="19" t="n">
        <x:v>2</x:v>
      </x:c>
      <x:c r="K1484" s="16" t="str">
        <x:v>7. Very severe deterioration</x:v>
      </x:c>
      <x:c r="L1484" s="16" t="str">
        <x:v>Very likely</x:v>
      </x:c>
      <x:c r="M1484" s="16" t="str">
        <x:v>Moderate</x:v>
      </x:c>
      <x:c r="N1484" s="16" t="str">
        <x:v>Critical</x:v>
      </x:c>
    </x:row>
    <x:row r="1485" ht="41" customHeight="1">
      <x:c r="A1485" s="16" t="str">
        <x:v>RAW-01479</x:v>
      </x:c>
      <x:c r="B1485" s="16" t="str">
        <x:v>Observation</x:v>
      </x:c>
      <x:c r="C1485" s="16" t="str">
        <x:v>– Front verandah columns of fitness centre. Corrosion delamination and paint deterioration towards lower section.</x:v>
      </x:c>
      <x:c r="D1485" s="16" t="str">
        <x:v>Front verandah columns</x:v>
      </x:c>
      <x:c r="E1485" s="16" t="str">
        <x:v>SRC-092</x:v>
      </x:c>
      <x:c r="F1485" s="16" t="str">
        <x:v>OBS-0293</x:v>
      </x:c>
      <x:c r="G1485" s="16" t="str">
        <x:v>正式报告</x:v>
      </x:c>
      <x:c r="H1485" s="19" t="n">
        <x:v>8</x:v>
      </x:c>
      <x:c r="I1485" s="19" t="n">
        <x:v>6</x:v>
      </x:c>
      <x:c r="J1485" s="19" t="n">
        <x:v>1</x:v>
      </x:c>
      <x:c r="K1485" s="16" t="str">
        <x:v>5. Major deterioration</x:v>
      </x:c>
      <x:c r="L1485" s="16" t="str">
        <x:v>Likely</x:v>
      </x:c>
      <x:c r="M1485" s="16" t="str">
        <x:v>Significant</x:v>
      </x:c>
      <x:c r="N1485" s="16" t="str">
        <x:v>Critical</x:v>
      </x:c>
    </x:row>
    <x:row r="1486" ht="41" customHeight="1">
      <x:c r="A1486" s="16" t="str">
        <x:v>RAW-01480</x:v>
      </x:c>
      <x:c r="B1486" s="16" t="str">
        <x:v>Recommendation</x:v>
      </x:c>
      <x:c r="C1486" s="16" t="str">
        <x:v>– All columns to be excavated 300 mm below ground level to investigate corrosion. Clean, remove corrosion and repaint.</x:v>
      </x:c>
      <x:c r="D1486" s="16" t="str">
        <x:v>Front verandah columns</x:v>
      </x:c>
      <x:c r="E1486" s="16" t="str">
        <x:v>SRC-092</x:v>
      </x:c>
      <x:c r="F1486" s="16" t="str">
        <x:v>REC-0045</x:v>
      </x:c>
      <x:c r="G1486" s="16" t="str">
        <x:v>正式报告</x:v>
      </x:c>
      <x:c r="H1486" s="19" t="n">
        <x:v>8</x:v>
      </x:c>
      <x:c r="I1486" s="19" t="n">
        <x:v>6</x:v>
      </x:c>
      <x:c r="J1486" s="19" t="n">
        <x:v>1</x:v>
      </x:c>
      <x:c r="K1486" s="16" t="str">
        <x:v>5. Major deterioration</x:v>
      </x:c>
      <x:c r="L1486" s="16" t="str">
        <x:v>Likely</x:v>
      </x:c>
      <x:c r="M1486" s="16" t="str">
        <x:v>Significant</x:v>
      </x:c>
      <x:c r="N1486" s="16" t="str">
        <x:v>Critical</x:v>
      </x:c>
    </x:row>
    <x:row r="1487" ht="37" customHeight="1">
      <x:c r="A1487" s="16" t="str">
        <x:v>RAW-01481</x:v>
      </x:c>
      <x:c r="B1487" s="16" t="str">
        <x:v>Observation</x:v>
      </x:c>
      <x:c r="C1487" s="16" t="str">
        <x:v>– Column 2. Corrosion delamination towards the lower section of column.</x:v>
      </x:c>
      <x:c r="D1487" s="16" t="str">
        <x:v>Front verandah columns</x:v>
      </x:c>
      <x:c r="E1487" s="16" t="str">
        <x:v>SRC-092</x:v>
      </x:c>
      <x:c r="F1487" s="16" t="str">
        <x:v>OBS-0193</x:v>
      </x:c>
      <x:c r="G1487" s="16" t="str">
        <x:v>正式报告</x:v>
      </x:c>
      <x:c r="H1487" s="19" t="n">
        <x:v>8</x:v>
      </x:c>
      <x:c r="I1487" s="19" t="n">
        <x:v>7</x:v>
      </x:c>
      <x:c r="J1487" s="19" t="n">
        <x:v>1</x:v>
      </x:c>
      <x:c r="K1487" s="16" t="str">
        <x:v>5. Major deterioration</x:v>
      </x:c>
      <x:c r="L1487" s="16" t="str">
        <x:v>Likely</x:v>
      </x:c>
      <x:c r="M1487" s="16" t="str">
        <x:v>Significant</x:v>
      </x:c>
      <x:c r="N1487" s="16" t="str">
        <x:v>Critical</x:v>
      </x:c>
    </x:row>
    <x:row r="1488" ht="37" customHeight="1">
      <x:c r="A1488" s="16" t="str">
        <x:v>RAW-01482</x:v>
      </x:c>
      <x:c r="B1488" s="16" t="str">
        <x:v>Observation</x:v>
      </x:c>
      <x:c r="C1488" s="16" t="str">
        <x:v>– Column 1. Paint deterioration.</x:v>
      </x:c>
      <x:c r="D1488" s="16" t="str">
        <x:v>Front verandah columns</x:v>
      </x:c>
      <x:c r="E1488" s="16" t="str">
        <x:v>SRC-092</x:v>
      </x:c>
      <x:c r="F1488" s="16" t="str">
        <x:v>OBS-0191</x:v>
      </x:c>
      <x:c r="G1488" s="16" t="str">
        <x:v>正式报告</x:v>
      </x:c>
      <x:c r="H1488" s="19" t="n">
        <x:v>8</x:v>
      </x:c>
      <x:c r="I1488" s="19" t="n">
        <x:v>8</x:v>
      </x:c>
      <x:c r="J1488" s="19" t="n">
        <x:v>1</x:v>
      </x:c>
      <x:c r="K1488" s="16" t="str">
        <x:v>5. Major deterioration</x:v>
      </x:c>
      <x:c r="L1488" s="16" t="str">
        <x:v>Likely</x:v>
      </x:c>
      <x:c r="M1488" s="16" t="str">
        <x:v>Significant</x:v>
      </x:c>
      <x:c r="N1488" s="16" t="str">
        <x:v>Critical</x:v>
      </x:c>
    </x:row>
    <x:row r="1489" ht="37" customHeight="1">
      <x:c r="A1489" s="16" t="str">
        <x:v>RAW-01483</x:v>
      </x:c>
      <x:c r="B1489" s="16" t="str">
        <x:v>Observation</x:v>
      </x:c>
      <x:c r="C1489" s="16" t="str">
        <x:v>–Column 3. Corrosion delamination towards the lower section of column.</x:v>
      </x:c>
      <x:c r="D1489" s="16" t="str">
        <x:v>Front verandah columns</x:v>
      </x:c>
      <x:c r="E1489" s="16" t="str">
        <x:v>SRC-092</x:v>
      </x:c>
      <x:c r="F1489" s="16" t="str">
        <x:v>OBS-0198</x:v>
      </x:c>
      <x:c r="G1489" s="16" t="str">
        <x:v>正式报告</x:v>
      </x:c>
      <x:c r="H1489" s="19" t="n">
        <x:v>8</x:v>
      </x:c>
      <x:c r="I1489" s="19" t="n">
        <x:v>9</x:v>
      </x:c>
      <x:c r="J1489" s="19" t="n">
        <x:v>1</x:v>
      </x:c>
      <x:c r="K1489" s="16" t="str">
        <x:v>5. Major deterioration</x:v>
      </x:c>
      <x:c r="L1489" s="16" t="str">
        <x:v>Likely</x:v>
      </x:c>
      <x:c r="M1489" s="16" t="str">
        <x:v>Significant</x:v>
      </x:c>
      <x:c r="N1489" s="16" t="str">
        <x:v>Critical</x:v>
      </x:c>
    </x:row>
    <x:row r="1490" ht="37" customHeight="1">
      <x:c r="A1490" s="16" t="str">
        <x:v>RAW-01484</x:v>
      </x:c>
      <x:c r="B1490" s="16" t="str">
        <x:v>Observation</x:v>
      </x:c>
      <x:c r="C1490" s="16" t="str">
        <x:v>– Shade structure column.</x:v>
      </x:c>
      <x:c r="D1490" s="16" t="str">
        <x:v>Shade structure 3 column</x:v>
      </x:c>
      <x:c r="E1490" s="16" t="str">
        <x:v>SRC-092</x:v>
      </x:c>
      <x:c r="F1490" s="16" t="str">
        <x:v>OBS-0562</x:v>
      </x:c>
      <x:c r="G1490" s="16" t="str">
        <x:v>正式报告</x:v>
      </x:c>
      <x:c r="H1490" s="19" t="n">
        <x:v>9</x:v>
      </x:c>
      <x:c r="I1490" s="19" t="n">
        <x:v>6</x:v>
      </x:c>
      <x:c r="J1490" s="19" t="n">
        <x:v>1</x:v>
      </x:c>
      <x:c r="K1490" s="16" t="str">
        <x:v>5. Major deterioration</x:v>
      </x:c>
      <x:c r="L1490" s="16" t="str">
        <x:v>Likely</x:v>
      </x:c>
      <x:c r="M1490" s="16" t="str">
        <x:v>Significant</x:v>
      </x:c>
      <x:c r="N1490" s="16" t="str">
        <x:v>Critical</x:v>
      </x:c>
    </x:row>
    <x:row r="1491" ht="37" customHeight="1">
      <x:c r="A1491" s="16" t="str">
        <x:v>RAW-01485</x:v>
      </x:c>
      <x:c r="B1491" s="16" t="str">
        <x:v>Observation</x:v>
      </x:c>
      <x:c r="C1491" s="16" t="str">
        <x:v>– Hole in column.</x:v>
      </x:c>
      <x:c r="D1491" s="16" t="str">
        <x:v>Shade structure 3 column</x:v>
      </x:c>
      <x:c r="E1491" s="16" t="str">
        <x:v>SRC-092</x:v>
      </x:c>
      <x:c r="F1491" s="16" t="str">
        <x:v>OBS-0325</x:v>
      </x:c>
      <x:c r="G1491" s="16" t="str">
        <x:v>正式报告</x:v>
      </x:c>
      <x:c r="H1491" s="19" t="n">
        <x:v>9</x:v>
      </x:c>
      <x:c r="I1491" s="19" t="n">
        <x:v>7</x:v>
      </x:c>
      <x:c r="J1491" s="19" t="n">
        <x:v>1</x:v>
      </x:c>
      <x:c r="K1491" s="16" t="str">
        <x:v>5. Major deterioration</x:v>
      </x:c>
      <x:c r="L1491" s="16" t="str">
        <x:v>Likely</x:v>
      </x:c>
      <x:c r="M1491" s="16" t="str">
        <x:v>Significant</x:v>
      </x:c>
      <x:c r="N1491" s="16" t="str">
        <x:v>Critical</x:v>
      </x:c>
    </x:row>
    <x:row r="1492" ht="37" customHeight="1">
      <x:c r="A1492" s="16" t="str">
        <x:v>RAW-01486</x:v>
      </x:c>
      <x:c r="B1492" s="16" t="str">
        <x:v>Recommendation</x:v>
      </x:c>
      <x:c r="C1492" s="16" t="str">
        <x:v>– Remove the rust. Cover hole to prevent water ingress.</x:v>
      </x:c>
      <x:c r="D1492" s="16" t="str">
        <x:v>Shade structure 3 column</x:v>
      </x:c>
      <x:c r="E1492" s="16" t="str">
        <x:v>SRC-092</x:v>
      </x:c>
      <x:c r="F1492" s="16" t="str">
        <x:v>REC-0135</x:v>
      </x:c>
      <x:c r="G1492" s="16" t="str">
        <x:v>正式报告</x:v>
      </x:c>
      <x:c r="H1492" s="19" t="n">
        <x:v>9</x:v>
      </x:c>
      <x:c r="I1492" s="19" t="n">
        <x:v>7</x:v>
      </x:c>
      <x:c r="J1492" s="19" t="n">
        <x:v>1</x:v>
      </x:c>
      <x:c r="K1492" s="16" t="str">
        <x:v>5. Major deterioration</x:v>
      </x:c>
      <x:c r="L1492" s="16" t="str">
        <x:v>Likely</x:v>
      </x:c>
      <x:c r="M1492" s="16" t="str">
        <x:v>Significant</x:v>
      </x:c>
      <x:c r="N1492" s="16" t="str">
        <x:v>Critical</x:v>
      </x:c>
    </x:row>
    <x:row r="1493" ht="37" customHeight="1">
      <x:c r="A1493" s="16" t="str">
        <x:v>RAW-01487</x:v>
      </x:c>
      <x:c r="B1493" s="16" t="str">
        <x:v>Observation</x:v>
      </x:c>
      <x:c r="C1493" s="16" t="str">
        <x:v>– Blistering corrosion towards lower section of the column.</x:v>
      </x:c>
      <x:c r="D1493" s="16" t="str">
        <x:v>Shade structure 3 column</x:v>
      </x:c>
      <x:c r="E1493" s="16" t="str">
        <x:v>SRC-092</x:v>
      </x:c>
      <x:c r="F1493" s="16" t="str">
        <x:v>OBS-0144</x:v>
      </x:c>
      <x:c r="G1493" s="16" t="str">
        <x:v>正式报告</x:v>
      </x:c>
      <x:c r="H1493" s="19" t="n">
        <x:v>9</x:v>
      </x:c>
      <x:c r="I1493" s="19" t="n">
        <x:v>8</x:v>
      </x:c>
      <x:c r="J1493" s="19" t="n">
        <x:v>2</x:v>
      </x:c>
      <x:c r="K1493" s="16" t="str">
        <x:v>5. Major deterioration</x:v>
      </x:c>
      <x:c r="L1493" s="16" t="str">
        <x:v>Likely</x:v>
      </x:c>
      <x:c r="M1493" s="16" t="str">
        <x:v>Significant</x:v>
      </x:c>
      <x:c r="N1493" s="16" t="str">
        <x:v>Critical</x:v>
      </x:c>
    </x:row>
    <x:row r="1494" ht="37" customHeight="1">
      <x:c r="A1494" s="16" t="str">
        <x:v>RAW-01488</x:v>
      </x:c>
      <x:c r="B1494" s="16" t="str">
        <x:v>Recommendation</x:v>
      </x:c>
      <x:c r="C1494" s="16" t="str">
        <x:v>– Clean, remove corrosion and repaint.</x:v>
      </x:c>
      <x:c r="D1494" s="16" t="str">
        <x:v>Shade structure 3 column</x:v>
      </x:c>
      <x:c r="E1494" s="16" t="str">
        <x:v>SRC-092</x:v>
      </x:c>
      <x:c r="F1494" s="16" t="str">
        <x:v>REC-0002</x:v>
      </x:c>
      <x:c r="G1494" s="16" t="str">
        <x:v>正式报告</x:v>
      </x:c>
      <x:c r="H1494" s="19" t="n">
        <x:v>9</x:v>
      </x:c>
      <x:c r="I1494" s="19" t="n">
        <x:v>8</x:v>
      </x:c>
      <x:c r="J1494" s="19" t="n">
        <x:v>2</x:v>
      </x:c>
      <x:c r="K1494" s="16" t="str">
        <x:v>5. Major deterioration</x:v>
      </x:c>
      <x:c r="L1494" s="16" t="str">
        <x:v>Likely</x:v>
      </x:c>
      <x:c r="M1494" s="16" t="str">
        <x:v>Significant</x:v>
      </x:c>
      <x:c r="N1494" s="16" t="str">
        <x:v>Critical</x:v>
      </x:c>
    </x:row>
    <x:row r="1495" ht="37" customHeight="1">
      <x:c r="A1495" s="16" t="str">
        <x:v>RAW-01489</x:v>
      </x:c>
      <x:c r="B1495" s="16" t="str">
        <x:v>Observation</x:v>
      </x:c>
      <x:c r="C1495" s="16" t="str">
        <x:v>– Corrosion of steel bracing.</x:v>
      </x:c>
      <x:c r="D1495" s="16" t="str">
        <x:v>Bracing of back verandah</x:v>
      </x:c>
      <x:c r="E1495" s="16" t="str">
        <x:v>SRC-092</x:v>
      </x:c>
      <x:c r="F1495" s="16" t="str">
        <x:v>OBS-0022</x:v>
      </x:c>
      <x:c r="G1495" s="16" t="str">
        <x:v>正式报告</x:v>
      </x:c>
      <x:c r="H1495" s="19" t="n">
        <x:v>10</x:v>
      </x:c>
      <x:c r="I1495" s="19" t="n">
        <x:v>6</x:v>
      </x:c>
      <x:c r="J1495" s="19" t="n">
        <x:v>1</x:v>
      </x:c>
      <x:c r="K1495" s="16" t="str">
        <x:v>5. Major deterioration</x:v>
      </x:c>
      <x:c r="L1495" s="16" t="str">
        <x:v>Likely</x:v>
      </x:c>
      <x:c r="M1495" s="16" t="str">
        <x:v>Significant</x:v>
      </x:c>
      <x:c r="N1495" s="16" t="str">
        <x:v>Critical</x:v>
      </x:c>
    </x:row>
    <x:row r="1496" ht="37" customHeight="1">
      <x:c r="A1496" s="16" t="str">
        <x:v>RAW-01490</x:v>
      </x:c>
      <x:c r="B1496" s="16" t="str">
        <x:v>Recommendation</x:v>
      </x:c>
      <x:c r="C1496" s="16" t="str">
        <x:v>– Replace bracing.</x:v>
      </x:c>
      <x:c r="D1496" s="16" t="str">
        <x:v>Bracing of back verandah</x:v>
      </x:c>
      <x:c r="E1496" s="16" t="str">
        <x:v>SRC-092</x:v>
      </x:c>
      <x:c r="F1496" s="16" t="str">
        <x:v>REC-0143</x:v>
      </x:c>
      <x:c r="G1496" s="16" t="str">
        <x:v>正式报告</x:v>
      </x:c>
      <x:c r="H1496" s="19" t="n">
        <x:v>10</x:v>
      </x:c>
      <x:c r="I1496" s="19" t="n">
        <x:v>6</x:v>
      </x:c>
      <x:c r="J1496" s="19" t="n">
        <x:v>1</x:v>
      </x:c>
      <x:c r="K1496" s="16" t="str">
        <x:v>5. Major deterioration</x:v>
      </x:c>
      <x:c r="L1496" s="16" t="str">
        <x:v>Likely</x:v>
      </x:c>
      <x:c r="M1496" s="16" t="str">
        <x:v>Significant</x:v>
      </x:c>
      <x:c r="N1496" s="16" t="str">
        <x:v>Critical</x:v>
      </x:c>
    </x:row>
    <x:row r="1497" ht="37" customHeight="1">
      <x:c r="A1497" s="16" t="str">
        <x:v>RAW-01491</x:v>
      </x:c>
      <x:c r="B1497" s="16" t="str">
        <x:v>Observation</x:v>
      </x:c>
      <x:c r="C1497" s="16" t="str">
        <x:v>– Corrosion of steel bracing.</x:v>
      </x:c>
      <x:c r="D1497" s="16" t="str">
        <x:v>Bracing of back verandah</x:v>
      </x:c>
      <x:c r="E1497" s="16" t="str">
        <x:v>SRC-092</x:v>
      </x:c>
      <x:c r="F1497" s="16" t="str">
        <x:v>OBS-0022</x:v>
      </x:c>
      <x:c r="G1497" s="16" t="str">
        <x:v>正式报告</x:v>
      </x:c>
      <x:c r="H1497" s="19" t="n">
        <x:v>10</x:v>
      </x:c>
      <x:c r="I1497" s="19" t="n">
        <x:v>7</x:v>
      </x:c>
      <x:c r="J1497" s="19" t="n">
        <x:v>1</x:v>
      </x:c>
      <x:c r="K1497" s="16" t="str">
        <x:v>5. Major deterioration</x:v>
      </x:c>
      <x:c r="L1497" s="16" t="str">
        <x:v>Likely</x:v>
      </x:c>
      <x:c r="M1497" s="16" t="str">
        <x:v>Significant</x:v>
      </x:c>
      <x:c r="N1497" s="16" t="str">
        <x:v>Critical</x:v>
      </x:c>
    </x:row>
    <x:row r="1498" ht="37" customHeight="1">
      <x:c r="A1498" s="16" t="str">
        <x:v>RAW-01492</x:v>
      </x:c>
      <x:c r="B1498" s="16" t="str">
        <x:v>Observation</x:v>
      </x:c>
      <x:c r="C1498" s="16" t="str">
        <x:v>– Corrosion of steel bracing.</x:v>
      </x:c>
      <x:c r="D1498" s="16" t="str">
        <x:v>Bracing of back verandah</x:v>
      </x:c>
      <x:c r="E1498" s="16" t="str">
        <x:v>SRC-092</x:v>
      </x:c>
      <x:c r="F1498" s="16" t="str">
        <x:v>OBS-0022</x:v>
      </x:c>
      <x:c r="G1498" s="16" t="str">
        <x:v>正式报告</x:v>
      </x:c>
      <x:c r="H1498" s="19" t="n">
        <x:v>10</x:v>
      </x:c>
      <x:c r="I1498" s="19" t="n">
        <x:v>8</x:v>
      </x:c>
      <x:c r="J1498" s="19" t="n">
        <x:v>1</x:v>
      </x:c>
      <x:c r="K1498" s="16" t="str">
        <x:v>5. Major deterioration</x:v>
      </x:c>
      <x:c r="L1498" s="16" t="str">
        <x:v>Likely</x:v>
      </x:c>
      <x:c r="M1498" s="16" t="str">
        <x:v>Significant</x:v>
      </x:c>
      <x:c r="N1498" s="16" t="str">
        <x:v>Critical</x:v>
      </x:c>
    </x:row>
    <x:row r="1499" ht="37" customHeight="1">
      <x:c r="A1499" s="16" t="str">
        <x:v>RAW-01493</x:v>
      </x:c>
      <x:c r="B1499" s="16" t="str">
        <x:v>Observation</x:v>
      </x:c>
      <x:c r="C1499" s="16" t="str">
        <x:v>– Table 1. Images below. Typical severe corrosion to all tables and baseplates.</x:v>
      </x:c>
      <x:c r="D1499" s="16" t="str">
        <x:v>Table and seating</x:v>
      </x:c>
      <x:c r="E1499" s="16" t="str">
        <x:v>SRC-092</x:v>
      </x:c>
      <x:c r="F1499" s="16" t="str">
        <x:v>OBS-0590</x:v>
      </x:c>
      <x:c r="G1499" s="16" t="str">
        <x:v>正式报告</x:v>
      </x:c>
      <x:c r="H1499" s="19" t="n">
        <x:v>11</x:v>
      </x:c>
      <x:c r="I1499" s="19" t="n">
        <x:v>6</x:v>
      </x:c>
      <x:c r="J1499" s="19" t="n">
        <x:v>3</x:v>
      </x:c>
      <x:c r="K1499" s="16" t="str">
        <x:v>5. Major deterioration</x:v>
      </x:c>
      <x:c r="L1499" s="16" t="str">
        <x:v>Likely</x:v>
      </x:c>
      <x:c r="M1499" s="16" t="str">
        <x:v>Moderate</x:v>
      </x:c>
      <x:c r="N1499" s="16" t="str">
        <x:v>High</x:v>
      </x:c>
    </x:row>
    <x:row r="1500" ht="37" customHeight="1">
      <x:c r="A1500" s="16" t="str">
        <x:v>RAW-01494</x:v>
      </x:c>
      <x:c r="B1500" s="16" t="str">
        <x:v>Recommendation</x:v>
      </x:c>
      <x:c r="C1500" s="16" t="str">
        <x:v>– Clean, remove corrosion and repaint.</x:v>
      </x:c>
      <x:c r="D1500" s="16" t="str">
        <x:v>Table and seating</x:v>
      </x:c>
      <x:c r="E1500" s="16" t="str">
        <x:v>SRC-092</x:v>
      </x:c>
      <x:c r="F1500" s="16" t="str">
        <x:v>REC-0002</x:v>
      </x:c>
      <x:c r="G1500" s="16" t="str">
        <x:v>正式报告</x:v>
      </x:c>
      <x:c r="H1500" s="19" t="n">
        <x:v>11</x:v>
      </x:c>
      <x:c r="I1500" s="19" t="n">
        <x:v>6</x:v>
      </x:c>
      <x:c r="J1500" s="19" t="n">
        <x:v>3</x:v>
      </x:c>
      <x:c r="K1500" s="16" t="str">
        <x:v>5. Major deterioration</x:v>
      </x:c>
      <x:c r="L1500" s="16" t="str">
        <x:v>Likely</x:v>
      </x:c>
      <x:c r="M1500" s="16" t="str">
        <x:v>Moderate</x:v>
      </x:c>
      <x:c r="N1500" s="16" t="str">
        <x:v>High</x:v>
      </x:c>
    </x:row>
    <x:row r="1501" ht="37" customHeight="1">
      <x:c r="A1501" s="16" t="str">
        <x:v>RAW-01495</x:v>
      </x:c>
      <x:c r="B1501" s="16" t="str">
        <x:v>Observation</x:v>
      </x:c>
      <x:c r="C1501" s="16" t="str">
        <x:v>– Table 2. Images below. Typical severe corrosion to all tables and baseplates.</x:v>
      </x:c>
      <x:c r="D1501" s="16" t="str">
        <x:v>Table and seating</x:v>
      </x:c>
      <x:c r="E1501" s="16" t="str">
        <x:v>SRC-092</x:v>
      </x:c>
      <x:c r="F1501" s="16" t="str">
        <x:v>OBS-0591</x:v>
      </x:c>
      <x:c r="G1501" s="16" t="str">
        <x:v>正式报告</x:v>
      </x:c>
      <x:c r="H1501" s="19" t="n">
        <x:v>11</x:v>
      </x:c>
      <x:c r="I1501" s="19" t="n">
        <x:v>9</x:v>
      </x:c>
      <x:c r="J1501" s="19" t="n">
        <x:v>3</x:v>
      </x:c>
      <x:c r="K1501" s="16" t="str">
        <x:v>5. Major deterioration</x:v>
      </x:c>
      <x:c r="L1501" s="16" t="str">
        <x:v>Likely</x:v>
      </x:c>
      <x:c r="M1501" s="16" t="str">
        <x:v>Moderate</x:v>
      </x:c>
      <x:c r="N1501" s="16" t="str">
        <x:v>High</x:v>
      </x:c>
    </x:row>
    <x:row r="1502" ht="37" customHeight="1">
      <x:c r="A1502" s="16" t="str">
        <x:v>RAW-01496</x:v>
      </x:c>
      <x:c r="B1502" s="16" t="str">
        <x:v>Recommendation</x:v>
      </x:c>
      <x:c r="C1502" s="16" t="str">
        <x:v>– Clean, remove corrosion and repaint.</x:v>
      </x:c>
      <x:c r="D1502" s="16" t="str">
        <x:v>Table and seating</x:v>
      </x:c>
      <x:c r="E1502" s="16" t="str">
        <x:v>SRC-092</x:v>
      </x:c>
      <x:c r="F1502" s="16" t="str">
        <x:v>REC-0002</x:v>
      </x:c>
      <x:c r="G1502" s="16" t="str">
        <x:v>正式报告</x:v>
      </x:c>
      <x:c r="H1502" s="19" t="n">
        <x:v>11</x:v>
      </x:c>
      <x:c r="I1502" s="19" t="n">
        <x:v>9</x:v>
      </x:c>
      <x:c r="J1502" s="19" t="n">
        <x:v>3</x:v>
      </x:c>
      <x:c r="K1502" s="16" t="str">
        <x:v>5. Major deterioration</x:v>
      </x:c>
      <x:c r="L1502" s="16" t="str">
        <x:v>Likely</x:v>
      </x:c>
      <x:c r="M1502" s="16" t="str">
        <x:v>Moderate</x:v>
      </x:c>
      <x:c r="N1502" s="16" t="str">
        <x:v>High</x:v>
      </x:c>
    </x:row>
    <x:row r="1503" ht="41" customHeight="1">
      <x:c r="A1503" s="16" t="str">
        <x:v>RAW-01497</x:v>
      </x:c>
      <x:c r="B1503" s="16" t="str">
        <x:v>Observation</x:v>
      </x:c>
      <x:c r="C1503" s="16" t="str">
        <x:v>– Post circled in red has corrosion delamination towards the lower section.</x:v>
      </x:c>
      <x:c r="D1503" s="16" t="str">
        <x:v>Backstroke flag posts on the other side</x:v>
      </x:c>
      <x:c r="E1503" s="16" t="str">
        <x:v>SRC-092</x:v>
      </x:c>
      <x:c r="F1503" s="16" t="str">
        <x:v>OBS-0470</x:v>
      </x:c>
      <x:c r="G1503" s="16" t="str">
        <x:v>正式报告</x:v>
      </x:c>
      <x:c r="H1503" s="19" t="n">
        <x:v>12</x:v>
      </x:c>
      <x:c r="I1503" s="19" t="n">
        <x:v>6</x:v>
      </x:c>
      <x:c r="J1503" s="19" t="n">
        <x:v>1</x:v>
      </x:c>
      <x:c r="K1503" s="16" t="str">
        <x:v>5. Major deterioration</x:v>
      </x:c>
      <x:c r="L1503" s="16" t="str">
        <x:v>Likely</x:v>
      </x:c>
      <x:c r="M1503" s="16" t="str">
        <x:v>Moderate</x:v>
      </x:c>
      <x:c r="N1503" s="16" t="str">
        <x:v>High</x:v>
      </x:c>
    </x:row>
    <x:row r="1504" ht="41" customHeight="1">
      <x:c r="A1504" s="16" t="str">
        <x:v>RAW-01498</x:v>
      </x:c>
      <x:c r="B1504" s="16" t="str">
        <x:v>Recommendation</x:v>
      </x:c>
      <x:c r="C1504" s="16" t="str">
        <x:v>– Clean, remove corrosion and repaint.</x:v>
      </x:c>
      <x:c r="D1504" s="16" t="str">
        <x:v>Backstroke flag posts on the other side</x:v>
      </x:c>
      <x:c r="E1504" s="16" t="str">
        <x:v>SRC-092</x:v>
      </x:c>
      <x:c r="F1504" s="16" t="str">
        <x:v>REC-0002</x:v>
      </x:c>
      <x:c r="G1504" s="16" t="str">
        <x:v>正式报告</x:v>
      </x:c>
      <x:c r="H1504" s="19" t="n">
        <x:v>12</x:v>
      </x:c>
      <x:c r="I1504" s="19" t="n">
        <x:v>6</x:v>
      </x:c>
      <x:c r="J1504" s="19" t="n">
        <x:v>1</x:v>
      </x:c>
      <x:c r="K1504" s="16" t="str">
        <x:v>5. Major deterioration</x:v>
      </x:c>
      <x:c r="L1504" s="16" t="str">
        <x:v>Likely</x:v>
      </x:c>
      <x:c r="M1504" s="16" t="str">
        <x:v>Moderate</x:v>
      </x:c>
      <x:c r="N1504" s="16" t="str">
        <x:v>High</x:v>
      </x:c>
    </x:row>
    <x:row r="1505" ht="41" customHeight="1">
      <x:c r="A1505" s="16" t="str">
        <x:v>RAW-01499</x:v>
      </x:c>
      <x:c r="B1505" s="16" t="str">
        <x:v>Observation</x:v>
      </x:c>
      <x:c r="C1505" s="16" t="str">
        <x:v>– Corrosion delamination towards the lower.</x:v>
      </x:c>
      <x:c r="D1505" s="16" t="str">
        <x:v>Backstroke flag posts on the other side</x:v>
      </x:c>
      <x:c r="E1505" s="16" t="str">
        <x:v>SRC-092</x:v>
      </x:c>
      <x:c r="F1505" s="16" t="str">
        <x:v>OBS-0045</x:v>
      </x:c>
      <x:c r="G1505" s="16" t="str">
        <x:v>正式报告</x:v>
      </x:c>
      <x:c r="H1505" s="19" t="n">
        <x:v>12</x:v>
      </x:c>
      <x:c r="I1505" s="19" t="n">
        <x:v>7</x:v>
      </x:c>
      <x:c r="J1505" s="19" t="n">
        <x:v>1</x:v>
      </x:c>
      <x:c r="K1505" s="16" t="str">
        <x:v>5. Major deterioration</x:v>
      </x:c>
      <x:c r="L1505" s="16" t="str">
        <x:v>Likely</x:v>
      </x:c>
      <x:c r="M1505" s="16" t="str">
        <x:v>Moderate</x:v>
      </x:c>
      <x:c r="N1505" s="16" t="str">
        <x:v>High</x:v>
      </x:c>
    </x:row>
    <x:row r="1506" ht="41" customHeight="1">
      <x:c r="A1506" s="16" t="str">
        <x:v>RAW-01500</x:v>
      </x:c>
      <x:c r="B1506" s="16" t="str">
        <x:v>Observation</x:v>
      </x:c>
      <x:c r="C1506" s="16" t="str">
        <x:v>– Corrosion delamination towards the lower.</x:v>
      </x:c>
      <x:c r="D1506" s="16" t="str">
        <x:v>Backstroke flag posts on the other side</x:v>
      </x:c>
      <x:c r="E1506" s="16" t="str">
        <x:v>SRC-092</x:v>
      </x:c>
      <x:c r="F1506" s="16" t="str">
        <x:v>OBS-0045</x:v>
      </x:c>
      <x:c r="G1506" s="16" t="str">
        <x:v>正式报告</x:v>
      </x:c>
      <x:c r="H1506" s="19" t="n">
        <x:v>12</x:v>
      </x:c>
      <x:c r="I1506" s="19" t="n">
        <x:v>8</x:v>
      </x:c>
      <x:c r="J1506" s="19" t="n">
        <x:v>1</x:v>
      </x:c>
      <x:c r="K1506" s="16" t="str">
        <x:v>5. Major deterioration</x:v>
      </x:c>
      <x:c r="L1506" s="16" t="str">
        <x:v>Likely</x:v>
      </x:c>
      <x:c r="M1506" s="16" t="str">
        <x:v>Moderate</x:v>
      </x:c>
      <x:c r="N1506" s="16" t="str">
        <x:v>High</x:v>
      </x:c>
    </x:row>
    <x:row r="1507" ht="37" customHeight="1">
      <x:c r="A1507" s="16" t="str">
        <x:v>RAW-01501</x:v>
      </x:c>
      <x:c r="B1507" s="16" t="str">
        <x:v>Observation</x:v>
      </x:c>
      <x:c r="C1507" s="16" t="str">
        <x:v>– Corrosion delamination towards the lower section.</x:v>
      </x:c>
      <x:c r="D1507" s="16" t="str">
        <x:v>Light post</x:v>
      </x:c>
      <x:c r="E1507" s="16" t="str">
        <x:v>SRC-092</x:v>
      </x:c>
      <x:c r="F1507" s="16" t="str">
        <x:v>OBS-0227</x:v>
      </x:c>
      <x:c r="G1507" s="16" t="str">
        <x:v>正式报告</x:v>
      </x:c>
      <x:c r="H1507" s="19" t="n">
        <x:v>13</x:v>
      </x:c>
      <x:c r="I1507" s="19" t="n">
        <x:v>6</x:v>
      </x:c>
      <x:c r="J1507" s="19" t="n">
        <x:v>2</x:v>
      </x:c>
      <x:c r="K1507" s="16" t="str">
        <x:v>5. Major deterioration</x:v>
      </x:c>
      <x:c r="L1507" s="16" t="str">
        <x:v>Likely</x:v>
      </x:c>
      <x:c r="M1507" s="16" t="str">
        <x:v>Significant</x:v>
      </x:c>
      <x:c r="N1507" s="16" t="str">
        <x:v>Critical</x:v>
      </x:c>
    </x:row>
    <x:row r="1508" ht="37" customHeight="1">
      <x:c r="A1508" s="16" t="str">
        <x:v>RAW-01502</x:v>
      </x:c>
      <x:c r="B1508" s="16" t="str">
        <x:v>Recommendation</x:v>
      </x:c>
      <x:c r="C1508" s="16" t="str">
        <x:v>– Clean, remove corrosion and repaint.</x:v>
      </x:c>
      <x:c r="D1508" s="16" t="str">
        <x:v>Light post</x:v>
      </x:c>
      <x:c r="E1508" s="16" t="str">
        <x:v>SRC-092</x:v>
      </x:c>
      <x:c r="F1508" s="16" t="str">
        <x:v>REC-0002</x:v>
      </x:c>
      <x:c r="G1508" s="16" t="str">
        <x:v>正式报告</x:v>
      </x:c>
      <x:c r="H1508" s="19" t="n">
        <x:v>13</x:v>
      </x:c>
      <x:c r="I1508" s="19" t="n">
        <x:v>6</x:v>
      </x:c>
      <x:c r="J1508" s="19" t="n">
        <x:v>2</x:v>
      </x:c>
      <x:c r="K1508" s="16" t="str">
        <x:v>5. Major deterioration</x:v>
      </x:c>
      <x:c r="L1508" s="16" t="str">
        <x:v>Likely</x:v>
      </x:c>
      <x:c r="M1508" s="16" t="str">
        <x:v>Significant</x:v>
      </x:c>
      <x:c r="N1508" s="16" t="str">
        <x:v>Critical</x:v>
      </x:c>
    </x:row>
    <x:row r="1509" ht="37" customHeight="1">
      <x:c r="A1509" s="16" t="str">
        <x:v>RAW-01503</x:v>
      </x:c>
      <x:c r="B1509" s="16" t="str">
        <x:v>Observation</x:v>
      </x:c>
      <x:c r="C1509" s="16" t="str">
        <x:v>– Moderate corrosion on column.</x:v>
      </x:c>
      <x:c r="D1509" s="16" t="str">
        <x:v>Light post</x:v>
      </x:c>
      <x:c r="E1509" s="16" t="str">
        <x:v>SRC-092</x:v>
      </x:c>
      <x:c r="F1509" s="16" t="str">
        <x:v>OBS-0414</x:v>
      </x:c>
      <x:c r="G1509" s="16" t="str">
        <x:v>正式报告</x:v>
      </x:c>
      <x:c r="H1509" s="19" t="n">
        <x:v>13</x:v>
      </x:c>
      <x:c r="I1509" s="19" t="n">
        <x:v>8</x:v>
      </x:c>
      <x:c r="J1509" s="19" t="n">
        <x:v>2</x:v>
      </x:c>
      <x:c r="K1509" s="16" t="str">
        <x:v>5. Major deterioration</x:v>
      </x:c>
      <x:c r="L1509" s="16" t="str">
        <x:v>Likely</x:v>
      </x:c>
      <x:c r="M1509" s="16" t="str">
        <x:v>Significant</x:v>
      </x:c>
      <x:c r="N1509" s="16" t="str">
        <x:v>Critical</x:v>
      </x:c>
    </x:row>
    <x:row r="1510" ht="37" customHeight="1">
      <x:c r="A1510" s="16" t="str">
        <x:v>RAW-01504</x:v>
      </x:c>
      <x:c r="B1510" s="16" t="str">
        <x:v>Recommendation</x:v>
      </x:c>
      <x:c r="C1510" s="16" t="str">
        <x:v>– Clean, remove corrosion and repaint.</x:v>
      </x:c>
      <x:c r="D1510" s="16" t="str">
        <x:v>Light post</x:v>
      </x:c>
      <x:c r="E1510" s="16" t="str">
        <x:v>SRC-092</x:v>
      </x:c>
      <x:c r="F1510" s="16" t="str">
        <x:v>REC-0002</x:v>
      </x:c>
      <x:c r="G1510" s="16" t="str">
        <x:v>正式报告</x:v>
      </x:c>
      <x:c r="H1510" s="19" t="n">
        <x:v>13</x:v>
      </x:c>
      <x:c r="I1510" s="19" t="n">
        <x:v>8</x:v>
      </x:c>
      <x:c r="J1510" s="19" t="n">
        <x:v>2</x:v>
      </x:c>
      <x:c r="K1510" s="16" t="str">
        <x:v>5. Major deterioration</x:v>
      </x:c>
      <x:c r="L1510" s="16" t="str">
        <x:v>Likely</x:v>
      </x:c>
      <x:c r="M1510" s="16" t="str">
        <x:v>Significant</x:v>
      </x:c>
      <x:c r="N1510" s="16" t="str">
        <x:v>Critical</x:v>
      </x:c>
    </x:row>
    <x:row r="1511" ht="37" customHeight="1">
      <x:c r="A1511" s="16" t="str">
        <x:v>RAW-01505</x:v>
      </x:c>
      <x:c r="B1511" s="16" t="str">
        <x:v>Observation</x:v>
      </x:c>
      <x:c r="C1511" s="16" t="str">
        <x:v>– Front verandah.</x:v>
      </x:c>
      <x:c r="D1511" s="16" t="str">
        <x:v>Front verandah</x:v>
      </x:c>
      <x:c r="E1511" s="16" t="str">
        <x:v>SRC-092</x:v>
      </x:c>
      <x:c r="F1511" s="16" t="str">
        <x:v>OBS-0014</x:v>
      </x:c>
      <x:c r="G1511" s="16" t="str">
        <x:v>正式报告</x:v>
      </x:c>
      <x:c r="H1511" s="19" t="n">
        <x:v>14</x:v>
      </x:c>
      <x:c r="I1511" s="19" t="n">
        <x:v>6</x:v>
      </x:c>
      <x:c r="J1511" s="19" t="n">
        <x:v>1</x:v>
      </x:c>
      <x:c r="K1511" s="16" t="str">
        <x:v>4. Moderate deterioration</x:v>
      </x:c>
      <x:c r="L1511" s="16" t="str">
        <x:v>Possible</x:v>
      </x:c>
      <x:c r="M1511" s="16" t="str">
        <x:v>Significant</x:v>
      </x:c>
      <x:c r="N1511" s="16" t="str">
        <x:v>High</x:v>
      </x:c>
    </x:row>
    <x:row r="1512" ht="37" customHeight="1">
      <x:c r="A1512" s="16" t="str">
        <x:v>RAW-01506</x:v>
      </x:c>
      <x:c r="B1512" s="16" t="str">
        <x:v>Observation</x:v>
      </x:c>
      <x:c r="C1512" s="16" t="str">
        <x:v>– Moderate corrosion of bracing.</x:v>
      </x:c>
      <x:c r="D1512" s="16" t="str">
        <x:v>Front verandah</x:v>
      </x:c>
      <x:c r="E1512" s="16" t="str">
        <x:v>SRC-092</x:v>
      </x:c>
      <x:c r="F1512" s="16" t="str">
        <x:v>OBS-0412</x:v>
      </x:c>
      <x:c r="G1512" s="16" t="str">
        <x:v>正式报告</x:v>
      </x:c>
      <x:c r="H1512" s="19" t="n">
        <x:v>14</x:v>
      </x:c>
      <x:c r="I1512" s="19" t="n">
        <x:v>7</x:v>
      </x:c>
      <x:c r="J1512" s="19" t="n">
        <x:v>1</x:v>
      </x:c>
      <x:c r="K1512" s="16" t="str">
        <x:v>4. Moderate deterioration</x:v>
      </x:c>
      <x:c r="L1512" s="16" t="str">
        <x:v>Possible</x:v>
      </x:c>
      <x:c r="M1512" s="16" t="str">
        <x:v>Significant</x:v>
      </x:c>
      <x:c r="N1512" s="16" t="str">
        <x:v>High</x:v>
      </x:c>
    </x:row>
    <x:row r="1513" ht="37" customHeight="1">
      <x:c r="A1513" s="16" t="str">
        <x:v>RAW-01507</x:v>
      </x:c>
      <x:c r="B1513" s="16" t="str">
        <x:v>Observation</x:v>
      </x:c>
      <x:c r="C1513" s="16" t="str">
        <x:v>– Moderate corrosion of triple grip.</x:v>
      </x:c>
      <x:c r="D1513" s="16" t="str">
        <x:v>Front verandah</x:v>
      </x:c>
      <x:c r="E1513" s="16" t="str">
        <x:v>SRC-092</x:v>
      </x:c>
      <x:c r="F1513" s="16" t="str">
        <x:v>OBS-0413</x:v>
      </x:c>
      <x:c r="G1513" s="16" t="str">
        <x:v>正式报告</x:v>
      </x:c>
      <x:c r="H1513" s="19" t="n">
        <x:v>14</x:v>
      </x:c>
      <x:c r="I1513" s="19" t="n">
        <x:v>8</x:v>
      </x:c>
      <x:c r="J1513" s="19" t="n">
        <x:v>1</x:v>
      </x:c>
      <x:c r="K1513" s="16" t="str">
        <x:v>4. Moderate deterioration</x:v>
      </x:c>
      <x:c r="L1513" s="16" t="str">
        <x:v>Possible</x:v>
      </x:c>
      <x:c r="M1513" s="16" t="str">
        <x:v>Significant</x:v>
      </x:c>
      <x:c r="N1513" s="16" t="str">
        <x:v>High</x:v>
      </x:c>
    </x:row>
    <x:row r="1514" ht="37" customHeight="1">
      <x:c r="A1514" s="16" t="str">
        <x:v>RAW-01508</x:v>
      </x:c>
      <x:c r="B1514" s="16" t="str">
        <x:v>Recommendation</x:v>
      </x:c>
      <x:c r="C1514" s="16" t="str">
        <x:v>– Clean, remove corrosion and repaint.</x:v>
      </x:c>
      <x:c r="D1514" s="16" t="str">
        <x:v>Front verandah</x:v>
      </x:c>
      <x:c r="E1514" s="16" t="str">
        <x:v>SRC-092</x:v>
      </x:c>
      <x:c r="F1514" s="16" t="str">
        <x:v>REC-0002</x:v>
      </x:c>
      <x:c r="G1514" s="16" t="str">
        <x:v>正式报告</x:v>
      </x:c>
      <x:c r="H1514" s="19" t="n">
        <x:v>14</x:v>
      </x:c>
      <x:c r="I1514" s="19" t="n">
        <x:v>8</x:v>
      </x:c>
      <x:c r="J1514" s="19" t="n">
        <x:v>1</x:v>
      </x:c>
      <x:c r="K1514" s="16" t="str">
        <x:v>4. Moderate deterioration</x:v>
      </x:c>
      <x:c r="L1514" s="16" t="str">
        <x:v>Possible</x:v>
      </x:c>
      <x:c r="M1514" s="16" t="str">
        <x:v>Significant</x:v>
      </x:c>
      <x:c r="N1514" s="16" t="str">
        <x:v>High</x:v>
      </x:c>
    </x:row>
    <x:row r="1515" ht="37" customHeight="1">
      <x:c r="A1515" s="16" t="str">
        <x:v>RAW-01509</x:v>
      </x:c>
      <x:c r="B1515" s="16" t="str">
        <x:v>Observation</x:v>
      </x:c>
      <x:c r="C1515" s="16" t="str">
        <x:v>– Overview of Row 1 columns.</x:v>
      </x:c>
      <x:c r="D1515" s="16" t="str">
        <x:v>Shade structure 4 columns and struts</x:v>
      </x:c>
      <x:c r="E1515" s="16" t="str">
        <x:v>SRC-092</x:v>
      </x:c>
      <x:c r="F1515" s="16" t="str">
        <x:v>OBS-0420</x:v>
      </x:c>
      <x:c r="G1515" s="16" t="str">
        <x:v>正式报告</x:v>
      </x:c>
      <x:c r="H1515" s="19" t="n">
        <x:v>15</x:v>
      </x:c>
      <x:c r="I1515" s="19" t="n">
        <x:v>6</x:v>
      </x:c>
      <x:c r="J1515" s="19" t="n">
        <x:v>1</x:v>
      </x:c>
      <x:c r="K1515" s="16" t="str">
        <x:v>3. Minor deterioration</x:v>
      </x:c>
      <x:c r="L1515" s="16" t="str">
        <x:v>Unlikely</x:v>
      </x:c>
      <x:c r="M1515" s="16" t="str">
        <x:v>Significant</x:v>
      </x:c>
      <x:c r="N1515" s="16" t="str">
        <x:v>Moderate</x:v>
      </x:c>
    </x:row>
    <x:row r="1516" ht="41" customHeight="1">
      <x:c r="A1516" s="16" t="str">
        <x:v>RAW-01510</x:v>
      </x:c>
      <x:c r="B1516" s="16" t="str">
        <x:v>Recommendation</x:v>
      </x:c>
      <x:c r="C1516" s="16" t="str">
        <x:v>– Clean the area, remove all corrosion, and inspect the remaining steel. It may require either replacement or repainting.</x:v>
      </x:c>
      <x:c r="D1516" s="16" t="str">
        <x:v>Shade structure 4 columns and struts</x:v>
      </x:c>
      <x:c r="E1516" s="16" t="str">
        <x:v>SRC-092</x:v>
      </x:c>
      <x:c r="F1516" s="16" t="str">
        <x:v>REC-0024</x:v>
      </x:c>
      <x:c r="G1516" s="16" t="str">
        <x:v>正式报告</x:v>
      </x:c>
      <x:c r="H1516" s="19" t="n">
        <x:v>15</x:v>
      </x:c>
      <x:c r="I1516" s="19" t="n">
        <x:v>6</x:v>
      </x:c>
      <x:c r="J1516" s="19" t="n">
        <x:v>1</x:v>
      </x:c>
      <x:c r="K1516" s="16" t="str">
        <x:v>3. Minor deterioration</x:v>
      </x:c>
      <x:c r="L1516" s="16" t="str">
        <x:v>Unlikely</x:v>
      </x:c>
      <x:c r="M1516" s="16" t="str">
        <x:v>Significant</x:v>
      </x:c>
      <x:c r="N1516" s="16" t="str">
        <x:v>Moderate</x:v>
      </x:c>
    </x:row>
    <x:row r="1517" ht="37" customHeight="1">
      <x:c r="A1517" s="16" t="str">
        <x:v>RAW-01511</x:v>
      </x:c>
      <x:c r="B1517" s="16" t="str">
        <x:v>Observation</x:v>
      </x:c>
      <x:c r="C1517" s="16" t="str">
        <x:v>– Column 1 strut. Paint deterioration and corrosion.</x:v>
      </x:c>
      <x:c r="D1517" s="16" t="str">
        <x:v>Shade structure 4 columns and struts</x:v>
      </x:c>
      <x:c r="E1517" s="16" t="str">
        <x:v>SRC-092</x:v>
      </x:c>
      <x:c r="F1517" s="16" t="str">
        <x:v>OBS-0189</x:v>
      </x:c>
      <x:c r="G1517" s="16" t="str">
        <x:v>正式报告</x:v>
      </x:c>
      <x:c r="H1517" s="19" t="n">
        <x:v>15</x:v>
      </x:c>
      <x:c r="I1517" s="19" t="n">
        <x:v>7</x:v>
      </x:c>
      <x:c r="J1517" s="19" t="n">
        <x:v>1</x:v>
      </x:c>
      <x:c r="K1517" s="16" t="str">
        <x:v>3. Minor deterioration</x:v>
      </x:c>
      <x:c r="L1517" s="16" t="str">
        <x:v>Unlikely</x:v>
      </x:c>
      <x:c r="M1517" s="16" t="str">
        <x:v>Significant</x:v>
      </x:c>
      <x:c r="N1517" s="16" t="str">
        <x:v>Moderate</x:v>
      </x:c>
    </x:row>
    <x:row r="1518" ht="37" customHeight="1">
      <x:c r="A1518" s="16" t="str">
        <x:v>RAW-01512</x:v>
      </x:c>
      <x:c r="B1518" s="16" t="str">
        <x:v>Observation</x:v>
      </x:c>
      <x:c r="C1518" s="16" t="str">
        <x:v>– Column 3. Paint deterioration and corrosion.</x:v>
      </x:c>
      <x:c r="D1518" s="16" t="str">
        <x:v>Shade structure 4 columns and struts</x:v>
      </x:c>
      <x:c r="E1518" s="16" t="str">
        <x:v>SRC-092</x:v>
      </x:c>
      <x:c r="F1518" s="16" t="str">
        <x:v>OBS-0199</x:v>
      </x:c>
      <x:c r="G1518" s="16" t="str">
        <x:v>正式报告</x:v>
      </x:c>
      <x:c r="H1518" s="19" t="n">
        <x:v>15</x:v>
      </x:c>
      <x:c r="I1518" s="19" t="n">
        <x:v>8</x:v>
      </x:c>
      <x:c r="J1518" s="19" t="n">
        <x:v>1</x:v>
      </x:c>
      <x:c r="K1518" s="16" t="str">
        <x:v>3. Minor deterioration</x:v>
      </x:c>
      <x:c r="L1518" s="16" t="str">
        <x:v>Unlikely</x:v>
      </x:c>
      <x:c r="M1518" s="16" t="str">
        <x:v>Significant</x:v>
      </x:c>
      <x:c r="N1518" s="16" t="str">
        <x:v>Moderate</x:v>
      </x:c>
    </x:row>
    <x:row r="1519" ht="37" customHeight="1">
      <x:c r="A1519" s="16" t="str">
        <x:v>RAW-01513</x:v>
      </x:c>
      <x:c r="B1519" s="16" t="str">
        <x:v>Observation</x:v>
      </x:c>
      <x:c r="C1519" s="16" t="str">
        <x:v>– Column 3 strut. Paint deterioration and corrosion.</x:v>
      </x:c>
      <x:c r="D1519" s="16" t="str">
        <x:v>Shade structure 4 columns and struts</x:v>
      </x:c>
      <x:c r="E1519" s="16" t="str">
        <x:v>SRC-092</x:v>
      </x:c>
      <x:c r="F1519" s="16" t="str">
        <x:v>OBS-0197</x:v>
      </x:c>
      <x:c r="G1519" s="16" t="str">
        <x:v>正式报告</x:v>
      </x:c>
      <x:c r="H1519" s="19" t="n">
        <x:v>15</x:v>
      </x:c>
      <x:c r="I1519" s="19" t="n">
        <x:v>9</x:v>
      </x:c>
      <x:c r="J1519" s="19" t="n">
        <x:v>1</x:v>
      </x:c>
      <x:c r="K1519" s="16" t="str">
        <x:v>3. Minor deterioration</x:v>
      </x:c>
      <x:c r="L1519" s="16" t="str">
        <x:v>Unlikely</x:v>
      </x:c>
      <x:c r="M1519" s="16" t="str">
        <x:v>Significant</x:v>
      </x:c>
      <x:c r="N1519" s="16" t="str">
        <x:v>Moderate</x:v>
      </x:c>
    </x:row>
    <x:row r="1520" ht="37" customHeight="1">
      <x:c r="A1520" s="16" t="str">
        <x:v>RAW-01514</x:v>
      </x:c>
      <x:c r="B1520" s="16" t="str">
        <x:v>Observation</x:v>
      </x:c>
      <x:c r="C1520" s="16" t="str">
        <x:v>– Column 2. Paint deterioration.</x:v>
      </x:c>
      <x:c r="D1520" s="16" t="str">
        <x:v>Shade structure 4 columns and struts</x:v>
      </x:c>
      <x:c r="E1520" s="16" t="str">
        <x:v>SRC-092</x:v>
      </x:c>
      <x:c r="F1520" s="16" t="str">
        <x:v>OBS-0042</x:v>
      </x:c>
      <x:c r="G1520" s="16" t="str">
        <x:v>正式报告</x:v>
      </x:c>
      <x:c r="H1520" s="19" t="n">
        <x:v>15</x:v>
      </x:c>
      <x:c r="I1520" s="19" t="n">
        <x:v>10</x:v>
      </x:c>
      <x:c r="J1520" s="19" t="n">
        <x:v>1</x:v>
      </x:c>
      <x:c r="K1520" s="16" t="str">
        <x:v>3. Minor deterioration</x:v>
      </x:c>
      <x:c r="L1520" s="16" t="str">
        <x:v>Unlikely</x:v>
      </x:c>
      <x:c r="M1520" s="16" t="str">
        <x:v>Significant</x:v>
      </x:c>
      <x:c r="N1520" s="16" t="str">
        <x:v>Moderate</x:v>
      </x:c>
    </x:row>
    <x:row r="1521" ht="37" customHeight="1">
      <x:c r="A1521" s="16" t="str">
        <x:v>RAW-01515</x:v>
      </x:c>
      <x:c r="B1521" s="16" t="str">
        <x:v>Observation</x:v>
      </x:c>
      <x:c r="C1521" s="16" t="str">
        <x:v>– Column 2. Paint deterioration.</x:v>
      </x:c>
      <x:c r="D1521" s="16" t="str">
        <x:v>Shade structure 4 columns and struts</x:v>
      </x:c>
      <x:c r="E1521" s="16" t="str">
        <x:v>SRC-092</x:v>
      </x:c>
      <x:c r="F1521" s="16" t="str">
        <x:v>OBS-0042</x:v>
      </x:c>
      <x:c r="G1521" s="16" t="str">
        <x:v>正式报告</x:v>
      </x:c>
      <x:c r="H1521" s="19" t="n">
        <x:v>15</x:v>
      </x:c>
      <x:c r="I1521" s="19" t="n">
        <x:v>11</x:v>
      </x:c>
      <x:c r="J1521" s="19" t="n">
        <x:v>1</x:v>
      </x:c>
      <x:c r="K1521" s="16" t="str">
        <x:v>3. Minor deterioration</x:v>
      </x:c>
      <x:c r="L1521" s="16" t="str">
        <x:v>Unlikely</x:v>
      </x:c>
      <x:c r="M1521" s="16" t="str">
        <x:v>Significant</x:v>
      </x:c>
      <x:c r="N1521" s="16" t="str">
        <x:v>Moderate</x:v>
      </x:c>
    </x:row>
    <x:row r="1522" ht="37" customHeight="1">
      <x:c r="A1522" s="16" t="str">
        <x:v>RAW-01516</x:v>
      </x:c>
      <x:c r="B1522" s="16" t="str">
        <x:v>Observation</x:v>
      </x:c>
      <x:c r="C1522" s="16" t="str">
        <x:v>– Overview of Row 2 columns. Paint deterioration at lower sections of strut and column.</x:v>
      </x:c>
      <x:c r="D1522" s="16" t="str">
        <x:v>Shade structure 4 columns and struts</x:v>
      </x:c>
      <x:c r="E1522" s="16" t="str">
        <x:v>SRC-092</x:v>
      </x:c>
      <x:c r="F1522" s="16" t="str">
        <x:v>OBS-0421</x:v>
      </x:c>
      <x:c r="G1522" s="16" t="str">
        <x:v>正式报告</x:v>
      </x:c>
      <x:c r="H1522" s="19" t="n">
        <x:v>15</x:v>
      </x:c>
      <x:c r="I1522" s="19" t="n">
        <x:v>12</x:v>
      </x:c>
      <x:c r="J1522" s="19" t="n">
        <x:v>1</x:v>
      </x:c>
      <x:c r="K1522" s="16" t="str">
        <x:v>3. Minor deterioration</x:v>
      </x:c>
      <x:c r="L1522" s="16" t="str">
        <x:v>Unlikely</x:v>
      </x:c>
      <x:c r="M1522" s="16" t="str">
        <x:v>Significant</x:v>
      </x:c>
      <x:c r="N1522" s="16" t="str">
        <x:v>Moderate</x:v>
      </x:c>
    </x:row>
    <x:row r="1523" ht="37" customHeight="1">
      <x:c r="A1523" s="16" t="str">
        <x:v>RAW-01517</x:v>
      </x:c>
      <x:c r="B1523" s="16" t="str">
        <x:v>Observation</x:v>
      </x:c>
      <x:c r="C1523" s="16" t="str">
        <x:v>– Paint deterioration at lower sections of strut and column. Typical defect for this structure.</x:v>
      </x:c>
      <x:c r="D1523" s="16" t="str">
        <x:v>Shade structure 4 columns and struts</x:v>
      </x:c>
      <x:c r="E1523" s="16" t="str">
        <x:v>SRC-092</x:v>
      </x:c>
      <x:c r="F1523" s="16" t="str">
        <x:v>OBS-0447</x:v>
      </x:c>
      <x:c r="G1523" s="16" t="str">
        <x:v>正式报告</x:v>
      </x:c>
      <x:c r="H1523" s="19" t="n">
        <x:v>15</x:v>
      </x:c>
      <x:c r="I1523" s="19" t="n">
        <x:v>13</x:v>
      </x:c>
      <x:c r="J1523" s="19" t="n">
        <x:v>1</x:v>
      </x:c>
      <x:c r="K1523" s="16" t="str">
        <x:v>3. Minor deterioration</x:v>
      </x:c>
      <x:c r="L1523" s="16" t="str">
        <x:v>Unlikely</x:v>
      </x:c>
      <x:c r="M1523" s="16" t="str">
        <x:v>Significant</x:v>
      </x:c>
      <x:c r="N1523" s="16" t="str">
        <x:v>Moderate</x:v>
      </x:c>
    </x:row>
    <x:row r="1524" ht="37" customHeight="1">
      <x:c r="A1524" s="16" t="str">
        <x:v>RAW-01518</x:v>
      </x:c>
      <x:c r="B1524" s="16" t="str">
        <x:v>Observation</x:v>
      </x:c>
      <x:c r="C1524" s="16" t="str">
        <x:v>– Paint deterioration at lower sections of strut and column. Close up photo shown below.</x:v>
      </x:c>
      <x:c r="D1524" s="16" t="str">
        <x:v>Shade structure 4 columns and struts</x:v>
      </x:c>
      <x:c r="E1524" s="16" t="str">
        <x:v>SRC-092</x:v>
      </x:c>
      <x:c r="F1524" s="16" t="str">
        <x:v>OBS-0446</x:v>
      </x:c>
      <x:c r="G1524" s="16" t="str">
        <x:v>正式报告</x:v>
      </x:c>
      <x:c r="H1524" s="19" t="n">
        <x:v>15</x:v>
      </x:c>
      <x:c r="I1524" s="19" t="n">
        <x:v>14</x:v>
      </x:c>
      <x:c r="J1524" s="19" t="n">
        <x:v>1</x:v>
      </x:c>
      <x:c r="K1524" s="16" t="str">
        <x:v>3. Minor deterioration</x:v>
      </x:c>
      <x:c r="L1524" s="16" t="str">
        <x:v>Unlikely</x:v>
      </x:c>
      <x:c r="M1524" s="16" t="str">
        <x:v>Significant</x:v>
      </x:c>
      <x:c r="N1524" s="16" t="str">
        <x:v>Moderate</x:v>
      </x:c>
    </x:row>
    <x:row r="1525" ht="37" customHeight="1">
      <x:c r="A1525" s="16" t="str">
        <x:v>RAW-01519</x:v>
      </x:c>
      <x:c r="B1525" s="16" t="str">
        <x:v>Observation</x:v>
      </x:c>
      <x:c r="C1525" s="16" t="str">
        <x:v>– Paint deterioration at lower sections of strut and column.</x:v>
      </x:c>
      <x:c r="D1525" s="16" t="str">
        <x:v>Shade structure 4 columns and struts</x:v>
      </x:c>
      <x:c r="E1525" s="16" t="str">
        <x:v>SRC-092</x:v>
      </x:c>
      <x:c r="F1525" s="16" t="str">
        <x:v>OBS-0445</x:v>
      </x:c>
      <x:c r="G1525" s="16" t="str">
        <x:v>正式报告</x:v>
      </x:c>
      <x:c r="H1525" s="19" t="n">
        <x:v>15</x:v>
      </x:c>
      <x:c r="I1525" s="19" t="n">
        <x:v>15</x:v>
      </x:c>
      <x:c r="J1525" s="19" t="n">
        <x:v>1</x:v>
      </x:c>
      <x:c r="K1525" s="16" t="str">
        <x:v>3. Minor deterioration</x:v>
      </x:c>
      <x:c r="L1525" s="16" t="str">
        <x:v>Unlikely</x:v>
      </x:c>
      <x:c r="M1525" s="16" t="str">
        <x:v>Significant</x:v>
      </x:c>
      <x:c r="N1525" s="16" t="str">
        <x:v>Moderate</x:v>
      </x:c>
    </x:row>
    <x:row r="1526" ht="37" customHeight="1">
      <x:c r="A1526" s="16" t="str">
        <x:v>RAW-01520</x:v>
      </x:c>
      <x:c r="B1526" s="16" t="str">
        <x:v>Observation</x:v>
      </x:c>
      <x:c r="C1526" s="16" t="str">
        <x:v>– Overview of light post</x:v>
      </x:c>
      <x:c r="D1526" s="16" t="str">
        <x:v>Light post</x:v>
      </x:c>
      <x:c r="E1526" s="16" t="str">
        <x:v>SRC-092</x:v>
      </x:c>
      <x:c r="F1526" s="16" t="str">
        <x:v>OBS-0433</x:v>
      </x:c>
      <x:c r="G1526" s="16" t="str">
        <x:v>正式报告</x:v>
      </x:c>
      <x:c r="H1526" s="19" t="n">
        <x:v>16</x:v>
      </x:c>
      <x:c r="I1526" s="19" t="n">
        <x:v>6</x:v>
      </x:c>
      <x:c r="J1526" s="19" t="n">
        <x:v>1</x:v>
      </x:c>
      <x:c r="K1526" s="16" t="str">
        <x:v>3. Minor deterioration</x:v>
      </x:c>
      <x:c r="L1526" s="16" t="str">
        <x:v>Unlikely</x:v>
      </x:c>
      <x:c r="M1526" s="16" t="str">
        <x:v>Significant</x:v>
      </x:c>
      <x:c r="N1526" s="16" t="str">
        <x:v>Moderate</x:v>
      </x:c>
    </x:row>
    <x:row r="1527" ht="37" customHeight="1">
      <x:c r="A1527" s="16" t="str">
        <x:v>RAW-01521</x:v>
      </x:c>
      <x:c r="B1527" s="16" t="str">
        <x:v>Observation</x:v>
      </x:c>
      <x:c r="C1527" s="16" t="str">
        <x:v>– localised corrosion on light post.</x:v>
      </x:c>
      <x:c r="D1527" s="16" t="str">
        <x:v>Light post</x:v>
      </x:c>
      <x:c r="E1527" s="16" t="str">
        <x:v>SRC-092</x:v>
      </x:c>
      <x:c r="F1527" s="16" t="str">
        <x:v>OBS-0620</x:v>
      </x:c>
      <x:c r="G1527" s="16" t="str">
        <x:v>正式报告</x:v>
      </x:c>
      <x:c r="H1527" s="19" t="n">
        <x:v>16</x:v>
      </x:c>
      <x:c r="I1527" s="19" t="n">
        <x:v>7</x:v>
      </x:c>
      <x:c r="J1527" s="19" t="n">
        <x:v>1</x:v>
      </x:c>
      <x:c r="K1527" s="16" t="str">
        <x:v>3. Minor deterioration</x:v>
      </x:c>
      <x:c r="L1527" s="16" t="str">
        <x:v>Unlikely</x:v>
      </x:c>
      <x:c r="M1527" s="16" t="str">
        <x:v>Significant</x:v>
      </x:c>
      <x:c r="N1527" s="16" t="str">
        <x:v>Moderate</x:v>
      </x:c>
    </x:row>
    <x:row r="1528" ht="37" customHeight="1">
      <x:c r="A1528" s="16" t="str">
        <x:v>RAW-01522</x:v>
      </x:c>
      <x:c r="B1528" s="16" t="str">
        <x:v>Recommendation</x:v>
      </x:c>
      <x:c r="C1528" s="16" t="str">
        <x:v>– Clean, remove corrosion and repaint.</x:v>
      </x:c>
      <x:c r="D1528" s="16" t="str">
        <x:v>Light post</x:v>
      </x:c>
      <x:c r="E1528" s="16" t="str">
        <x:v>SRC-092</x:v>
      </x:c>
      <x:c r="F1528" s="16" t="str">
        <x:v>REC-0002</x:v>
      </x:c>
      <x:c r="G1528" s="16" t="str">
        <x:v>正式报告</x:v>
      </x:c>
      <x:c r="H1528" s="19" t="n">
        <x:v>16</x:v>
      </x:c>
      <x:c r="I1528" s="19" t="n">
        <x:v>7</x:v>
      </x:c>
      <x:c r="J1528" s="19" t="n">
        <x:v>1</x:v>
      </x:c>
      <x:c r="K1528" s="16" t="str">
        <x:v>3. Minor deterioration</x:v>
      </x:c>
      <x:c r="L1528" s="16" t="str">
        <x:v>Unlikely</x:v>
      </x:c>
      <x:c r="M1528" s="16" t="str">
        <x:v>Significant</x:v>
      </x:c>
      <x:c r="N1528" s="16" t="str">
        <x:v>Moderate</x:v>
      </x:c>
    </x:row>
    <x:row r="1529" ht="37" customHeight="1">
      <x:c r="A1529" s="16" t="str">
        <x:v>RAW-01523</x:v>
      </x:c>
      <x:c r="B1529" s="16" t="str">
        <x:v>Observation</x:v>
      </x:c>
      <x:c r="C1529" s="16" t="str">
        <x:v>– Minor corrosion on light support bracket.</x:v>
      </x:c>
      <x:c r="D1529" s="16" t="str">
        <x:v>Light post</x:v>
      </x:c>
      <x:c r="E1529" s="16" t="str">
        <x:v>SRC-092</x:v>
      </x:c>
      <x:c r="F1529" s="16" t="str">
        <x:v>OBS-0398</x:v>
      </x:c>
      <x:c r="G1529" s="16" t="str">
        <x:v>正式报告</x:v>
      </x:c>
      <x:c r="H1529" s="19" t="n">
        <x:v>16</x:v>
      </x:c>
      <x:c r="I1529" s="19" t="n">
        <x:v>8</x:v>
      </x:c>
      <x:c r="J1529" s="19" t="n">
        <x:v>1</x:v>
      </x:c>
      <x:c r="K1529" s="16" t="str">
        <x:v>3. Minor deterioration</x:v>
      </x:c>
      <x:c r="L1529" s="16" t="str">
        <x:v>Unlikely</x:v>
      </x:c>
      <x:c r="M1529" s="16" t="str">
        <x:v>Significant</x:v>
      </x:c>
      <x:c r="N1529" s="16" t="str">
        <x:v>Moderate</x:v>
      </x:c>
    </x:row>
    <x:row r="1530" ht="37" customHeight="1">
      <x:c r="A1530" s="16" t="str">
        <x:v>RAW-01524</x:v>
      </x:c>
      <x:c r="B1530" s="16" t="str">
        <x:v>Recommendation</x:v>
      </x:c>
      <x:c r="C1530" s="16" t="str">
        <x:v>– Clean, remove corrosion and repaint.</x:v>
      </x:c>
      <x:c r="D1530" s="16" t="str">
        <x:v>Light post</x:v>
      </x:c>
      <x:c r="E1530" s="16" t="str">
        <x:v>SRC-092</x:v>
      </x:c>
      <x:c r="F1530" s="16" t="str">
        <x:v>REC-0002</x:v>
      </x:c>
      <x:c r="G1530" s="16" t="str">
        <x:v>正式报告</x:v>
      </x:c>
      <x:c r="H1530" s="19" t="n">
        <x:v>16</x:v>
      </x:c>
      <x:c r="I1530" s="19" t="n">
        <x:v>8</x:v>
      </x:c>
      <x:c r="J1530" s="19" t="n">
        <x:v>1</x:v>
      </x:c>
      <x:c r="K1530" s="16" t="str">
        <x:v>3. Minor deterioration</x:v>
      </x:c>
      <x:c r="L1530" s="16" t="str">
        <x:v>Unlikely</x:v>
      </x:c>
      <x:c r="M1530" s="16" t="str">
        <x:v>Significant</x:v>
      </x:c>
      <x:c r="N1530" s="16" t="str">
        <x:v>Moderate</x:v>
      </x:c>
    </x:row>
    <x:row r="1531" ht="37" customHeight="1">
      <x:c r="A1531" s="16" t="str">
        <x:v>RAW-01525</x:v>
      </x:c>
      <x:c r="B1531" s="16" t="str">
        <x:v>Observation</x:v>
      </x:c>
      <x:c r="C1531" s="16" t="str">
        <x:v>– Back verandah. Sagging soffit edge flashing.</x:v>
      </x:c>
      <x:c r="D1531" s="16" t="str">
        <x:v>Soffit edge flashing</x:v>
      </x:c>
      <x:c r="E1531" s="16" t="str">
        <x:v>SRC-092</x:v>
      </x:c>
      <x:c r="F1531" s="16" t="str">
        <x:v>OBS-0120</x:v>
      </x:c>
      <x:c r="G1531" s="16" t="str">
        <x:v>正式报告</x:v>
      </x:c>
      <x:c r="H1531" s="19" t="n">
        <x:v>17</x:v>
      </x:c>
      <x:c r="I1531" s="19" t="n">
        <x:v>6</x:v>
      </x:c>
      <x:c r="J1531" s="19" t="n">
        <x:v>1</x:v>
      </x:c>
      <x:c r="K1531" s="16" t="str">
        <x:v>5. Major deterioration</x:v>
      </x:c>
      <x:c r="L1531" s="16" t="str">
        <x:v>Likely</x:v>
      </x:c>
      <x:c r="M1531" s="16" t="str">
        <x:v>Minor</x:v>
      </x:c>
      <x:c r="N1531" s="16" t="str">
        <x:v>Moderate</x:v>
      </x:c>
    </x:row>
    <x:row r="1532" ht="37" customHeight="1">
      <x:c r="A1532" s="16" t="str">
        <x:v>RAW-01526</x:v>
      </x:c>
      <x:c r="B1532" s="16" t="str">
        <x:v>Recommendation</x:v>
      </x:c>
      <x:c r="C1532" s="16" t="str">
        <x:v>– Reattach.</x:v>
      </x:c>
      <x:c r="D1532" s="16" t="str">
        <x:v>Soffit edge flashing</x:v>
      </x:c>
      <x:c r="E1532" s="16" t="str">
        <x:v>SRC-092</x:v>
      </x:c>
      <x:c r="F1532" s="16" t="str">
        <x:v>REC-0120</x:v>
      </x:c>
      <x:c r="G1532" s="16" t="str">
        <x:v>正式报告</x:v>
      </x:c>
      <x:c r="H1532" s="19" t="n">
        <x:v>17</x:v>
      </x:c>
      <x:c r="I1532" s="19" t="n">
        <x:v>6</x:v>
      </x:c>
      <x:c r="J1532" s="19" t="n">
        <x:v>1</x:v>
      </x:c>
      <x:c r="K1532" s="16" t="str">
        <x:v>5. Major deterioration</x:v>
      </x:c>
      <x:c r="L1532" s="16" t="str">
        <x:v>Likely</x:v>
      </x:c>
      <x:c r="M1532" s="16" t="str">
        <x:v>Minor</x:v>
      </x:c>
      <x:c r="N1532" s="16" t="str">
        <x:v>Moderate</x:v>
      </x:c>
    </x:row>
    <x:row r="1533" ht="37" customHeight="1">
      <x:c r="A1533" s="16" t="str">
        <x:v>RAW-01527</x:v>
      </x:c>
      <x:c r="B1533" s="16" t="str">
        <x:v>Observation</x:v>
      </x:c>
      <x:c r="C1533" s="16" t="str">
        <x:v>– Close up of location circled in red shown below. Splitting at bolt.</x:v>
      </x:c>
      <x:c r="D1533" s="16" t="str">
        <x:v>Timber beam</x:v>
      </x:c>
      <x:c r="E1533" s="16" t="str">
        <x:v>SRC-092</x:v>
      </x:c>
      <x:c r="F1533" s="16" t="str">
        <x:v>OBS-0186</x:v>
      </x:c>
      <x:c r="G1533" s="16" t="str">
        <x:v>正式报告</x:v>
      </x:c>
      <x:c r="H1533" s="19" t="n">
        <x:v>18</x:v>
      </x:c>
      <x:c r="I1533" s="19" t="n">
        <x:v>6</x:v>
      </x:c>
      <x:c r="J1533" s="19" t="n">
        <x:v>2</x:v>
      </x:c>
      <x:c r="K1533" s="16" t="str">
        <x:v>3. Minor corrosion</x:v>
      </x:c>
      <x:c r="L1533" s="16" t="str">
        <x:v>Unlikely</x:v>
      </x:c>
      <x:c r="M1533" s="16" t="str">
        <x:v>Moderate</x:v>
      </x:c>
      <x:c r="N1533" s="16" t="str">
        <x:v>Moderate</x:v>
      </x:c>
    </x:row>
    <x:row r="1534" ht="37" customHeight="1">
      <x:c r="A1534" s="16" t="str">
        <x:v>RAW-01528</x:v>
      </x:c>
      <x:c r="B1534" s="16" t="str">
        <x:v>Recommendation</x:v>
      </x:c>
      <x:c r="C1534" s="16" t="str">
        <x:v>– Monitor splitting.</x:v>
      </x:c>
      <x:c r="D1534" s="16" t="str">
        <x:v>Timber beam</x:v>
      </x:c>
      <x:c r="E1534" s="16" t="str">
        <x:v>SRC-092</x:v>
      </x:c>
      <x:c r="F1534" s="16" t="str">
        <x:v>REC-0112</x:v>
      </x:c>
      <x:c r="G1534" s="16" t="str">
        <x:v>正式报告</x:v>
      </x:c>
      <x:c r="H1534" s="19" t="n">
        <x:v>18</x:v>
      </x:c>
      <x:c r="I1534" s="19" t="n">
        <x:v>6</x:v>
      </x:c>
      <x:c r="J1534" s="19" t="n">
        <x:v>2</x:v>
      </x:c>
      <x:c r="K1534" s="16" t="str">
        <x:v>3. Minor corrosion</x:v>
      </x:c>
      <x:c r="L1534" s="16" t="str">
        <x:v>Unlikely</x:v>
      </x:c>
      <x:c r="M1534" s="16" t="str">
        <x:v>Moderate</x:v>
      </x:c>
      <x:c r="N1534" s="16" t="str">
        <x:v>Moderate</x:v>
      </x:c>
    </x:row>
    <x:row r="1535" ht="37" customHeight="1">
      <x:c r="A1535" s="16" t="str">
        <x:v>RAW-01529</x:v>
      </x:c>
      <x:c r="B1535" s="16" t="str">
        <x:v>Observation</x:v>
      </x:c>
      <x:c r="C1535" s="16" t="str">
        <x:v>– Minor corrosion on bolts. Close up image of location circled in red shown below.</x:v>
      </x:c>
      <x:c r="D1535" s="16" t="str">
        <x:v>Timber beam</x:v>
      </x:c>
      <x:c r="E1535" s="16" t="str">
        <x:v>SRC-092</x:v>
      </x:c>
      <x:c r="F1535" s="16" t="str">
        <x:v>OBS-0397</x:v>
      </x:c>
      <x:c r="G1535" s="16" t="str">
        <x:v>正式报告</x:v>
      </x:c>
      <x:c r="H1535" s="19" t="n">
        <x:v>18</x:v>
      </x:c>
      <x:c r="I1535" s="19" t="n">
        <x:v>8</x:v>
      </x:c>
      <x:c r="J1535" s="19" t="n">
        <x:v>2</x:v>
      </x:c>
      <x:c r="K1535" s="16" t="str">
        <x:v>3. Minor corrosion</x:v>
      </x:c>
      <x:c r="L1535" s="16" t="str">
        <x:v>Unlikely</x:v>
      </x:c>
      <x:c r="M1535" s="16" t="str">
        <x:v>Moderate</x:v>
      </x:c>
      <x:c r="N1535" s="16" t="str">
        <x:v>Moderate</x:v>
      </x:c>
    </x:row>
    <x:row r="1536" ht="37" customHeight="1">
      <x:c r="A1536" s="16" t="str">
        <x:v>RAW-01530</x:v>
      </x:c>
      <x:c r="B1536" s="16" t="str">
        <x:v>Recommendation</x:v>
      </x:c>
      <x:c r="C1536" s="16" t="str">
        <x:v>– Clean, remove corrosion and repaint.</x:v>
      </x:c>
      <x:c r="D1536" s="16" t="str">
        <x:v>Timber beam</x:v>
      </x:c>
      <x:c r="E1536" s="16" t="str">
        <x:v>SRC-092</x:v>
      </x:c>
      <x:c r="F1536" s="16" t="str">
        <x:v>REC-0002</x:v>
      </x:c>
      <x:c r="G1536" s="16" t="str">
        <x:v>正式报告</x:v>
      </x:c>
      <x:c r="H1536" s="19" t="n">
        <x:v>18</x:v>
      </x:c>
      <x:c r="I1536" s="19" t="n">
        <x:v>8</x:v>
      </x:c>
      <x:c r="J1536" s="19" t="n">
        <x:v>2</x:v>
      </x:c>
      <x:c r="K1536" s="16" t="str">
        <x:v>3. Minor corrosion</x:v>
      </x:c>
      <x:c r="L1536" s="16" t="str">
        <x:v>Unlikely</x:v>
      </x:c>
      <x:c r="M1536" s="16" t="str">
        <x:v>Moderate</x:v>
      </x:c>
      <x:c r="N1536" s="16" t="str">
        <x:v>Moderate</x:v>
      </x:c>
    </x:row>
    <x:row r="1537" ht="37" customHeight="1">
      <x:c r="A1537" s="16" t="str">
        <x:v>RAW-01531</x:v>
      </x:c>
      <x:c r="B1537" s="16" t="str">
        <x:v>Observation</x:v>
      </x:c>
      <x:c r="C1537" s="16" t="str">
        <x:v>– Corrosion towards lower section circled column in red. All other columns are in good condition.</x:v>
      </x:c>
      <x:c r="D1537" s="16" t="str">
        <x:v>Back verandah columns</x:v>
      </x:c>
      <x:c r="E1537" s="16" t="str">
        <x:v>SRC-092</x:v>
      </x:c>
      <x:c r="F1537" s="16" t="str">
        <x:v>OBS-0238</x:v>
      </x:c>
      <x:c r="G1537" s="16" t="str">
        <x:v>正式报告</x:v>
      </x:c>
      <x:c r="H1537" s="19" t="n">
        <x:v>19</x:v>
      </x:c>
      <x:c r="I1537" s="19" t="n">
        <x:v>6</x:v>
      </x:c>
      <x:c r="J1537" s="19" t="n">
        <x:v>2</x:v>
      </x:c>
      <x:c r="K1537" s="16" t="str">
        <x:v>3. Minor deterioration</x:v>
      </x:c>
      <x:c r="L1537" s="16" t="str">
        <x:v>Unlikely</x:v>
      </x:c>
      <x:c r="M1537" s="16" t="str">
        <x:v>Significant</x:v>
      </x:c>
      <x:c r="N1537" s="16" t="str">
        <x:v>Moderate</x:v>
      </x:c>
    </x:row>
    <x:row r="1538" ht="37" customHeight="1">
      <x:c r="A1538" s="16" t="str">
        <x:v>RAW-01532</x:v>
      </x:c>
      <x:c r="B1538" s="16" t="str">
        <x:v>Recommendation</x:v>
      </x:c>
      <x:c r="C1538" s="16" t="str">
        <x:v>– Clean, remove corrosion and repaint.</x:v>
      </x:c>
      <x:c r="D1538" s="16" t="str">
        <x:v>Back verandah columns</x:v>
      </x:c>
      <x:c r="E1538" s="16" t="str">
        <x:v>SRC-092</x:v>
      </x:c>
      <x:c r="F1538" s="16" t="str">
        <x:v>REC-0002</x:v>
      </x:c>
      <x:c r="G1538" s="16" t="str">
        <x:v>正式报告</x:v>
      </x:c>
      <x:c r="H1538" s="19" t="n">
        <x:v>19</x:v>
      </x:c>
      <x:c r="I1538" s="19" t="n">
        <x:v>6</x:v>
      </x:c>
      <x:c r="J1538" s="19" t="n">
        <x:v>2</x:v>
      </x:c>
      <x:c r="K1538" s="16" t="str">
        <x:v>3. Minor deterioration</x:v>
      </x:c>
      <x:c r="L1538" s="16" t="str">
        <x:v>Unlikely</x:v>
      </x:c>
      <x:c r="M1538" s="16" t="str">
        <x:v>Significant</x:v>
      </x:c>
      <x:c r="N1538" s="16" t="str">
        <x:v>Moderate</x:v>
      </x:c>
    </x:row>
    <x:row r="1539" ht="37" customHeight="1">
      <x:c r="A1539" s="16" t="str">
        <x:v>RAW-01533</x:v>
      </x:c>
      <x:c r="B1539" s="16" t="str">
        <x:v>Observation</x:v>
      </x:c>
      <x:c r="C1539" s="16" t="str">
        <x:v>– Paint deterioration at location circled in red. Close up photo below.</x:v>
      </x:c>
      <x:c r="D1539" s="16" t="str">
        <x:v>Back verandah columns</x:v>
      </x:c>
      <x:c r="E1539" s="16" t="str">
        <x:v>SRC-092</x:v>
      </x:c>
      <x:c r="F1539" s="16" t="str">
        <x:v>OBS-0443</x:v>
      </x:c>
      <x:c r="G1539" s="16" t="str">
        <x:v>正式报告</x:v>
      </x:c>
      <x:c r="H1539" s="19" t="n">
        <x:v>19</x:v>
      </x:c>
      <x:c r="I1539" s="19" t="n">
        <x:v>8</x:v>
      </x:c>
      <x:c r="J1539" s="19" t="n">
        <x:v>2</x:v>
      </x:c>
      <x:c r="K1539" s="16" t="str">
        <x:v>3. Minor deterioration</x:v>
      </x:c>
      <x:c r="L1539" s="16" t="str">
        <x:v>Unlikely</x:v>
      </x:c>
      <x:c r="M1539" s="16" t="str">
        <x:v>Significant</x:v>
      </x:c>
      <x:c r="N1539" s="16" t="str">
        <x:v>Moderate</x:v>
      </x:c>
    </x:row>
    <x:row r="1540" ht="37" customHeight="1">
      <x:c r="A1540" s="16" t="str">
        <x:v>RAW-01534</x:v>
      </x:c>
      <x:c r="B1540" s="16" t="str">
        <x:v>Recommendation</x:v>
      </x:c>
      <x:c r="C1540" s="16" t="str">
        <x:v>– Clean, remove peeling paint and repaint.</x:v>
      </x:c>
      <x:c r="D1540" s="16" t="str">
        <x:v>Back verandah columns</x:v>
      </x:c>
      <x:c r="E1540" s="16" t="str">
        <x:v>SRC-092</x:v>
      </x:c>
      <x:c r="F1540" s="16" t="str">
        <x:v>REC-0010</x:v>
      </x:c>
      <x:c r="G1540" s="16" t="str">
        <x:v>正式报告</x:v>
      </x:c>
      <x:c r="H1540" s="19" t="n">
        <x:v>19</x:v>
      </x:c>
      <x:c r="I1540" s="19" t="n">
        <x:v>8</x:v>
      </x:c>
      <x:c r="J1540" s="19" t="n">
        <x:v>2</x:v>
      </x:c>
      <x:c r="K1540" s="16" t="str">
        <x:v>3. Minor deterioration</x:v>
      </x:c>
      <x:c r="L1540" s="16" t="str">
        <x:v>Unlikely</x:v>
      </x:c>
      <x:c r="M1540" s="16" t="str">
        <x:v>Significant</x:v>
      </x:c>
      <x:c r="N1540" s="16" t="str">
        <x:v>Moderate</x:v>
      </x:c>
    </x:row>
    <x:row r="1541" ht="37" customHeight="1">
      <x:c r="A1541" s="16" t="str">
        <x:v>RAW-01535</x:v>
      </x:c>
      <x:c r="B1541" s="16" t="str">
        <x:v>Observation</x:v>
      </x:c>
      <x:c r="C1541" s="16" t="str">
        <x:v>– Seating area and shade structure.</x:v>
      </x:c>
      <x:c r="D1541" s="16" t="str">
        <x:v>Shade structure 5</x:v>
      </x:c>
      <x:c r="E1541" s="16" t="str">
        <x:v>SRC-092</x:v>
      </x:c>
      <x:c r="F1541" s="16" t="str">
        <x:v>OBS-0553</x:v>
      </x:c>
      <x:c r="G1541" s="16" t="str">
        <x:v>正式报告</x:v>
      </x:c>
      <x:c r="H1541" s="19" t="n">
        <x:v>20</x:v>
      </x:c>
      <x:c r="I1541" s="19" t="n">
        <x:v>6</x:v>
      </x:c>
      <x:c r="J1541" s="19" t="n">
        <x:v>1</x:v>
      </x:c>
      <x:c r="K1541" s="16" t="str">
        <x:v>3. Minor deterioration</x:v>
      </x:c>
      <x:c r="L1541" s="16" t="str">
        <x:v>Possible</x:v>
      </x:c>
      <x:c r="M1541" s="16" t="str">
        <x:v>Minor</x:v>
      </x:c>
      <x:c r="N1541" s="16" t="str">
        <x:v>Low</x:v>
      </x:c>
    </x:row>
    <x:row r="1542" ht="37" customHeight="1">
      <x:c r="A1542" s="16" t="str">
        <x:v>RAW-01536</x:v>
      </x:c>
      <x:c r="B1542" s="16" t="str">
        <x:v>Observation</x:v>
      </x:c>
      <x:c r="C1542" s="16" t="str">
        <x:v>– Columns in good condition.</x:v>
      </x:c>
      <x:c r="D1542" s="16" t="str">
        <x:v>Shade structure 5</x:v>
      </x:c>
      <x:c r="E1542" s="16" t="str">
        <x:v>SRC-092</x:v>
      </x:c>
      <x:c r="F1542" s="16" t="str">
        <x:v>OBS-0001</x:v>
      </x:c>
      <x:c r="G1542" s="16" t="str">
        <x:v>正式报告</x:v>
      </x:c>
      <x:c r="H1542" s="19" t="n">
        <x:v>20</x:v>
      </x:c>
      <x:c r="I1542" s="19" t="n">
        <x:v>7</x:v>
      </x:c>
      <x:c r="J1542" s="19" t="n">
        <x:v>1</x:v>
      </x:c>
      <x:c r="K1542" s="16" t="str">
        <x:v>3. Minor deterioration</x:v>
      </x:c>
      <x:c r="L1542" s="16" t="str">
        <x:v>Possible</x:v>
      </x:c>
      <x:c r="M1542" s="16" t="str">
        <x:v>Minor</x:v>
      </x:c>
      <x:c r="N1542" s="16" t="str">
        <x:v>Low</x:v>
      </x:c>
    </x:row>
    <x:row r="1543" ht="37" customHeight="1">
      <x:c r="A1543" s="16" t="str">
        <x:v>RAW-01537</x:v>
      </x:c>
      <x:c r="B1543" s="16" t="str">
        <x:v>Recommendation</x:v>
      </x:c>
      <x:c r="C1543" s="16" t="str">
        <x:v>– None.</x:v>
      </x:c>
      <x:c r="D1543" s="16" t="str">
        <x:v>Shade structure 5</x:v>
      </x:c>
      <x:c r="E1543" s="16" t="str">
        <x:v>SRC-092</x:v>
      </x:c>
      <x:c r="F1543" s="16" t="str">
        <x:v>REC-0003</x:v>
      </x:c>
      <x:c r="G1543" s="16" t="str">
        <x:v>正式报告</x:v>
      </x:c>
      <x:c r="H1543" s="19" t="n">
        <x:v>20</x:v>
      </x:c>
      <x:c r="I1543" s="19" t="n">
        <x:v>7</x:v>
      </x:c>
      <x:c r="J1543" s="19" t="n">
        <x:v>1</x:v>
      </x:c>
      <x:c r="K1543" s="16" t="str">
        <x:v>3. Minor deterioration</x:v>
      </x:c>
      <x:c r="L1543" s="16" t="str">
        <x:v>Possible</x:v>
      </x:c>
      <x:c r="M1543" s="16" t="str">
        <x:v>Minor</x:v>
      </x:c>
      <x:c r="N1543" s="16" t="str">
        <x:v>Low</x:v>
      </x:c>
    </x:row>
    <x:row r="1544" ht="37" customHeight="1">
      <x:c r="A1544" s="16" t="str">
        <x:v>RAW-01538</x:v>
      </x:c>
      <x:c r="B1544" s="16" t="str">
        <x:v>Observation</x:v>
      </x:c>
      <x:c r="C1544" s="16" t="str">
        <x:v>– Moderate corrosion on winch. Typical to all columns.</x:v>
      </x:c>
      <x:c r="D1544" s="16" t="str">
        <x:v>Shade structure 5</x:v>
      </x:c>
      <x:c r="E1544" s="16" t="str">
        <x:v>SRC-092</x:v>
      </x:c>
      <x:c r="F1544" s="16" t="str">
        <x:v>OBS-0417</x:v>
      </x:c>
      <x:c r="G1544" s="16" t="str">
        <x:v>正式报告</x:v>
      </x:c>
      <x:c r="H1544" s="19" t="n">
        <x:v>20</x:v>
      </x:c>
      <x:c r="I1544" s="19" t="n">
        <x:v>8</x:v>
      </x:c>
      <x:c r="J1544" s="19" t="n">
        <x:v>1</x:v>
      </x:c>
      <x:c r="K1544" s="16" t="str">
        <x:v>3. Minor deterioration</x:v>
      </x:c>
      <x:c r="L1544" s="16" t="str">
        <x:v>Possible</x:v>
      </x:c>
      <x:c r="M1544" s="16" t="str">
        <x:v>Minor</x:v>
      </x:c>
      <x:c r="N1544" s="16" t="str">
        <x:v>Low</x:v>
      </x:c>
    </x:row>
    <x:row r="1545" ht="37" customHeight="1">
      <x:c r="A1545" s="16" t="str">
        <x:v>RAW-01539</x:v>
      </x:c>
      <x:c r="B1545" s="16" t="str">
        <x:v>Recommendation</x:v>
      </x:c>
      <x:c r="C1545" s="16" t="str">
        <x:v>– Clean, remove corrosion and repaint.</x:v>
      </x:c>
      <x:c r="D1545" s="16" t="str">
        <x:v>Shade structure 5</x:v>
      </x:c>
      <x:c r="E1545" s="16" t="str">
        <x:v>SRC-092</x:v>
      </x:c>
      <x:c r="F1545" s="16" t="str">
        <x:v>REC-0002</x:v>
      </x:c>
      <x:c r="G1545" s="16" t="str">
        <x:v>正式报告</x:v>
      </x:c>
      <x:c r="H1545" s="19" t="n">
        <x:v>20</x:v>
      </x:c>
      <x:c r="I1545" s="19" t="n">
        <x:v>8</x:v>
      </x:c>
      <x:c r="J1545" s="19" t="n">
        <x:v>1</x:v>
      </x:c>
      <x:c r="K1545" s="16" t="str">
        <x:v>3. Minor deterioration</x:v>
      </x:c>
      <x:c r="L1545" s="16" t="str">
        <x:v>Possible</x:v>
      </x:c>
      <x:c r="M1545" s="16" t="str">
        <x:v>Minor</x:v>
      </x:c>
      <x:c r="N1545" s="16" t="str">
        <x:v>Low</x:v>
      </x:c>
    </x:row>
    <x:row r="1546" ht="37" customHeight="1">
      <x:c r="A1546" s="16" t="str">
        <x:v>RAW-01540</x:v>
      </x:c>
      <x:c r="B1546" s="16" t="str">
        <x:v>Observation</x:v>
      </x:c>
      <x:c r="C1546" s="16" t="str">
        <x:v>– Moderate corrosion on light support. Typical to all columns.</x:v>
      </x:c>
      <x:c r="D1546" s="16" t="str">
        <x:v>Shade structure 5</x:v>
      </x:c>
      <x:c r="E1546" s="16" t="str">
        <x:v>SRC-092</x:v>
      </x:c>
      <x:c r="F1546" s="16" t="str">
        <x:v>OBS-0415</x:v>
      </x:c>
      <x:c r="G1546" s="16" t="str">
        <x:v>正式报告</x:v>
      </x:c>
      <x:c r="H1546" s="19" t="n">
        <x:v>20</x:v>
      </x:c>
      <x:c r="I1546" s="19" t="n">
        <x:v>9</x:v>
      </x:c>
      <x:c r="J1546" s="19" t="n">
        <x:v>1</x:v>
      </x:c>
      <x:c r="K1546" s="16" t="str">
        <x:v>3. Minor deterioration</x:v>
      </x:c>
      <x:c r="L1546" s="16" t="str">
        <x:v>Possible</x:v>
      </x:c>
      <x:c r="M1546" s="16" t="str">
        <x:v>Minor</x:v>
      </x:c>
      <x:c r="N1546" s="16" t="str">
        <x:v>Low</x:v>
      </x:c>
    </x:row>
    <x:row r="1547" ht="37" customHeight="1">
      <x:c r="A1547" s="16" t="str">
        <x:v>RAW-01541</x:v>
      </x:c>
      <x:c r="B1547" s="16" t="str">
        <x:v>Recommendation</x:v>
      </x:c>
      <x:c r="C1547" s="16" t="str">
        <x:v>– Clean, remove corrosion and repaint.</x:v>
      </x:c>
      <x:c r="D1547" s="16" t="str">
        <x:v>Shade structure 5</x:v>
      </x:c>
      <x:c r="E1547" s="16" t="str">
        <x:v>SRC-092</x:v>
      </x:c>
      <x:c r="F1547" s="16" t="str">
        <x:v>REC-0002</x:v>
      </x:c>
      <x:c r="G1547" s="16" t="str">
        <x:v>正式报告</x:v>
      </x:c>
      <x:c r="H1547" s="19" t="n">
        <x:v>20</x:v>
      </x:c>
      <x:c r="I1547" s="19" t="n">
        <x:v>9</x:v>
      </x:c>
      <x:c r="J1547" s="19" t="n">
        <x:v>1</x:v>
      </x:c>
      <x:c r="K1547" s="16" t="str">
        <x:v>3. Minor deterioration</x:v>
      </x:c>
      <x:c r="L1547" s="16" t="str">
        <x:v>Possible</x:v>
      </x:c>
      <x:c r="M1547" s="16" t="str">
        <x:v>Minor</x:v>
      </x:c>
      <x:c r="N1547" s="16" t="str">
        <x:v>Low</x:v>
      </x:c>
    </x:row>
    <x:row r="1548" ht="37" customHeight="1">
      <x:c r="A1548" s="16" t="str">
        <x:v>RAW-01542</x:v>
      </x:c>
      <x:c r="B1548" s="16" t="str">
        <x:v>Observation</x:v>
      </x:c>
      <x:c r="C1548" s="16" t="str">
        <x:v>– Surface corrosion on roof sheeting.</x:v>
      </x:c>
      <x:c r="D1548" s="16" t="str">
        <x:v>Roof sheeting</x:v>
      </x:c>
      <x:c r="E1548" s="16" t="str">
        <x:v>SRC-092</x:v>
      </x:c>
      <x:c r="F1548" s="16" t="str">
        <x:v>OBS-0586</x:v>
      </x:c>
      <x:c r="G1548" s="16" t="str">
        <x:v>正式报告</x:v>
      </x:c>
      <x:c r="H1548" s="19" t="n">
        <x:v>21</x:v>
      </x:c>
      <x:c r="I1548" s="19" t="n">
        <x:v>6</x:v>
      </x:c>
      <x:c r="J1548" s="19" t="n">
        <x:v>2</x:v>
      </x:c>
      <x:c r="K1548" s="16" t="str">
        <x:v>2. New with slight deterioration</x:v>
      </x:c>
      <x:c r="L1548" s="16" t="str">
        <x:v>Very unlikely</x:v>
      </x:c>
      <x:c r="M1548" s="16" t="str">
        <x:v>Minor</x:v>
      </x:c>
      <x:c r="N1548" s="16" t="str">
        <x:v>Low</x:v>
      </x:c>
    </x:row>
    <x:row r="1549" ht="37" customHeight="1">
      <x:c r="A1549" s="16" t="str">
        <x:v>RAW-01543</x:v>
      </x:c>
      <x:c r="B1549" s="16" t="str">
        <x:v>Recommendation</x:v>
      </x:c>
      <x:c r="C1549" s="16" t="str">
        <x:v>– Clean, remove corrosion and repaint.</x:v>
      </x:c>
      <x:c r="D1549" s="16" t="str">
        <x:v>Roof sheeting</x:v>
      </x:c>
      <x:c r="E1549" s="16" t="str">
        <x:v>SRC-092</x:v>
      </x:c>
      <x:c r="F1549" s="16" t="str">
        <x:v>REC-0002</x:v>
      </x:c>
      <x:c r="G1549" s="16" t="str">
        <x:v>正式报告</x:v>
      </x:c>
      <x:c r="H1549" s="19" t="n">
        <x:v>21</x:v>
      </x:c>
      <x:c r="I1549" s="19" t="n">
        <x:v>6</x:v>
      </x:c>
      <x:c r="J1549" s="19" t="n">
        <x:v>2</x:v>
      </x:c>
      <x:c r="K1549" s="16" t="str">
        <x:v>2. New with slight deterioration</x:v>
      </x:c>
      <x:c r="L1549" s="16" t="str">
        <x:v>Very unlikely</x:v>
      </x:c>
      <x:c r="M1549" s="16" t="str">
        <x:v>Minor</x:v>
      </x:c>
      <x:c r="N1549" s="16" t="str">
        <x:v>Low</x:v>
      </x:c>
    </x:row>
    <x:row r="1550" ht="37" customHeight="1">
      <x:c r="A1550" s="16" t="str">
        <x:v>RAW-01544</x:v>
      </x:c>
      <x:c r="B1550" s="16" t="str">
        <x:v>Observation</x:v>
      </x:c>
      <x:c r="C1550" s="16" t="str">
        <x:v>– Overview.</x:v>
      </x:c>
      <x:c r="D1550" s="16" t="str">
        <x:v>Pool seating and shade structure</x:v>
      </x:c>
      <x:c r="E1550" s="16" t="str">
        <x:v>SRC-092</x:v>
      </x:c>
      <x:c r="F1550" s="16" t="str">
        <x:v>OBS-0002</x:v>
      </x:c>
      <x:c r="G1550" s="16" t="str">
        <x:v>正式报告</x:v>
      </x:c>
      <x:c r="H1550" s="19" t="n">
        <x:v>22</x:v>
      </x:c>
      <x:c r="I1550" s="19" t="n">
        <x:v>6</x:v>
      </x:c>
      <x:c r="J1550" s="19" t="n">
        <x:v>1</x:v>
      </x:c>
      <x:c r="K1550" s="16" t="str">
        <x:v>2. New with slight deterioration</x:v>
      </x:c>
      <x:c r="L1550" s="16" t="str">
        <x:v>Very unlikely</x:v>
      </x:c>
      <x:c r="M1550" s="16" t="str">
        <x:v>Moderate</x:v>
      </x:c>
      <x:c r="N1550" s="16" t="str">
        <x:v>Low</x:v>
      </x:c>
    </x:row>
    <x:row r="1551" ht="37" customHeight="1">
      <x:c r="A1551" s="16" t="str">
        <x:v>RAW-01545</x:v>
      </x:c>
      <x:c r="B1551" s="16" t="str">
        <x:v>Observation</x:v>
      </x:c>
      <x:c r="C1551" s="16" t="str">
        <x:v>– Minor corrosion.</x:v>
      </x:c>
      <x:c r="D1551" s="16" t="str">
        <x:v>Pool seating and shade structure</x:v>
      </x:c>
      <x:c r="E1551" s="16" t="str">
        <x:v>SRC-092</x:v>
      </x:c>
      <x:c r="F1551" s="16" t="str">
        <x:v>OBS-0402</x:v>
      </x:c>
      <x:c r="G1551" s="16" t="str">
        <x:v>正式报告</x:v>
      </x:c>
      <x:c r="H1551" s="19" t="n">
        <x:v>22</x:v>
      </x:c>
      <x:c r="I1551" s="19" t="n">
        <x:v>7</x:v>
      </x:c>
      <x:c r="J1551" s="19" t="n">
        <x:v>1</x:v>
      </x:c>
      <x:c r="K1551" s="16" t="str">
        <x:v>2. New with slight deterioration</x:v>
      </x:c>
      <x:c r="L1551" s="16" t="str">
        <x:v>Very unlikely</x:v>
      </x:c>
      <x:c r="M1551" s="16" t="str">
        <x:v>Moderate</x:v>
      </x:c>
      <x:c r="N1551" s="16" t="str">
        <x:v>Low</x:v>
      </x:c>
    </x:row>
    <x:row r="1552" ht="37" customHeight="1">
      <x:c r="A1552" s="16" t="str">
        <x:v>RAW-01546</x:v>
      </x:c>
      <x:c r="B1552" s="16" t="str">
        <x:v>Recommendation</x:v>
      </x:c>
      <x:c r="C1552" s="16" t="str">
        <x:v>– Clean, remove corrosion and repaint.</x:v>
      </x:c>
      <x:c r="D1552" s="16" t="str">
        <x:v>Pool seating and shade structure</x:v>
      </x:c>
      <x:c r="E1552" s="16" t="str">
        <x:v>SRC-092</x:v>
      </x:c>
      <x:c r="F1552" s="16" t="str">
        <x:v>REC-0002</x:v>
      </x:c>
      <x:c r="G1552" s="16" t="str">
        <x:v>正式报告</x:v>
      </x:c>
      <x:c r="H1552" s="19" t="n">
        <x:v>22</x:v>
      </x:c>
      <x:c r="I1552" s="19" t="n">
        <x:v>7</x:v>
      </x:c>
      <x:c r="J1552" s="19" t="n">
        <x:v>1</x:v>
      </x:c>
      <x:c r="K1552" s="16" t="str">
        <x:v>2. New with slight deterioration</x:v>
      </x:c>
      <x:c r="L1552" s="16" t="str">
        <x:v>Very unlikely</x:v>
      </x:c>
      <x:c r="M1552" s="16" t="str">
        <x:v>Moderate</x:v>
      </x:c>
      <x:c r="N1552" s="16" t="str">
        <x:v>Low</x:v>
      </x:c>
    </x:row>
    <x:row r="1553" ht="37" customHeight="1">
      <x:c r="A1553" s="16" t="str">
        <x:v>RAW-01547</x:v>
      </x:c>
      <x:c r="B1553" s="16" t="str">
        <x:v>Observation</x:v>
      </x:c>
      <x:c r="C1553" s="16" t="str">
        <x:v>– Paint deterioration on steel frame.</x:v>
      </x:c>
      <x:c r="D1553" s="16" t="str">
        <x:v>Pool seating and shade structure</x:v>
      </x:c>
      <x:c r="E1553" s="16" t="str">
        <x:v>SRC-092</x:v>
      </x:c>
      <x:c r="F1553" s="16" t="str">
        <x:v>OBS-0450</x:v>
      </x:c>
      <x:c r="G1553" s="16" t="str">
        <x:v>正式报告</x:v>
      </x:c>
      <x:c r="H1553" s="19" t="n">
        <x:v>22</x:v>
      </x:c>
      <x:c r="I1553" s="19" t="n">
        <x:v>8</x:v>
      </x:c>
      <x:c r="J1553" s="19" t="n">
        <x:v>1</x:v>
      </x:c>
      <x:c r="K1553" s="16" t="str">
        <x:v>2. New with slight deterioration</x:v>
      </x:c>
      <x:c r="L1553" s="16" t="str">
        <x:v>Very unlikely</x:v>
      </x:c>
      <x:c r="M1553" s="16" t="str">
        <x:v>Moderate</x:v>
      </x:c>
      <x:c r="N1553" s="16" t="str">
        <x:v>Low</x:v>
      </x:c>
    </x:row>
    <x:row r="1554" ht="37" customHeight="1">
      <x:c r="A1554" s="16" t="str">
        <x:v>RAW-01548</x:v>
      </x:c>
      <x:c r="B1554" s="16" t="str">
        <x:v>Recommendation</x:v>
      </x:c>
      <x:c r="C1554" s="16" t="str">
        <x:v>– Clean, remove peeling paint and repaint.</x:v>
      </x:c>
      <x:c r="D1554" s="16" t="str">
        <x:v>Pool seating and shade structure</x:v>
      </x:c>
      <x:c r="E1554" s="16" t="str">
        <x:v>SRC-092</x:v>
      </x:c>
      <x:c r="F1554" s="16" t="str">
        <x:v>REC-0010</x:v>
      </x:c>
      <x:c r="G1554" s="16" t="str">
        <x:v>正式报告</x:v>
      </x:c>
      <x:c r="H1554" s="19" t="n">
        <x:v>22</x:v>
      </x:c>
      <x:c r="I1554" s="19" t="n">
        <x:v>8</x:v>
      </x:c>
      <x:c r="J1554" s="19" t="n">
        <x:v>1</x:v>
      </x:c>
      <x:c r="K1554" s="16" t="str">
        <x:v>2. New with slight deterioration</x:v>
      </x:c>
      <x:c r="L1554" s="16" t="str">
        <x:v>Very unlikely</x:v>
      </x:c>
      <x:c r="M1554" s="16" t="str">
        <x:v>Moderate</x:v>
      </x:c>
      <x:c r="N1554" s="16" t="str">
        <x:v>Low</x:v>
      </x:c>
    </x:row>
    <x:row r="1555" ht="37" customHeight="1">
      <x:c r="A1555" s="16" t="str">
        <x:v>RAW-01549</x:v>
      </x:c>
      <x:c r="B1555" s="16" t="str">
        <x:v>Observation</x:v>
      </x:c>
      <x:c r="C1555" s="16" t="str">
        <x:v>– Grout cracked at column.</x:v>
      </x:c>
      <x:c r="D1555" s="16" t="str">
        <x:v>Pool seating and shade structure</x:v>
      </x:c>
      <x:c r="E1555" s="16" t="str">
        <x:v>SRC-092</x:v>
      </x:c>
      <x:c r="F1555" s="16" t="str">
        <x:v>OBS-0321</x:v>
      </x:c>
      <x:c r="G1555" s="16" t="str">
        <x:v>正式报告</x:v>
      </x:c>
      <x:c r="H1555" s="19" t="n">
        <x:v>22</x:v>
      </x:c>
      <x:c r="I1555" s="19" t="n">
        <x:v>9</x:v>
      </x:c>
      <x:c r="J1555" s="19" t="n">
        <x:v>1</x:v>
      </x:c>
      <x:c r="K1555" s="16" t="str">
        <x:v>2. New with slight deterioration</x:v>
      </x:c>
      <x:c r="L1555" s="16" t="str">
        <x:v>Very unlikely</x:v>
      </x:c>
      <x:c r="M1555" s="16" t="str">
        <x:v>Moderate</x:v>
      </x:c>
      <x:c r="N1555" s="16" t="str">
        <x:v>Low</x:v>
      </x:c>
    </x:row>
    <x:row r="1556" ht="41" customHeight="1">
      <x:c r="A1556" s="16" t="str">
        <x:v>RAW-01550</x:v>
      </x:c>
      <x:c r="B1556" s="16" t="str">
        <x:v>Recommendation</x:v>
      </x:c>
      <x:c r="C1556" s="16" t="str">
        <x:v>– Clean the area, remove all corrosion, and inspect the remaining steel. It may require either replacement or repainting. Regrout the base.</x:v>
      </x:c>
      <x:c r="D1556" s="16" t="str">
        <x:v>Pool seating and shade structure</x:v>
      </x:c>
      <x:c r="E1556" s="16" t="str">
        <x:v>SRC-092</x:v>
      </x:c>
      <x:c r="F1556" s="16" t="str">
        <x:v>REC-0060</x:v>
      </x:c>
      <x:c r="G1556" s="16" t="str">
        <x:v>正式报告</x:v>
      </x:c>
      <x:c r="H1556" s="19" t="n">
        <x:v>22</x:v>
      </x:c>
      <x:c r="I1556" s="19" t="n">
        <x:v>9</x:v>
      </x:c>
      <x:c r="J1556" s="19" t="n">
        <x:v>1</x:v>
      </x:c>
      <x:c r="K1556" s="16" t="str">
        <x:v>2. New with slight deterioration</x:v>
      </x:c>
      <x:c r="L1556" s="16" t="str">
        <x:v>Very unlikely</x:v>
      </x:c>
      <x:c r="M1556" s="16" t="str">
        <x:v>Moderate</x:v>
      </x:c>
      <x:c r="N1556" s="16" t="str">
        <x:v>Low</x:v>
      </x:c>
    </x:row>
    <x:row r="1557" ht="37" customHeight="1">
      <x:c r="A1557" s="16" t="str">
        <x:v>RAW-01551</x:v>
      </x:c>
      <x:c r="B1557" s="16" t="str">
        <x:v>Observation</x:v>
      </x:c>
      <x:c r="C1557" s="16" t="str">
        <x:v>– Basketball post.</x:v>
      </x:c>
      <x:c r="D1557" s="16" t="str">
        <x:v>Basketball post</x:v>
      </x:c>
      <x:c r="E1557" s="16" t="str">
        <x:v>SRC-092</x:v>
      </x:c>
      <x:c r="F1557" s="16" t="str">
        <x:v>OBS-0140</x:v>
      </x:c>
      <x:c r="G1557" s="16" t="str">
        <x:v>正式报告</x:v>
      </x:c>
      <x:c r="H1557" s="19" t="n">
        <x:v>23</x:v>
      </x:c>
      <x:c r="I1557" s="19" t="n">
        <x:v>6</x:v>
      </x:c>
      <x:c r="J1557" s="19" t="n">
        <x:v>1</x:v>
      </x:c>
      <x:c r="K1557" s="16" t="str">
        <x:v>2. New with slight deterioration</x:v>
      </x:c>
      <x:c r="L1557" s="16" t="str">
        <x:v>Very unlikely</x:v>
      </x:c>
      <x:c r="M1557" s="16" t="str">
        <x:v>Significant</x:v>
      </x:c>
      <x:c r="N1557" s="16" t="str">
        <x:v>Low</x:v>
      </x:c>
    </x:row>
    <x:row r="1558" ht="37" customHeight="1">
      <x:c r="A1558" s="16" t="str">
        <x:v>RAW-01552</x:v>
      </x:c>
      <x:c r="B1558" s="16" t="str">
        <x:v>Observation</x:v>
      </x:c>
      <x:c r="C1558" s="16" t="str">
        <x:v>– Corrosion and paint deterioration.</x:v>
      </x:c>
      <x:c r="D1558" s="16" t="str">
        <x:v>Basketball post</x:v>
      </x:c>
      <x:c r="E1558" s="16" t="str">
        <x:v>SRC-092</x:v>
      </x:c>
      <x:c r="F1558" s="16" t="str">
        <x:v>OBS-0222</x:v>
      </x:c>
      <x:c r="G1558" s="16" t="str">
        <x:v>正式报告</x:v>
      </x:c>
      <x:c r="H1558" s="19" t="n">
        <x:v>23</x:v>
      </x:c>
      <x:c r="I1558" s="19" t="n">
        <x:v>7</x:v>
      </x:c>
      <x:c r="J1558" s="19" t="n">
        <x:v>1</x:v>
      </x:c>
      <x:c r="K1558" s="16" t="str">
        <x:v>2. New with slight deterioration</x:v>
      </x:c>
      <x:c r="L1558" s="16" t="str">
        <x:v>Very unlikely</x:v>
      </x:c>
      <x:c r="M1558" s="16" t="str">
        <x:v>Significant</x:v>
      </x:c>
      <x:c r="N1558" s="16" t="str">
        <x:v>Low</x:v>
      </x:c>
    </x:row>
    <x:row r="1559" ht="41" customHeight="1">
      <x:c r="A1559" s="16" t="str">
        <x:v>RAW-01553</x:v>
      </x:c>
      <x:c r="B1559" s="16" t="str">
        <x:v>Recommendation</x:v>
      </x:c>
      <x:c r="C1559" s="16" t="str">
        <x:v>– Clean the area, remove all corrosion, and inspect the remaining steel. It may require either replacement or repainting.</x:v>
      </x:c>
      <x:c r="D1559" s="16" t="str">
        <x:v>Basketball post</x:v>
      </x:c>
      <x:c r="E1559" s="16" t="str">
        <x:v>SRC-092</x:v>
      </x:c>
      <x:c r="F1559" s="16" t="str">
        <x:v>REC-0024</x:v>
      </x:c>
      <x:c r="G1559" s="16" t="str">
        <x:v>正式报告</x:v>
      </x:c>
      <x:c r="H1559" s="19" t="n">
        <x:v>23</x:v>
      </x:c>
      <x:c r="I1559" s="19" t="n">
        <x:v>7</x:v>
      </x:c>
      <x:c r="J1559" s="19" t="n">
        <x:v>1</x:v>
      </x:c>
      <x:c r="K1559" s="16" t="str">
        <x:v>2. New with slight deterioration</x:v>
      </x:c>
      <x:c r="L1559" s="16" t="str">
        <x:v>Very unlikely</x:v>
      </x:c>
      <x:c r="M1559" s="16" t="str">
        <x:v>Significant</x:v>
      </x:c>
      <x:c r="N1559" s="16" t="str">
        <x:v>Low</x:v>
      </x:c>
    </x:row>
    <x:row r="1560" ht="37" customHeight="1">
      <x:c r="A1560" s="16" t="str">
        <x:v>RAW-01554</x:v>
      </x:c>
      <x:c r="B1560" s="16" t="str">
        <x:v>Observation</x:v>
      </x:c>
      <x:c r="C1560" s="16" t="str">
        <x:v>– Minor corrosion and paint deterioration on hoop.</x:v>
      </x:c>
      <x:c r="D1560" s="16" t="str">
        <x:v>Basketball post</x:v>
      </x:c>
      <x:c r="E1560" s="16" t="str">
        <x:v>SRC-092</x:v>
      </x:c>
      <x:c r="F1560" s="16" t="str">
        <x:v>OBS-0377</x:v>
      </x:c>
      <x:c r="G1560" s="16" t="str">
        <x:v>正式报告</x:v>
      </x:c>
      <x:c r="H1560" s="19" t="n">
        <x:v>23</x:v>
      </x:c>
      <x:c r="I1560" s="19" t="n">
        <x:v>8</x:v>
      </x:c>
      <x:c r="J1560" s="19" t="n">
        <x:v>1</x:v>
      </x:c>
      <x:c r="K1560" s="16" t="str">
        <x:v>2. New with slight deterioration</x:v>
      </x:c>
      <x:c r="L1560" s="16" t="str">
        <x:v>Very unlikely</x:v>
      </x:c>
      <x:c r="M1560" s="16" t="str">
        <x:v>Significant</x:v>
      </x:c>
      <x:c r="N1560" s="16" t="str">
        <x:v>Low</x:v>
      </x:c>
    </x:row>
    <x:row r="1561" ht="37" customHeight="1">
      <x:c r="A1561" s="16" t="str">
        <x:v>RAW-01555</x:v>
      </x:c>
      <x:c r="B1561" s="16" t="str">
        <x:v>Recommendation</x:v>
      </x:c>
      <x:c r="C1561" s="16" t="str">
        <x:v>– Clean, remove corrosion and repaint.</x:v>
      </x:c>
      <x:c r="D1561" s="16" t="str">
        <x:v>Basketball post</x:v>
      </x:c>
      <x:c r="E1561" s="16" t="str">
        <x:v>SRC-092</x:v>
      </x:c>
      <x:c r="F1561" s="16" t="str">
        <x:v>REC-0002</x:v>
      </x:c>
      <x:c r="G1561" s="16" t="str">
        <x:v>正式报告</x:v>
      </x:c>
      <x:c r="H1561" s="19" t="n">
        <x:v>23</x:v>
      </x:c>
      <x:c r="I1561" s="19" t="n">
        <x:v>8</x:v>
      </x:c>
      <x:c r="J1561" s="19" t="n">
        <x:v>1</x:v>
      </x:c>
      <x:c r="K1561" s="16" t="str">
        <x:v>2. New with slight deterioration</x:v>
      </x:c>
      <x:c r="L1561" s="16" t="str">
        <x:v>Very unlikely</x:v>
      </x:c>
      <x:c r="M1561" s="16" t="str">
        <x:v>Significant</x:v>
      </x:c>
      <x:c r="N1561" s="16" t="str">
        <x:v>Low</x:v>
      </x:c>
    </x:row>
    <x:row r="1562" ht="41" customHeight="1">
      <x:c r="A1562" s="16" t="str">
        <x:v>RAW-01556</x:v>
      </x:c>
      <x:c r="B1562" s="16" t="str">
        <x:v>Observation</x:v>
      </x:c>
      <x:c r="C1562" s="16" t="str">
        <x:v>– Minor corrosion of bolted connections.</x:v>
      </x:c>
      <x:c r="D1562" s="16" t="str">
        <x:v>Back verandah roof bolted connections</x:v>
      </x:c>
      <x:c r="E1562" s="16" t="str">
        <x:v>SRC-092</x:v>
      </x:c>
      <x:c r="F1562" s="16" t="str">
        <x:v>OBS-0061</x:v>
      </x:c>
      <x:c r="G1562" s="16" t="str">
        <x:v>正式报告</x:v>
      </x:c>
      <x:c r="H1562" s="19" t="n">
        <x:v>24</x:v>
      </x:c>
      <x:c r="I1562" s="19" t="n">
        <x:v>6</x:v>
      </x:c>
      <x:c r="J1562" s="19" t="n">
        <x:v>1</x:v>
      </x:c>
      <x:c r="K1562" s="16" t="str">
        <x:v>2. New with slight deterioration</x:v>
      </x:c>
      <x:c r="L1562" s="16" t="str">
        <x:v>Very unlikely</x:v>
      </x:c>
      <x:c r="M1562" s="16" t="str">
        <x:v>Moderate</x:v>
      </x:c>
      <x:c r="N1562" s="16" t="str">
        <x:v>Low</x:v>
      </x:c>
    </x:row>
    <x:row r="1563" ht="41" customHeight="1">
      <x:c r="A1563" s="16" t="str">
        <x:v>RAW-01557</x:v>
      </x:c>
      <x:c r="B1563" s="16" t="str">
        <x:v>Recommendation</x:v>
      </x:c>
      <x:c r="C1563" s="16" t="str">
        <x:v>– Clean, remove corrosion and repaint.</x:v>
      </x:c>
      <x:c r="D1563" s="16" t="str">
        <x:v>Back verandah roof bolted connections</x:v>
      </x:c>
      <x:c r="E1563" s="16" t="str">
        <x:v>SRC-092</x:v>
      </x:c>
      <x:c r="F1563" s="16" t="str">
        <x:v>REC-0002</x:v>
      </x:c>
      <x:c r="G1563" s="16" t="str">
        <x:v>正式报告</x:v>
      </x:c>
      <x:c r="H1563" s="19" t="n">
        <x:v>24</x:v>
      </x:c>
      <x:c r="I1563" s="19" t="n">
        <x:v>6</x:v>
      </x:c>
      <x:c r="J1563" s="19" t="n">
        <x:v>1</x:v>
      </x:c>
      <x:c r="K1563" s="16" t="str">
        <x:v>2. New with slight deterioration</x:v>
      </x:c>
      <x:c r="L1563" s="16" t="str">
        <x:v>Very unlikely</x:v>
      </x:c>
      <x:c r="M1563" s="16" t="str">
        <x:v>Moderate</x:v>
      </x:c>
      <x:c r="N1563" s="16" t="str">
        <x:v>Low</x:v>
      </x:c>
    </x:row>
    <x:row r="1564" ht="41" customHeight="1">
      <x:c r="A1564" s="16" t="str">
        <x:v>RAW-01558</x:v>
      </x:c>
      <x:c r="B1564" s="16" t="str">
        <x:v>Observation</x:v>
      </x:c>
      <x:c r="C1564" s="16" t="str">
        <x:v>– Minor corrosion of steel mesh.</x:v>
      </x:c>
      <x:c r="D1564" s="16" t="str">
        <x:v>Back verandah roof bolted connections</x:v>
      </x:c>
      <x:c r="E1564" s="16" t="str">
        <x:v>SRC-092</x:v>
      </x:c>
      <x:c r="F1564" s="16" t="str">
        <x:v>OBS-0393</x:v>
      </x:c>
      <x:c r="G1564" s="16" t="str">
        <x:v>正式报告</x:v>
      </x:c>
      <x:c r="H1564" s="19" t="n">
        <x:v>24</x:v>
      </x:c>
      <x:c r="I1564" s="19" t="n">
        <x:v>7</x:v>
      </x:c>
      <x:c r="J1564" s="19" t="n">
        <x:v>1</x:v>
      </x:c>
      <x:c r="K1564" s="16" t="str">
        <x:v>2. New with slight deterioration</x:v>
      </x:c>
      <x:c r="L1564" s="16" t="str">
        <x:v>Very unlikely</x:v>
      </x:c>
      <x:c r="M1564" s="16" t="str">
        <x:v>Moderate</x:v>
      </x:c>
      <x:c r="N1564" s="16" t="str">
        <x:v>Low</x:v>
      </x:c>
    </x:row>
    <x:row r="1565" ht="41" customHeight="1">
      <x:c r="A1565" s="16" t="str">
        <x:v>RAW-01559</x:v>
      </x:c>
      <x:c r="B1565" s="16" t="str">
        <x:v>Observation</x:v>
      </x:c>
      <x:c r="C1565" s="16" t="str">
        <x:v>– Minor corrosion of bolted connections.</x:v>
      </x:c>
      <x:c r="D1565" s="16" t="str">
        <x:v>Back verandah roof bolted connections</x:v>
      </x:c>
      <x:c r="E1565" s="16" t="str">
        <x:v>SRC-092</x:v>
      </x:c>
      <x:c r="F1565" s="16" t="str">
        <x:v>OBS-0061</x:v>
      </x:c>
      <x:c r="G1565" s="16" t="str">
        <x:v>正式报告</x:v>
      </x:c>
      <x:c r="H1565" s="19" t="n">
        <x:v>24</x:v>
      </x:c>
      <x:c r="I1565" s="19" t="n">
        <x:v>8</x:v>
      </x:c>
      <x:c r="J1565" s="19" t="n">
        <x:v>1</x:v>
      </x:c>
      <x:c r="K1565" s="16" t="str">
        <x:v>2. New with slight deterioration</x:v>
      </x:c>
      <x:c r="L1565" s="16" t="str">
        <x:v>Very unlikely</x:v>
      </x:c>
      <x:c r="M1565" s="16" t="str">
        <x:v>Moderate</x:v>
      </x:c>
      <x:c r="N1565" s="16" t="str">
        <x:v>Low</x:v>
      </x:c>
    </x:row>
    <x:row r="1566" ht="37" customHeight="1">
      <x:c r="A1566" s="16" t="str">
        <x:v>RAW-01560</x:v>
      </x:c>
      <x:c r="B1566" s="16" t="str">
        <x:v>Observation</x:v>
      </x:c>
      <x:c r="C1566" s="16" t="str">
        <x:v>– Shade structure.</x:v>
      </x:c>
      <x:c r="D1566" s="16" t="str">
        <x:v>Shade structure 6 columns</x:v>
      </x:c>
      <x:c r="E1566" s="16" t="str">
        <x:v>SRC-092</x:v>
      </x:c>
      <x:c r="F1566" s="16" t="str">
        <x:v>OBS-0567</x:v>
      </x:c>
      <x:c r="G1566" s="16" t="str">
        <x:v>正式报告</x:v>
      </x:c>
      <x:c r="H1566" s="19" t="n">
        <x:v>25</x:v>
      </x:c>
      <x:c r="I1566" s="19" t="n">
        <x:v>6</x:v>
      </x:c>
      <x:c r="J1566" s="19" t="n">
        <x:v>1</x:v>
      </x:c>
      <x:c r="K1566" s="16" t="str">
        <x:v>2. New with slight deterioration</x:v>
      </x:c>
      <x:c r="L1566" s="16" t="str">
        <x:v>Very unlikely</x:v>
      </x:c>
      <x:c r="M1566" s="16" t="str">
        <x:v>Significant</x:v>
      </x:c>
      <x:c r="N1566" s="16" t="str">
        <x:v>Low</x:v>
      </x:c>
    </x:row>
    <x:row r="1567" ht="37" customHeight="1">
      <x:c r="A1567" s="16" t="str">
        <x:v>RAW-01561</x:v>
      </x:c>
      <x:c r="B1567" s="16" t="str">
        <x:v>Observation</x:v>
      </x:c>
      <x:c r="C1567" s="16" t="str">
        <x:v>– Paint deterioration.</x:v>
      </x:c>
      <x:c r="D1567" s="16" t="str">
        <x:v>Shade structure 6 columns</x:v>
      </x:c>
      <x:c r="E1567" s="16" t="str">
        <x:v>SRC-092</x:v>
      </x:c>
      <x:c r="F1567" s="16" t="str">
        <x:v>OBS-0010</x:v>
      </x:c>
      <x:c r="G1567" s="16" t="str">
        <x:v>正式报告</x:v>
      </x:c>
      <x:c r="H1567" s="19" t="n">
        <x:v>25</x:v>
      </x:c>
      <x:c r="I1567" s="19" t="n">
        <x:v>7</x:v>
      </x:c>
      <x:c r="J1567" s="19" t="n">
        <x:v>1</x:v>
      </x:c>
      <x:c r="K1567" s="16" t="str">
        <x:v>2. New with slight deterioration</x:v>
      </x:c>
      <x:c r="L1567" s="16" t="str">
        <x:v>Very unlikely</x:v>
      </x:c>
      <x:c r="M1567" s="16" t="str">
        <x:v>Significant</x:v>
      </x:c>
      <x:c r="N1567" s="16" t="str">
        <x:v>Low</x:v>
      </x:c>
    </x:row>
    <x:row r="1568" ht="37" customHeight="1">
      <x:c r="A1568" s="16" t="str">
        <x:v>RAW-01562</x:v>
      </x:c>
      <x:c r="B1568" s="16" t="str">
        <x:v>Recommendation</x:v>
      </x:c>
      <x:c r="C1568" s="16" t="str">
        <x:v>– Clean, remove peeling paint and repaint.</x:v>
      </x:c>
      <x:c r="D1568" s="16" t="str">
        <x:v>Shade structure 6 columns</x:v>
      </x:c>
      <x:c r="E1568" s="16" t="str">
        <x:v>SRC-092</x:v>
      </x:c>
      <x:c r="F1568" s="16" t="str">
        <x:v>REC-0010</x:v>
      </x:c>
      <x:c r="G1568" s="16" t="str">
        <x:v>正式报告</x:v>
      </x:c>
      <x:c r="H1568" s="19" t="n">
        <x:v>25</x:v>
      </x:c>
      <x:c r="I1568" s="19" t="n">
        <x:v>7</x:v>
      </x:c>
      <x:c r="J1568" s="19" t="n">
        <x:v>1</x:v>
      </x:c>
      <x:c r="K1568" s="16" t="str">
        <x:v>2. New with slight deterioration</x:v>
      </x:c>
      <x:c r="L1568" s="16" t="str">
        <x:v>Very unlikely</x:v>
      </x:c>
      <x:c r="M1568" s="16" t="str">
        <x:v>Significant</x:v>
      </x:c>
      <x:c r="N1568" s="16" t="str">
        <x:v>Low</x:v>
      </x:c>
    </x:row>
    <x:row r="1569" ht="37" customHeight="1">
      <x:c r="A1569" s="16" t="str">
        <x:v>RAW-01563</x:v>
      </x:c>
      <x:c r="B1569" s="16" t="str">
        <x:v>Observation</x:v>
      </x:c>
      <x:c r="C1569" s="16" t="str">
        <x:v>– Paint deterioration and minor corrosion.</x:v>
      </x:c>
      <x:c r="D1569" s="16" t="str">
        <x:v>Shade structure 6 columns</x:v>
      </x:c>
      <x:c r="E1569" s="16" t="str">
        <x:v>SRC-092</x:v>
      </x:c>
      <x:c r="F1569" s="16" t="str">
        <x:v>OBS-0442</x:v>
      </x:c>
      <x:c r="G1569" s="16" t="str">
        <x:v>正式报告</x:v>
      </x:c>
      <x:c r="H1569" s="19" t="n">
        <x:v>25</x:v>
      </x:c>
      <x:c r="I1569" s="19" t="n">
        <x:v>8</x:v>
      </x:c>
      <x:c r="J1569" s="19" t="n">
        <x:v>1</x:v>
      </x:c>
      <x:c r="K1569" s="16" t="str">
        <x:v>2. New with slight deterioration</x:v>
      </x:c>
      <x:c r="L1569" s="16" t="str">
        <x:v>Very unlikely</x:v>
      </x:c>
      <x:c r="M1569" s="16" t="str">
        <x:v>Significant</x:v>
      </x:c>
      <x:c r="N1569" s="16" t="str">
        <x:v>Low</x:v>
      </x:c>
    </x:row>
    <x:row r="1570" ht="37" customHeight="1">
      <x:c r="A1570" s="16" t="str">
        <x:v>RAW-01564</x:v>
      </x:c>
      <x:c r="B1570" s="16" t="str">
        <x:v>Recommendation</x:v>
      </x:c>
      <x:c r="C1570" s="16" t="str">
        <x:v>– Clean, remove corrosion and repaint.</x:v>
      </x:c>
      <x:c r="D1570" s="16" t="str">
        <x:v>Shade structure 6 columns</x:v>
      </x:c>
      <x:c r="E1570" s="16" t="str">
        <x:v>SRC-092</x:v>
      </x:c>
      <x:c r="F1570" s="16" t="str">
        <x:v>REC-0002</x:v>
      </x:c>
      <x:c r="G1570" s="16" t="str">
        <x:v>正式报告</x:v>
      </x:c>
      <x:c r="H1570" s="19" t="n">
        <x:v>25</x:v>
      </x:c>
      <x:c r="I1570" s="19" t="n">
        <x:v>8</x:v>
      </x:c>
      <x:c r="J1570" s="19" t="n">
        <x:v>1</x:v>
      </x:c>
      <x:c r="K1570" s="16" t="str">
        <x:v>2. New with slight deterioration</x:v>
      </x:c>
      <x:c r="L1570" s="16" t="str">
        <x:v>Very unlikely</x:v>
      </x:c>
      <x:c r="M1570" s="16" t="str">
        <x:v>Significant</x:v>
      </x:c>
      <x:c r="N1570" s="16" t="str">
        <x:v>Low</x:v>
      </x:c>
    </x:row>
    <x:row r="1571" ht="37" customHeight="1">
      <x:c r="A1571" s="16" t="str">
        <x:v>RAW-01565</x:v>
      </x:c>
      <x:c r="B1571" s="16" t="str">
        <x:v>Observation</x:v>
      </x:c>
      <x:c r="C1571" s="16" t="str">
        <x:v>– Shade structure column. Minor corrosion.</x:v>
      </x:c>
      <x:c r="D1571" s="16" t="str">
        <x:v>Shade structure 3 column</x:v>
      </x:c>
      <x:c r="E1571" s="16" t="str">
        <x:v>SRC-092</x:v>
      </x:c>
      <x:c r="F1571" s="16" t="str">
        <x:v>OBS-0564</x:v>
      </x:c>
      <x:c r="G1571" s="16" t="str">
        <x:v>正式报告</x:v>
      </x:c>
      <x:c r="H1571" s="19" t="n">
        <x:v>26</x:v>
      </x:c>
      <x:c r="I1571" s="19" t="n">
        <x:v>6</x:v>
      </x:c>
      <x:c r="J1571" s="19" t="n">
        <x:v>1</x:v>
      </x:c>
      <x:c r="K1571" s="16" t="str">
        <x:v>2. New with slight deterioration</x:v>
      </x:c>
      <x:c r="L1571" s="16" t="str">
        <x:v>Very unlikely</x:v>
      </x:c>
      <x:c r="M1571" s="16" t="str">
        <x:v>Significant</x:v>
      </x:c>
      <x:c r="N1571" s="16" t="str">
        <x:v>Low</x:v>
      </x:c>
    </x:row>
    <x:row r="1572" ht="37" customHeight="1">
      <x:c r="A1572" s="16" t="str">
        <x:v>RAW-01566</x:v>
      </x:c>
      <x:c r="B1572" s="16" t="str">
        <x:v>Recommendation</x:v>
      </x:c>
      <x:c r="C1572" s="16" t="str">
        <x:v>– Clean, remove corrosion and repaint.</x:v>
      </x:c>
      <x:c r="D1572" s="16" t="str">
        <x:v>Shade structure 3 column</x:v>
      </x:c>
      <x:c r="E1572" s="16" t="str">
        <x:v>SRC-092</x:v>
      </x:c>
      <x:c r="F1572" s="16" t="str">
        <x:v>REC-0002</x:v>
      </x:c>
      <x:c r="G1572" s="16" t="str">
        <x:v>正式报告</x:v>
      </x:c>
      <x:c r="H1572" s="19" t="n">
        <x:v>26</x:v>
      </x:c>
      <x:c r="I1572" s="19" t="n">
        <x:v>6</x:v>
      </x:c>
      <x:c r="J1572" s="19" t="n">
        <x:v>1</x:v>
      </x:c>
      <x:c r="K1572" s="16" t="str">
        <x:v>2. New with slight deterioration</x:v>
      </x:c>
      <x:c r="L1572" s="16" t="str">
        <x:v>Very unlikely</x:v>
      </x:c>
      <x:c r="M1572" s="16" t="str">
        <x:v>Significant</x:v>
      </x:c>
      <x:c r="N1572" s="16" t="str">
        <x:v>Low</x:v>
      </x:c>
    </x:row>
    <x:row r="1573" ht="37" customHeight="1">
      <x:c r="A1573" s="16" t="str">
        <x:v>RAW-01567</x:v>
      </x:c>
      <x:c r="B1573" s="16" t="str">
        <x:v>Observation</x:v>
      </x:c>
      <x:c r="C1573" s="16" t="str">
        <x:v>– Minor corrosion towards lower section of column and on previous patch repair.</x:v>
      </x:c>
      <x:c r="D1573" s="16" t="str">
        <x:v>Shade structure 3 column</x:v>
      </x:c>
      <x:c r="E1573" s="16" t="str">
        <x:v>SRC-092</x:v>
      </x:c>
      <x:c r="F1573" s="16" t="str">
        <x:v>OBS-0401</x:v>
      </x:c>
      <x:c r="G1573" s="16" t="str">
        <x:v>正式报告</x:v>
      </x:c>
      <x:c r="H1573" s="19" t="n">
        <x:v>26</x:v>
      </x:c>
      <x:c r="I1573" s="19" t="n">
        <x:v>7</x:v>
      </x:c>
      <x:c r="J1573" s="19" t="n">
        <x:v>1</x:v>
      </x:c>
      <x:c r="K1573" s="16" t="str">
        <x:v>2. New with slight deterioration</x:v>
      </x:c>
      <x:c r="L1573" s="16" t="str">
        <x:v>Very unlikely</x:v>
      </x:c>
      <x:c r="M1573" s="16" t="str">
        <x:v>Significant</x:v>
      </x:c>
      <x:c r="N1573" s="16" t="str">
        <x:v>Low</x:v>
      </x:c>
    </x:row>
    <x:row r="1574" ht="37" customHeight="1">
      <x:c r="A1574" s="16" t="str">
        <x:v>RAW-01568</x:v>
      </x:c>
      <x:c r="B1574" s="16" t="str">
        <x:v>Observation</x:v>
      </x:c>
      <x:c r="C1574" s="16" t="str">
        <x:v>– Minor corrosion at anchor.</x:v>
      </x:c>
      <x:c r="D1574" s="16" t="str">
        <x:v>Shade structure 3 column</x:v>
      </x:c>
      <x:c r="E1574" s="16" t="str">
        <x:v>SRC-092</x:v>
      </x:c>
      <x:c r="F1574" s="16" t="str">
        <x:v>OBS-0058</x:v>
      </x:c>
      <x:c r="G1574" s="16" t="str">
        <x:v>正式报告</x:v>
      </x:c>
      <x:c r="H1574" s="19" t="n">
        <x:v>26</x:v>
      </x:c>
      <x:c r="I1574" s="19" t="n">
        <x:v>8</x:v>
      </x:c>
      <x:c r="J1574" s="19" t="n">
        <x:v>1</x:v>
      </x:c>
      <x:c r="K1574" s="16" t="str">
        <x:v>2. New with slight deterioration</x:v>
      </x:c>
      <x:c r="L1574" s="16" t="str">
        <x:v>Very unlikely</x:v>
      </x:c>
      <x:c r="M1574" s="16" t="str">
        <x:v>Significant</x:v>
      </x:c>
      <x:c r="N1574" s="16" t="str">
        <x:v>Low</x:v>
      </x:c>
    </x:row>
    <x:row r="1575" ht="37" customHeight="1">
      <x:c r="A1575" s="16" t="str">
        <x:v>RAW-01569</x:v>
      </x:c>
      <x:c r="B1575" s="16" t="str">
        <x:v>Observation</x:v>
      </x:c>
      <x:c r="C1575" s="16" t="str">
        <x:v>– Corrosion of the column.</x:v>
      </x:c>
      <x:c r="D1575" s="16" t="str">
        <x:v>Light post</x:v>
      </x:c>
      <x:c r="E1575" s="16" t="str">
        <x:v>SRC-092</x:v>
      </x:c>
      <x:c r="F1575" s="16" t="str">
        <x:v>OBS-0046</x:v>
      </x:c>
      <x:c r="G1575" s="16" t="str">
        <x:v>正式报告</x:v>
      </x:c>
      <x:c r="H1575" s="19" t="n">
        <x:v>27</x:v>
      </x:c>
      <x:c r="I1575" s="19" t="n">
        <x:v>6</x:v>
      </x:c>
      <x:c r="J1575" s="19" t="n">
        <x:v>1</x:v>
      </x:c>
      <x:c r="K1575" s="16" t="str">
        <x:v>2. New with slight deterioration</x:v>
      </x:c>
      <x:c r="L1575" s="16" t="str">
        <x:v>Very unlikely</x:v>
      </x:c>
      <x:c r="M1575" s="16" t="str">
        <x:v>Significant</x:v>
      </x:c>
      <x:c r="N1575" s="16" t="str">
        <x:v>Low</x:v>
      </x:c>
    </x:row>
    <x:row r="1576" ht="37" customHeight="1">
      <x:c r="A1576" s="16" t="str">
        <x:v>RAW-01570</x:v>
      </x:c>
      <x:c r="B1576" s="16" t="str">
        <x:v>Observation</x:v>
      </x:c>
      <x:c r="C1576" s="16" t="str">
        <x:v>– Corrosion of the column.</x:v>
      </x:c>
      <x:c r="D1576" s="16" t="str">
        <x:v>Light post</x:v>
      </x:c>
      <x:c r="E1576" s="16" t="str">
        <x:v>SRC-092</x:v>
      </x:c>
      <x:c r="F1576" s="16" t="str">
        <x:v>OBS-0046</x:v>
      </x:c>
      <x:c r="G1576" s="16" t="str">
        <x:v>正式报告</x:v>
      </x:c>
      <x:c r="H1576" s="19" t="n">
        <x:v>27</x:v>
      </x:c>
      <x:c r="I1576" s="19" t="n">
        <x:v>7</x:v>
      </x:c>
      <x:c r="J1576" s="19" t="n">
        <x:v>1</x:v>
      </x:c>
      <x:c r="K1576" s="16" t="str">
        <x:v>2. New with slight deterioration</x:v>
      </x:c>
      <x:c r="L1576" s="16" t="str">
        <x:v>Very unlikely</x:v>
      </x:c>
      <x:c r="M1576" s="16" t="str">
        <x:v>Significant</x:v>
      </x:c>
      <x:c r="N1576" s="16" t="str">
        <x:v>Low</x:v>
      </x:c>
    </x:row>
    <x:row r="1577" ht="37" customHeight="1">
      <x:c r="A1577" s="16" t="str">
        <x:v>RAW-01571</x:v>
      </x:c>
      <x:c r="B1577" s="16" t="str">
        <x:v>Recommendation</x:v>
      </x:c>
      <x:c r="C1577" s="16" t="str">
        <x:v>– Clean, remove corrosion and repaint.</x:v>
      </x:c>
      <x:c r="D1577" s="16" t="str">
        <x:v>Light post</x:v>
      </x:c>
      <x:c r="E1577" s="16" t="str">
        <x:v>SRC-092</x:v>
      </x:c>
      <x:c r="F1577" s="16" t="str">
        <x:v>REC-0002</x:v>
      </x:c>
      <x:c r="G1577" s="16" t="str">
        <x:v>正式报告</x:v>
      </x:c>
      <x:c r="H1577" s="19" t="n">
        <x:v>27</x:v>
      </x:c>
      <x:c r="I1577" s="19" t="n">
        <x:v>7</x:v>
      </x:c>
      <x:c r="J1577" s="19" t="n">
        <x:v>1</x:v>
      </x:c>
      <x:c r="K1577" s="16" t="str">
        <x:v>2. New with slight deterioration</x:v>
      </x:c>
      <x:c r="L1577" s="16" t="str">
        <x:v>Very unlikely</x:v>
      </x:c>
      <x:c r="M1577" s="16" t="str">
        <x:v>Significant</x:v>
      </x:c>
      <x:c r="N1577" s="16" t="str">
        <x:v>Low</x:v>
      </x:c>
    </x:row>
    <x:row r="1578" ht="37" customHeight="1">
      <x:c r="A1578" s="16" t="str">
        <x:v>RAW-01572</x:v>
      </x:c>
      <x:c r="B1578" s="16" t="str">
        <x:v>Observation</x:v>
      </x:c>
      <x:c r="C1578" s="16" t="str">
        <x:v>– Corrosion on cladding. Close-up photo shown below.</x:v>
      </x:c>
      <x:c r="D1578" s="16" t="str">
        <x:v>Front cladding</x:v>
      </x:c>
      <x:c r="E1578" s="16" t="str">
        <x:v>SRC-092</x:v>
      </x:c>
      <x:c r="F1578" s="16" t="str">
        <x:v>OBS-0231</x:v>
      </x:c>
      <x:c r="G1578" s="16" t="str">
        <x:v>正式报告</x:v>
      </x:c>
      <x:c r="H1578" s="19" t="n">
        <x:v>28</x:v>
      </x:c>
      <x:c r="I1578" s="19" t="n">
        <x:v>6</x:v>
      </x:c>
      <x:c r="J1578" s="19" t="n">
        <x:v>1</x:v>
      </x:c>
      <x:c r="K1578" s="16" t="str">
        <x:v>4. Moderate corrosion</x:v>
      </x:c>
      <x:c r="L1578" s="16" t="str">
        <x:v>Possible</x:v>
      </x:c>
      <x:c r="M1578" s="16" t="str">
        <x:v>Negligible</x:v>
      </x:c>
      <x:c r="N1578" s="16" t="str">
        <x:v>Low</x:v>
      </x:c>
    </x:row>
    <x:row r="1579" ht="37" customHeight="1">
      <x:c r="A1579" s="16" t="str">
        <x:v>RAW-01573</x:v>
      </x:c>
      <x:c r="B1579" s="16" t="str">
        <x:v>Observation</x:v>
      </x:c>
      <x:c r="C1579" s="16" t="str">
        <x:v>– Corrosion on cladding.</x:v>
      </x:c>
      <x:c r="D1579" s="16" t="str">
        <x:v>Front cladding</x:v>
      </x:c>
      <x:c r="E1579" s="16" t="str">
        <x:v>SRC-092</x:v>
      </x:c>
      <x:c r="F1579" s="16" t="str">
        <x:v>OBS-0230</x:v>
      </x:c>
      <x:c r="G1579" s="16" t="str">
        <x:v>正式报告</x:v>
      </x:c>
      <x:c r="H1579" s="19" t="n">
        <x:v>28</x:v>
      </x:c>
      <x:c r="I1579" s="19" t="n">
        <x:v>7</x:v>
      </x:c>
      <x:c r="J1579" s="19" t="n">
        <x:v>1</x:v>
      </x:c>
      <x:c r="K1579" s="16" t="str">
        <x:v>4. Moderate corrosion</x:v>
      </x:c>
      <x:c r="L1579" s="16" t="str">
        <x:v>Possible</x:v>
      </x:c>
      <x:c r="M1579" s="16" t="str">
        <x:v>Negligible</x:v>
      </x:c>
      <x:c r="N1579" s="16" t="str">
        <x:v>Low</x:v>
      </x:c>
    </x:row>
    <x:row r="1580" ht="37" customHeight="1">
      <x:c r="A1580" s="16" t="str">
        <x:v>RAW-01574</x:v>
      </x:c>
      <x:c r="B1580" s="16" t="str">
        <x:v>Recommendation</x:v>
      </x:c>
      <x:c r="C1580" s="16" t="str">
        <x:v>– Clean, remove corrosion and repaint.</x:v>
      </x:c>
      <x:c r="D1580" s="16" t="str">
        <x:v>Front cladding</x:v>
      </x:c>
      <x:c r="E1580" s="16" t="str">
        <x:v>SRC-092</x:v>
      </x:c>
      <x:c r="F1580" s="16" t="str">
        <x:v>REC-0002</x:v>
      </x:c>
      <x:c r="G1580" s="16" t="str">
        <x:v>正式报告</x:v>
      </x:c>
      <x:c r="H1580" s="19" t="n">
        <x:v>28</x:v>
      </x:c>
      <x:c r="I1580" s="19" t="n">
        <x:v>7</x:v>
      </x:c>
      <x:c r="J1580" s="19" t="n">
        <x:v>1</x:v>
      </x:c>
      <x:c r="K1580" s="16" t="str">
        <x:v>4. Moderate corrosion</x:v>
      </x:c>
      <x:c r="L1580" s="16" t="str">
        <x:v>Possible</x:v>
      </x:c>
      <x:c r="M1580" s="16" t="str">
        <x:v>Negligible</x:v>
      </x:c>
      <x:c r="N1580" s="16" t="str">
        <x:v>Low</x:v>
      </x:c>
    </x:row>
    <x:row r="1581" ht="37" customHeight="1">
      <x:c r="A1581" s="16" t="str">
        <x:v>RAW-01575</x:v>
      </x:c>
      <x:c r="B1581" s="16" t="str">
        <x:v>Observation</x:v>
      </x:c>
      <x:c r="C1581" s="16" t="str">
        <x:v>– Shade structure column overview.</x:v>
      </x:c>
      <x:c r="D1581" s="16" t="str">
        <x:v>Shade structure column</x:v>
      </x:c>
      <x:c r="E1581" s="16" t="str">
        <x:v>SRC-092</x:v>
      </x:c>
      <x:c r="F1581" s="16" t="str">
        <x:v>OBS-0561</x:v>
      </x:c>
      <x:c r="G1581" s="16" t="str">
        <x:v>正式报告</x:v>
      </x:c>
      <x:c r="H1581" s="19" t="n">
        <x:v>29</x:v>
      </x:c>
      <x:c r="I1581" s="19" t="n">
        <x:v>6</x:v>
      </x:c>
      <x:c r="J1581" s="19" t="n">
        <x:v>1</x:v>
      </x:c>
      <x:c r="K1581" s="16" t="str">
        <x:v>2. New with slight deterioration</x:v>
      </x:c>
      <x:c r="L1581" s="16" t="str">
        <x:v>Very unlikely</x:v>
      </x:c>
      <x:c r="M1581" s="16" t="str">
        <x:v>Significant</x:v>
      </x:c>
      <x:c r="N1581" s="16" t="str">
        <x:v>Low</x:v>
      </x:c>
    </x:row>
    <x:row r="1582" ht="37" customHeight="1">
      <x:c r="A1582" s="16" t="str">
        <x:v>RAW-01576</x:v>
      </x:c>
      <x:c r="B1582" s="16" t="str">
        <x:v>Observation</x:v>
      </x:c>
      <x:c r="C1582" s="16" t="str">
        <x:v>– Protective wrap has severely corroded.</x:v>
      </x:c>
      <x:c r="D1582" s="16" t="str">
        <x:v>Shade structure column</x:v>
      </x:c>
      <x:c r="E1582" s="16" t="str">
        <x:v>SRC-092</x:v>
      </x:c>
      <x:c r="F1582" s="16" t="str">
        <x:v>OBS-0471</x:v>
      </x:c>
      <x:c r="G1582" s="16" t="str">
        <x:v>正式报告</x:v>
      </x:c>
      <x:c r="H1582" s="19" t="n">
        <x:v>29</x:v>
      </x:c>
      <x:c r="I1582" s="19" t="n">
        <x:v>7</x:v>
      </x:c>
      <x:c r="J1582" s="19" t="n">
        <x:v>1</x:v>
      </x:c>
      <x:c r="K1582" s="16" t="str">
        <x:v>2. New with slight deterioration</x:v>
      </x:c>
      <x:c r="L1582" s="16" t="str">
        <x:v>Very unlikely</x:v>
      </x:c>
      <x:c r="M1582" s="16" t="str">
        <x:v>Significant</x:v>
      </x:c>
      <x:c r="N1582" s="16" t="str">
        <x:v>Low</x:v>
      </x:c>
    </x:row>
    <x:row r="1583" ht="37" customHeight="1">
      <x:c r="A1583" s="16" t="str">
        <x:v>RAW-01577</x:v>
      </x:c>
      <x:c r="B1583" s="16" t="str">
        <x:v>Recommendation</x:v>
      </x:c>
      <x:c r="C1583" s="16" t="str">
        <x:v>– Replace protective wrap.</x:v>
      </x:c>
      <x:c r="D1583" s="16" t="str">
        <x:v>Shade structure column</x:v>
      </x:c>
      <x:c r="E1583" s="16" t="str">
        <x:v>SRC-092</x:v>
      </x:c>
      <x:c r="F1583" s="16" t="str">
        <x:v>REC-0149</x:v>
      </x:c>
      <x:c r="G1583" s="16" t="str">
        <x:v>正式报告</x:v>
      </x:c>
      <x:c r="H1583" s="19" t="n">
        <x:v>29</x:v>
      </x:c>
      <x:c r="I1583" s="19" t="n">
        <x:v>7</x:v>
      </x:c>
      <x:c r="J1583" s="19" t="n">
        <x:v>1</x:v>
      </x:c>
      <x:c r="K1583" s="16" t="str">
        <x:v>2. New with slight deterioration</x:v>
      </x:c>
      <x:c r="L1583" s="16" t="str">
        <x:v>Very unlikely</x:v>
      </x:c>
      <x:c r="M1583" s="16" t="str">
        <x:v>Significant</x:v>
      </x:c>
      <x:c r="N1583" s="16" t="str">
        <x:v>Low</x:v>
      </x:c>
    </x:row>
    <x:row r="1584" ht="37" customHeight="1">
      <x:c r="A1584" s="16" t="str">
        <x:v>RAW-01578</x:v>
      </x:c>
      <x:c r="B1584" s="16" t="str">
        <x:v>Observation</x:v>
      </x:c>
      <x:c r="C1584" s="16" t="str">
        <x:v>– Minor corrosion at anchor.</x:v>
      </x:c>
      <x:c r="D1584" s="16" t="str">
        <x:v>Shade structure column</x:v>
      </x:c>
      <x:c r="E1584" s="16" t="str">
        <x:v>SRC-092</x:v>
      </x:c>
      <x:c r="F1584" s="16" t="str">
        <x:v>OBS-0058</x:v>
      </x:c>
      <x:c r="G1584" s="16" t="str">
        <x:v>正式报告</x:v>
      </x:c>
      <x:c r="H1584" s="19" t="n">
        <x:v>29</x:v>
      </x:c>
      <x:c r="I1584" s="19" t="n">
        <x:v>8</x:v>
      </x:c>
      <x:c r="J1584" s="19" t="n">
        <x:v>1</x:v>
      </x:c>
      <x:c r="K1584" s="16" t="str">
        <x:v>2. New with slight deterioration</x:v>
      </x:c>
      <x:c r="L1584" s="16" t="str">
        <x:v>Very unlikely</x:v>
      </x:c>
      <x:c r="M1584" s="16" t="str">
        <x:v>Significant</x:v>
      </x:c>
      <x:c r="N1584" s="16" t="str">
        <x:v>Low</x:v>
      </x:c>
    </x:row>
    <x:row r="1585" ht="37" customHeight="1">
      <x:c r="A1585" s="16" t="str">
        <x:v>RAW-01579</x:v>
      </x:c>
      <x:c r="B1585" s="16" t="str">
        <x:v>Recommendation</x:v>
      </x:c>
      <x:c r="C1585" s="16" t="str">
        <x:v>– Clean, remove corrosion and repaint.</x:v>
      </x:c>
      <x:c r="D1585" s="16" t="str">
        <x:v>Shade structure column</x:v>
      </x:c>
      <x:c r="E1585" s="16" t="str">
        <x:v>SRC-092</x:v>
      </x:c>
      <x:c r="F1585" s="16" t="str">
        <x:v>REC-0002</x:v>
      </x:c>
      <x:c r="G1585" s="16" t="str">
        <x:v>正式报告</x:v>
      </x:c>
      <x:c r="H1585" s="19" t="n">
        <x:v>29</x:v>
      </x:c>
      <x:c r="I1585" s="19" t="n">
        <x:v>8</x:v>
      </x:c>
      <x:c r="J1585" s="19" t="n">
        <x:v>1</x:v>
      </x:c>
      <x:c r="K1585" s="16" t="str">
        <x:v>2. New with slight deterioration</x:v>
      </x:c>
      <x:c r="L1585" s="16" t="str">
        <x:v>Very unlikely</x:v>
      </x:c>
      <x:c r="M1585" s="16" t="str">
        <x:v>Significant</x:v>
      </x:c>
      <x:c r="N1585" s="16" t="str">
        <x:v>Low</x:v>
      </x:c>
    </x:row>
    <x:row r="1586" ht="41" customHeight="1">
      <x:c r="A1586" s="16" t="str">
        <x:v>RAW-01580</x:v>
      </x:c>
      <x:c r="B1586" s="16" t="str">
        <x:v>Observation</x:v>
      </x:c>
      <x:c r="C1586" s="16" t="str">
        <x:v>– Overview.</x:v>
      </x:c>
      <x:c r="D1586" s="16" t="str">
        <x:v>Shade structure 1 over children’s pool</x:v>
      </x:c>
      <x:c r="E1586" s="16" t="str">
        <x:v>SRC-093</x:v>
      </x:c>
      <x:c r="F1586" s="16" t="str">
        <x:v>OBS-0002</x:v>
      </x:c>
      <x:c r="G1586" s="16" t="str">
        <x:v>审阅或辅助文档</x:v>
      </x:c>
      <x:c r="H1586" s="19" t="n">
        <x:v>3</x:v>
      </x:c>
      <x:c r="I1586" s="19" t="n">
        <x:v>6</x:v>
      </x:c>
      <x:c r="J1586" s="19" t="n">
        <x:v>1</x:v>
      </x:c>
      <x:c r="K1586" s="16" t="str">
        <x:v>7. Very severe deterioration</x:v>
      </x:c>
      <x:c r="L1586" s="16" t="str">
        <x:v>Very likely</x:v>
      </x:c>
      <x:c r="M1586" s="16" t="str">
        <x:v>Severe</x:v>
      </x:c>
      <x:c r="N1586" s="16" t="str">
        <x:v>Urgent</x:v>
      </x:c>
    </x:row>
    <x:row r="1587" ht="41" customHeight="1">
      <x:c r="A1587" s="16" t="str">
        <x:v>RAW-01581</x:v>
      </x:c>
      <x:c r="B1587" s="16" t="str">
        <x:v>Observation</x:v>
      </x:c>
      <x:c r="C1587" s="16" t="str">
        <x:v>– Column 1. Severe corrosion of the connection. Steel brush pushed through showing that section loss has occurred and connection has hole through.</x:v>
      </x:c>
      <x:c r="D1587" s="16" t="str">
        <x:v>Shade structure 1 over children’s pool</x:v>
      </x:c>
      <x:c r="E1587" s="16" t="str">
        <x:v>SRC-093</x:v>
      </x:c>
      <x:c r="F1587" s="16" t="str">
        <x:v>OBS-0192</x:v>
      </x:c>
      <x:c r="G1587" s="16" t="str">
        <x:v>审阅或辅助文档</x:v>
      </x:c>
      <x:c r="H1587" s="19" t="n">
        <x:v>3</x:v>
      </x:c>
      <x:c r="I1587" s="19" t="n">
        <x:v>7</x:v>
      </x:c>
      <x:c r="J1587" s="19" t="n">
        <x:v>2</x:v>
      </x:c>
      <x:c r="K1587" s="16" t="str">
        <x:v>7. Very severe deterioration</x:v>
      </x:c>
      <x:c r="L1587" s="16" t="str">
        <x:v>Very likely</x:v>
      </x:c>
      <x:c r="M1587" s="16" t="str">
        <x:v>Severe</x:v>
      </x:c>
      <x:c r="N1587" s="16" t="str">
        <x:v>Urgent</x:v>
      </x:c>
    </x:row>
    <x:row r="1588" ht="41" customHeight="1">
      <x:c r="A1588" s="16" t="str">
        <x:v>RAW-01582</x:v>
      </x:c>
      <x:c r="B1588" s="16" t="str">
        <x:v>Recommendation</x:v>
      </x:c>
      <x:c r="C1588" s="16" t="str">
        <x:v>– Column to be replaced. Shade structure shall be removed and pool closed to the public until column is replaced.</x:v>
      </x:c>
      <x:c r="D1588" s="16" t="str">
        <x:v>Shade structure 1 over children’s pool</x:v>
      </x:c>
      <x:c r="E1588" s="16" t="str">
        <x:v>SRC-093</x:v>
      </x:c>
      <x:c r="F1588" s="16" t="str">
        <x:v>REC-0029</x:v>
      </x:c>
      <x:c r="G1588" s="16" t="str">
        <x:v>审阅或辅助文档</x:v>
      </x:c>
      <x:c r="H1588" s="19" t="n">
        <x:v>3</x:v>
      </x:c>
      <x:c r="I1588" s="19" t="n">
        <x:v>7</x:v>
      </x:c>
      <x:c r="J1588" s="19" t="n">
        <x:v>2</x:v>
      </x:c>
      <x:c r="K1588" s="16" t="str">
        <x:v>7. Very severe deterioration</x:v>
      </x:c>
      <x:c r="L1588" s="16" t="str">
        <x:v>Very likely</x:v>
      </x:c>
      <x:c r="M1588" s="16" t="str">
        <x:v>Severe</x:v>
      </x:c>
      <x:c r="N1588" s="16" t="str">
        <x:v>Urgent</x:v>
      </x:c>
    </x:row>
    <x:row r="1589" ht="41" customHeight="1">
      <x:c r="A1589" s="16" t="str">
        <x:v>RAW-01583</x:v>
      </x:c>
      <x:c r="B1589" s="16" t="str">
        <x:v>Observation</x:v>
      </x:c>
      <x:c r="C1589" s="16" t="str">
        <x:v>– Column 1. Major corrosion of the connection.</x:v>
      </x:c>
      <x:c r="D1589" s="16" t="str">
        <x:v>Shade structure 1 over children’s pool</x:v>
      </x:c>
      <x:c r="E1589" s="16" t="str">
        <x:v>SRC-093</x:v>
      </x:c>
      <x:c r="F1589" s="16" t="str">
        <x:v>OBS-0190</x:v>
      </x:c>
      <x:c r="G1589" s="16" t="str">
        <x:v>审阅或辅助文档</x:v>
      </x:c>
      <x:c r="H1589" s="19" t="n">
        <x:v>3</x:v>
      </x:c>
      <x:c r="I1589" s="19" t="n">
        <x:v>9</x:v>
      </x:c>
      <x:c r="J1589" s="19" t="n">
        <x:v>1</x:v>
      </x:c>
      <x:c r="K1589" s="16" t="str">
        <x:v>7. Very severe deterioration</x:v>
      </x:c>
      <x:c r="L1589" s="16" t="str">
        <x:v>Very likely</x:v>
      </x:c>
      <x:c r="M1589" s="16" t="str">
        <x:v>Severe</x:v>
      </x:c>
      <x:c r="N1589" s="16" t="str">
        <x:v>Urgent</x:v>
      </x:c>
    </x:row>
    <x:row r="1590" ht="41" customHeight="1">
      <x:c r="A1590" s="16" t="str">
        <x:v>RAW-01584</x:v>
      </x:c>
      <x:c r="B1590" s="16" t="str">
        <x:v>Recommendation</x:v>
      </x:c>
      <x:c r="C1590" s="16" t="str">
        <x:v>– Column to be replaced. Shade structure shall be removed and pool closed to the public until column is replaced.</x:v>
      </x:c>
      <x:c r="D1590" s="16" t="str">
        <x:v>Shade structure 1 over children’s pool</x:v>
      </x:c>
      <x:c r="E1590" s="16" t="str">
        <x:v>SRC-093</x:v>
      </x:c>
      <x:c r="F1590" s="16" t="str">
        <x:v>REC-0029</x:v>
      </x:c>
      <x:c r="G1590" s="16" t="str">
        <x:v>审阅或辅助文档</x:v>
      </x:c>
      <x:c r="H1590" s="19" t="n">
        <x:v>3</x:v>
      </x:c>
      <x:c r="I1590" s="19" t="n">
        <x:v>9</x:v>
      </x:c>
      <x:c r="J1590" s="19" t="n">
        <x:v>1</x:v>
      </x:c>
      <x:c r="K1590" s="16" t="str">
        <x:v>7. Very severe deterioration</x:v>
      </x:c>
      <x:c r="L1590" s="16" t="str">
        <x:v>Very likely</x:v>
      </x:c>
      <x:c r="M1590" s="16" t="str">
        <x:v>Severe</x:v>
      </x:c>
      <x:c r="N1590" s="16" t="str">
        <x:v>Urgent</x:v>
      </x:c>
    </x:row>
    <x:row r="1591" ht="41" customHeight="1">
      <x:c r="A1591" s="16" t="str">
        <x:v>RAW-01585</x:v>
      </x:c>
      <x:c r="B1591" s="16" t="str">
        <x:v>Observation</x:v>
      </x:c>
      <x:c r="C1591" s="16" t="str">
        <x:v>– Column 4.</x:v>
      </x:c>
      <x:c r="D1591" s="16" t="str">
        <x:v>Shade structure 1 over children’s pool</x:v>
      </x:c>
      <x:c r="E1591" s="16" t="str">
        <x:v>SRC-093</x:v>
      </x:c>
      <x:c r="F1591" s="16" t="str"/>
      <x:c r="G1591" s="16" t="str">
        <x:v>审阅或辅助文档</x:v>
      </x:c>
      <x:c r="H1591" s="19" t="n">
        <x:v>3</x:v>
      </x:c>
      <x:c r="I1591" s="19" t="n">
        <x:v>10</x:v>
      </x:c>
      <x:c r="J1591" s="19" t="n">
        <x:v>1</x:v>
      </x:c>
      <x:c r="K1591" s="16" t="str">
        <x:v>7. Very severe deterioration</x:v>
      </x:c>
      <x:c r="L1591" s="16" t="str">
        <x:v>Very likely</x:v>
      </x:c>
      <x:c r="M1591" s="16" t="str">
        <x:v>Severe</x:v>
      </x:c>
      <x:c r="N1591" s="16" t="str">
        <x:v>Urgent</x:v>
      </x:c>
    </x:row>
    <x:row r="1592" ht="41" customHeight="1">
      <x:c r="A1592" s="16" t="str">
        <x:v>RAW-01586</x:v>
      </x:c>
      <x:c r="B1592" s="16" t="str">
        <x:v>Observation</x:v>
      </x:c>
      <x:c r="C1592" s="16" t="str">
        <x:v>– Column 4. Minor corrosion of the connection.</x:v>
      </x:c>
      <x:c r="D1592" s="16" t="str">
        <x:v>Shade structure 1 over children’s pool</x:v>
      </x:c>
      <x:c r="E1592" s="16" t="str">
        <x:v>SRC-093</x:v>
      </x:c>
      <x:c r="F1592" s="16" t="str">
        <x:v>OBS-0204</x:v>
      </x:c>
      <x:c r="G1592" s="16" t="str">
        <x:v>审阅或辅助文档</x:v>
      </x:c>
      <x:c r="H1592" s="19" t="n">
        <x:v>3</x:v>
      </x:c>
      <x:c r="I1592" s="19" t="n">
        <x:v>11</x:v>
      </x:c>
      <x:c r="J1592" s="19" t="n">
        <x:v>1</x:v>
      </x:c>
      <x:c r="K1592" s="16" t="str">
        <x:v>7. Very severe deterioration</x:v>
      </x:c>
      <x:c r="L1592" s="16" t="str">
        <x:v>Very likely</x:v>
      </x:c>
      <x:c r="M1592" s="16" t="str">
        <x:v>Severe</x:v>
      </x:c>
      <x:c r="N1592" s="16" t="str">
        <x:v>Urgent</x:v>
      </x:c>
    </x:row>
    <x:row r="1593" ht="41" customHeight="1">
      <x:c r="A1593" s="16" t="str">
        <x:v>RAW-01587</x:v>
      </x:c>
      <x:c r="B1593" s="16" t="str">
        <x:v>Recommendation</x:v>
      </x:c>
      <x:c r="C1593" s="16" t="str">
        <x:v>– Clean, remove corrosion and repaint.</x:v>
      </x:c>
      <x:c r="D1593" s="16" t="str">
        <x:v>Shade structure 1 over children’s pool</x:v>
      </x:c>
      <x:c r="E1593" s="16" t="str">
        <x:v>SRC-093</x:v>
      </x:c>
      <x:c r="F1593" s="16" t="str">
        <x:v>REC-0002</x:v>
      </x:c>
      <x:c r="G1593" s="16" t="str">
        <x:v>审阅或辅助文档</x:v>
      </x:c>
      <x:c r="H1593" s="19" t="n">
        <x:v>3</x:v>
      </x:c>
      <x:c r="I1593" s="19" t="n">
        <x:v>11</x:v>
      </x:c>
      <x:c r="J1593" s="19" t="n">
        <x:v>1</x:v>
      </x:c>
      <x:c r="K1593" s="16" t="str">
        <x:v>7. Very severe deterioration</x:v>
      </x:c>
      <x:c r="L1593" s="16" t="str">
        <x:v>Very likely</x:v>
      </x:c>
      <x:c r="M1593" s="16" t="str">
        <x:v>Severe</x:v>
      </x:c>
      <x:c r="N1593" s="16" t="str">
        <x:v>Urgent</x:v>
      </x:c>
    </x:row>
    <x:row r="1594" ht="41" customHeight="1">
      <x:c r="A1594" s="16" t="str">
        <x:v>RAW-01588</x:v>
      </x:c>
      <x:c r="B1594" s="16" t="str">
        <x:v>Observation</x:v>
      </x:c>
      <x:c r="C1594" s="16" t="str">
        <x:v>– Column 3 overview.</x:v>
      </x:c>
      <x:c r="D1594" s="16" t="str">
        <x:v>Shade structure 1 over children’s pool</x:v>
      </x:c>
      <x:c r="E1594" s="16" t="str">
        <x:v>SRC-093</x:v>
      </x:c>
      <x:c r="F1594" s="16" t="str"/>
      <x:c r="G1594" s="16" t="str">
        <x:v>审阅或辅助文档</x:v>
      </x:c>
      <x:c r="H1594" s="19" t="n">
        <x:v>3</x:v>
      </x:c>
      <x:c r="I1594" s="19" t="n">
        <x:v>12</x:v>
      </x:c>
      <x:c r="J1594" s="19" t="n">
        <x:v>1</x:v>
      </x:c>
      <x:c r="K1594" s="16" t="str">
        <x:v>7. Very severe deterioration</x:v>
      </x:c>
      <x:c r="L1594" s="16" t="str">
        <x:v>Very likely</x:v>
      </x:c>
      <x:c r="M1594" s="16" t="str">
        <x:v>Severe</x:v>
      </x:c>
      <x:c r="N1594" s="16" t="str">
        <x:v>Urgent</x:v>
      </x:c>
    </x:row>
    <x:row r="1595" ht="41" customHeight="1">
      <x:c r="A1595" s="16" t="str">
        <x:v>RAW-01589</x:v>
      </x:c>
      <x:c r="B1595" s="16" t="str">
        <x:v>Observation</x:v>
      </x:c>
      <x:c r="C1595" s="16" t="str">
        <x:v>– Column 3. Minor corrosion of the connection.</x:v>
      </x:c>
      <x:c r="D1595" s="16" t="str">
        <x:v>Shade structure 1 over children’s pool</x:v>
      </x:c>
      <x:c r="E1595" s="16" t="str">
        <x:v>SRC-093</x:v>
      </x:c>
      <x:c r="F1595" s="16" t="str"/>
      <x:c r="G1595" s="16" t="str">
        <x:v>审阅或辅助文档</x:v>
      </x:c>
      <x:c r="H1595" s="19" t="n">
        <x:v>3</x:v>
      </x:c>
      <x:c r="I1595" s="19" t="n">
        <x:v>13</x:v>
      </x:c>
      <x:c r="J1595" s="19" t="n">
        <x:v>1</x:v>
      </x:c>
      <x:c r="K1595" s="16" t="str">
        <x:v>7. Very severe deterioration</x:v>
      </x:c>
      <x:c r="L1595" s="16" t="str">
        <x:v>Very likely</x:v>
      </x:c>
      <x:c r="M1595" s="16" t="str">
        <x:v>Severe</x:v>
      </x:c>
      <x:c r="N1595" s="16" t="str">
        <x:v>Urgent</x:v>
      </x:c>
    </x:row>
    <x:row r="1596" ht="41" customHeight="1">
      <x:c r="A1596" s="16" t="str">
        <x:v>RAW-01590</x:v>
      </x:c>
      <x:c r="B1596" s="16" t="str">
        <x:v>Recommendation</x:v>
      </x:c>
      <x:c r="C1596" s="16" t="str">
        <x:v>– Clean, remove corrosion and repaint.</x:v>
      </x:c>
      <x:c r="D1596" s="16" t="str">
        <x:v>Shade structure 1 over children’s pool</x:v>
      </x:c>
      <x:c r="E1596" s="16" t="str">
        <x:v>SRC-093</x:v>
      </x:c>
      <x:c r="F1596" s="16" t="str">
        <x:v>REC-0002</x:v>
      </x:c>
      <x:c r="G1596" s="16" t="str">
        <x:v>审阅或辅助文档</x:v>
      </x:c>
      <x:c r="H1596" s="19" t="n">
        <x:v>3</x:v>
      </x:c>
      <x:c r="I1596" s="19" t="n">
        <x:v>13</x:v>
      </x:c>
      <x:c r="J1596" s="19" t="n">
        <x:v>1</x:v>
      </x:c>
      <x:c r="K1596" s="16" t="str">
        <x:v>7. Very severe deterioration</x:v>
      </x:c>
      <x:c r="L1596" s="16" t="str">
        <x:v>Very likely</x:v>
      </x:c>
      <x:c r="M1596" s="16" t="str">
        <x:v>Severe</x:v>
      </x:c>
      <x:c r="N1596" s="16" t="str">
        <x:v>Urgent</x:v>
      </x:c>
    </x:row>
    <x:row r="1597" ht="37" customHeight="1">
      <x:c r="A1597" s="16" t="str">
        <x:v>RAW-01591</x:v>
      </x:c>
      <x:c r="B1597" s="16" t="str">
        <x:v>Observation</x:v>
      </x:c>
      <x:c r="C1597" s="16" t="str">
        <x:v>– Overview of columns used for shade structure.</x:v>
      </x:c>
      <x:c r="D1597" s="16" t="str">
        <x:v>Shade structure 2 columns</x:v>
      </x:c>
      <x:c r="E1597" s="16" t="str">
        <x:v>SRC-093</x:v>
      </x:c>
      <x:c r="F1597" s="16" t="str">
        <x:v>OBS-0426</x:v>
      </x:c>
      <x:c r="G1597" s="16" t="str">
        <x:v>审阅或辅助文档</x:v>
      </x:c>
      <x:c r="H1597" s="19" t="n">
        <x:v>4</x:v>
      </x:c>
      <x:c r="I1597" s="19" t="n">
        <x:v>6</x:v>
      </x:c>
      <x:c r="J1597" s="19" t="n">
        <x:v>1</x:v>
      </x:c>
      <x:c r="K1597" s="16" t="str">
        <x:v>7. Very severe deterioration</x:v>
      </x:c>
      <x:c r="L1597" s="16" t="str">
        <x:v>Very likely</x:v>
      </x:c>
      <x:c r="M1597" s="16" t="str">
        <x:v>Significant</x:v>
      </x:c>
      <x:c r="N1597" s="16" t="str">
        <x:v>Urgent</x:v>
      </x:c>
    </x:row>
    <x:row r="1598" ht="41" customHeight="1">
      <x:c r="A1598" s="16" t="str">
        <x:v>RAW-01592</x:v>
      </x:c>
      <x:c r="B1598" s="16" t="str">
        <x:v>Observation</x:v>
      </x:c>
      <x:c r="C1598" s="16" t="str">
        <x:v>– Column 2. Paint deterioration on column. Typical defect to all shade structure columns. Flaking corrosion towards lower section.</x:v>
      </x:c>
      <x:c r="D1598" s="16" t="str">
        <x:v>Shade structure 2 columns</x:v>
      </x:c>
      <x:c r="E1598" s="16" t="str">
        <x:v>SRC-093</x:v>
      </x:c>
      <x:c r="F1598" s="16" t="str"/>
      <x:c r="G1598" s="16" t="str">
        <x:v>审阅或辅助文档</x:v>
      </x:c>
      <x:c r="H1598" s="19" t="n">
        <x:v>4</x:v>
      </x:c>
      <x:c r="I1598" s="19" t="n">
        <x:v>7</x:v>
      </x:c>
      <x:c r="J1598" s="19" t="n">
        <x:v>2</x:v>
      </x:c>
      <x:c r="K1598" s="16" t="str">
        <x:v>7. Very severe deterioration</x:v>
      </x:c>
      <x:c r="L1598" s="16" t="str">
        <x:v>Very likely</x:v>
      </x:c>
      <x:c r="M1598" s="16" t="str">
        <x:v>Significant</x:v>
      </x:c>
      <x:c r="N1598" s="16" t="str">
        <x:v>Urgent</x:v>
      </x:c>
    </x:row>
    <x:row r="1599" ht="37" customHeight="1">
      <x:c r="A1599" s="16" t="str">
        <x:v>RAW-01593</x:v>
      </x:c>
      <x:c r="B1599" s="16" t="str">
        <x:v>Observation</x:v>
      </x:c>
      <x:c r="C1599" s="16" t="str">
        <x:v>– Column 4 has hole in column towards the bottom.</x:v>
      </x:c>
      <x:c r="D1599" s="16" t="str">
        <x:v>Shade structure 2 columns</x:v>
      </x:c>
      <x:c r="E1599" s="16" t="str">
        <x:v>SRC-093</x:v>
      </x:c>
      <x:c r="F1599" s="16" t="str">
        <x:v>OBS-0202</x:v>
      </x:c>
      <x:c r="G1599" s="16" t="str">
        <x:v>审阅或辅助文档</x:v>
      </x:c>
      <x:c r="H1599" s="19" t="n">
        <x:v>4</x:v>
      </x:c>
      <x:c r="I1599" s="19" t="n">
        <x:v>9</x:v>
      </x:c>
      <x:c r="J1599" s="19" t="n">
        <x:v>3</x:v>
      </x:c>
      <x:c r="K1599" s="16" t="str">
        <x:v>7. Very severe deterioration</x:v>
      </x:c>
      <x:c r="L1599" s="16" t="str">
        <x:v>Very likely</x:v>
      </x:c>
      <x:c r="M1599" s="16" t="str">
        <x:v>Significant</x:v>
      </x:c>
      <x:c r="N1599" s="16" t="str">
        <x:v>Urgent</x:v>
      </x:c>
    </x:row>
    <x:row r="1600" ht="37" customHeight="1">
      <x:c r="A1600" s="16" t="str">
        <x:v>RAW-01594</x:v>
      </x:c>
      <x:c r="B1600" s="16" t="str">
        <x:v>Recommendation</x:v>
      </x:c>
      <x:c r="C1600" s="16" t="str">
        <x:v>– Replace column. All columns to be excavated to the base investigate corrosion.</x:v>
      </x:c>
      <x:c r="D1600" s="16" t="str">
        <x:v>Shade structure 2 columns</x:v>
      </x:c>
      <x:c r="E1600" s="16" t="str">
        <x:v>SRC-093</x:v>
      </x:c>
      <x:c r="F1600" s="16" t="str"/>
      <x:c r="G1600" s="16" t="str">
        <x:v>审阅或辅助文档</x:v>
      </x:c>
      <x:c r="H1600" s="19" t="n">
        <x:v>4</x:v>
      </x:c>
      <x:c r="I1600" s="19" t="n">
        <x:v>9</x:v>
      </x:c>
      <x:c r="J1600" s="19" t="n">
        <x:v>3</x:v>
      </x:c>
      <x:c r="K1600" s="16" t="str">
        <x:v>7. Very severe deterioration</x:v>
      </x:c>
      <x:c r="L1600" s="16" t="str">
        <x:v>Very likely</x:v>
      </x:c>
      <x:c r="M1600" s="16" t="str">
        <x:v>Significant</x:v>
      </x:c>
      <x:c r="N1600" s="16" t="str">
        <x:v>Urgent</x:v>
      </x:c>
    </x:row>
    <x:row r="1601" ht="37" customHeight="1">
      <x:c r="A1601" s="16" t="str">
        <x:v>RAW-01595</x:v>
      </x:c>
      <x:c r="B1601" s="16" t="str">
        <x:v>Observation</x:v>
      </x:c>
      <x:c r="C1601" s="16" t="str">
        <x:v>– Post circled in red has completely separated due to corrosion. Images shown below.</x:v>
      </x:c>
      <x:c r="D1601" s="16" t="str">
        <x:v>Backstroke flag posts</x:v>
      </x:c>
      <x:c r="E1601" s="16" t="str">
        <x:v>SRC-093</x:v>
      </x:c>
      <x:c r="F1601" s="16" t="str">
        <x:v>OBS-0469</x:v>
      </x:c>
      <x:c r="G1601" s="16" t="str">
        <x:v>审阅或辅助文档</x:v>
      </x:c>
      <x:c r="H1601" s="19" t="n">
        <x:v>5</x:v>
      </x:c>
      <x:c r="I1601" s="19" t="n">
        <x:v>6</x:v>
      </x:c>
      <x:c r="J1601" s="19" t="n">
        <x:v>4</x:v>
      </x:c>
      <x:c r="K1601" s="16" t="str">
        <x:v>7. Very severe deterioration</x:v>
      </x:c>
      <x:c r="L1601" s="16" t="str">
        <x:v>Very likely</x:v>
      </x:c>
      <x:c r="M1601" s="16" t="str">
        <x:v>Moderate</x:v>
      </x:c>
      <x:c r="N1601" s="16" t="str">
        <x:v>Critical</x:v>
      </x:c>
    </x:row>
    <x:row r="1602" ht="37" customHeight="1">
      <x:c r="A1602" s="16" t="str">
        <x:v>RAW-01596</x:v>
      </x:c>
      <x:c r="B1602" s="16" t="str">
        <x:v>Recommendation</x:v>
      </x:c>
      <x:c r="C1602" s="16" t="str">
        <x:v>– Replace post.</x:v>
      </x:c>
      <x:c r="D1602" s="16" t="str">
        <x:v>Backstroke flag posts</x:v>
      </x:c>
      <x:c r="E1602" s="16" t="str">
        <x:v>SRC-093</x:v>
      </x:c>
      <x:c r="F1602" s="16" t="str">
        <x:v>REC-0042</x:v>
      </x:c>
      <x:c r="G1602" s="16" t="str">
        <x:v>审阅或辅助文档</x:v>
      </x:c>
      <x:c r="H1602" s="19" t="n">
        <x:v>5</x:v>
      </x:c>
      <x:c r="I1602" s="19" t="n">
        <x:v>6</x:v>
      </x:c>
      <x:c r="J1602" s="19" t="n">
        <x:v>4</x:v>
      </x:c>
      <x:c r="K1602" s="16" t="str">
        <x:v>7. Very severe deterioration</x:v>
      </x:c>
      <x:c r="L1602" s="16" t="str">
        <x:v>Very likely</x:v>
      </x:c>
      <x:c r="M1602" s="16" t="str">
        <x:v>Moderate</x:v>
      </x:c>
      <x:c r="N1602" s="16" t="str">
        <x:v>Critical</x:v>
      </x:c>
    </x:row>
    <x:row r="1603" ht="37" customHeight="1">
      <x:c r="A1603" s="16" t="str">
        <x:v>RAW-01597</x:v>
      </x:c>
      <x:c r="B1603" s="16" t="str">
        <x:v>Observation</x:v>
      </x:c>
      <x:c r="C1603" s="16" t="str">
        <x:v>– Right hand side fence facing the pool entrance.</x:v>
      </x:c>
      <x:c r="D1603" s="16" t="str">
        <x:v>Fence</x:v>
      </x:c>
      <x:c r="E1603" s="16" t="str">
        <x:v>SRC-093</x:v>
      </x:c>
      <x:c r="F1603" s="16" t="str">
        <x:v>OBS-0483</x:v>
      </x:c>
      <x:c r="G1603" s="16" t="str">
        <x:v>审阅或辅助文档</x:v>
      </x:c>
      <x:c r="H1603" s="19" t="n">
        <x:v>6</x:v>
      </x:c>
      <x:c r="I1603" s="19" t="n">
        <x:v>6</x:v>
      </x:c>
      <x:c r="J1603" s="19" t="n">
        <x:v>1</x:v>
      </x:c>
      <x:c r="K1603" s="16" t="str">
        <x:v>N/A</x:v>
      </x:c>
      <x:c r="L1603" s="16" t="str">
        <x:v>Likely</x:v>
      </x:c>
      <x:c r="M1603" s="16" t="str">
        <x:v>Significant</x:v>
      </x:c>
      <x:c r="N1603" s="16" t="str">
        <x:v>Critical</x:v>
      </x:c>
    </x:row>
    <x:row r="1604" ht="37" customHeight="1">
      <x:c r="A1604" s="16" t="str">
        <x:v>RAW-01598</x:v>
      </x:c>
      <x:c r="B1604" s="16" t="str">
        <x:v>Observation</x:v>
      </x:c>
      <x:c r="C1604" s="16" t="str">
        <x:v>– Deterioration of chain link fence coating.</x:v>
      </x:c>
      <x:c r="D1604" s="16" t="str">
        <x:v>Fence</x:v>
      </x:c>
      <x:c r="E1604" s="16" t="str">
        <x:v>SRC-093</x:v>
      </x:c>
      <x:c r="F1604" s="16" t="str">
        <x:v>OBS-0248</x:v>
      </x:c>
      <x:c r="G1604" s="16" t="str">
        <x:v>审阅或辅助文档</x:v>
      </x:c>
      <x:c r="H1604" s="19" t="n">
        <x:v>6</x:v>
      </x:c>
      <x:c r="I1604" s="19" t="n">
        <x:v>7</x:v>
      </x:c>
      <x:c r="J1604" s="19" t="n">
        <x:v>1</x:v>
      </x:c>
      <x:c r="K1604" s="16" t="str">
        <x:v>N/A</x:v>
      </x:c>
      <x:c r="L1604" s="16" t="str">
        <x:v>Likely</x:v>
      </x:c>
      <x:c r="M1604" s="16" t="str">
        <x:v>Significant</x:v>
      </x:c>
      <x:c r="N1604" s="16" t="str">
        <x:v>Critical</x:v>
      </x:c>
    </x:row>
    <x:row r="1605" ht="37" customHeight="1">
      <x:c r="A1605" s="16" t="str">
        <x:v>RAW-01599</x:v>
      </x:c>
      <x:c r="B1605" s="16" t="str">
        <x:v>Observation</x:v>
      </x:c>
      <x:c r="C1605" s="16" t="str">
        <x:v>– Connection between fencing frame and mesh has detached.</x:v>
      </x:c>
      <x:c r="D1605" s="16" t="str">
        <x:v>Fence</x:v>
      </x:c>
      <x:c r="E1605" s="16" t="str">
        <x:v>SRC-093</x:v>
      </x:c>
      <x:c r="F1605" s="16" t="str">
        <x:v>OBS-0218</x:v>
      </x:c>
      <x:c r="G1605" s="16" t="str">
        <x:v>审阅或辅助文档</x:v>
      </x:c>
      <x:c r="H1605" s="19" t="n">
        <x:v>6</x:v>
      </x:c>
      <x:c r="I1605" s="19" t="n">
        <x:v>8</x:v>
      </x:c>
      <x:c r="J1605" s="19" t="n">
        <x:v>1</x:v>
      </x:c>
      <x:c r="K1605" s="16" t="str">
        <x:v>N/A</x:v>
      </x:c>
      <x:c r="L1605" s="16" t="str">
        <x:v>Likely</x:v>
      </x:c>
      <x:c r="M1605" s="16" t="str">
        <x:v>Significant</x:v>
      </x:c>
      <x:c r="N1605" s="16" t="str">
        <x:v>Critical</x:v>
      </x:c>
    </x:row>
    <x:row r="1606" ht="41" customHeight="1">
      <x:c r="A1606" s="16" t="str">
        <x:v>RAW-01600</x:v>
      </x:c>
      <x:c r="B1606" s="16" t="str">
        <x:v>Observation</x:v>
      </x:c>
      <x:c r="C1606" s="16" t="str">
        <x:v>– Large pit adjacent to fence. The fence allows sufficient clearance for individuals to slide underneath and access the pit, presenting a significant risk of injury in the event of a fall</x:v>
      </x:c>
      <x:c r="D1606" s="16" t="str">
        <x:v>Fence</x:v>
      </x:c>
      <x:c r="E1606" s="16" t="str">
        <x:v>SRC-093</x:v>
      </x:c>
      <x:c r="F1606" s="16" t="str">
        <x:v>OBS-0334</x:v>
      </x:c>
      <x:c r="G1606" s="16" t="str">
        <x:v>审阅或辅助文档</x:v>
      </x:c>
      <x:c r="H1606" s="19" t="n">
        <x:v>6</x:v>
      </x:c>
      <x:c r="I1606" s="19" t="n">
        <x:v>9</x:v>
      </x:c>
      <x:c r="J1606" s="19" t="n">
        <x:v>1</x:v>
      </x:c>
      <x:c r="K1606" s="16" t="str">
        <x:v>N/A</x:v>
      </x:c>
      <x:c r="L1606" s="16" t="str">
        <x:v>Likely</x:v>
      </x:c>
      <x:c r="M1606" s="16" t="str">
        <x:v>Significant</x:v>
      </x:c>
      <x:c r="N1606" s="16" t="str">
        <x:v>Critical</x:v>
      </x:c>
    </x:row>
    <x:row r="1607" ht="37" customHeight="1">
      <x:c r="A1607" s="16" t="str">
        <x:v>RAW-01601</x:v>
      </x:c>
      <x:c r="B1607" s="16" t="str">
        <x:v>Recommendation</x:v>
      </x:c>
      <x:c r="C1607" s="16" t="str">
        <x:v>– reattach fencing to frame.</x:v>
      </x:c>
      <x:c r="D1607" s="16" t="str">
        <x:v>Fence</x:v>
      </x:c>
      <x:c r="E1607" s="16" t="str">
        <x:v>SRC-093</x:v>
      </x:c>
      <x:c r="F1607" s="16" t="str">
        <x:v>REC-0117</x:v>
      </x:c>
      <x:c r="G1607" s="16" t="str">
        <x:v>审阅或辅助文档</x:v>
      </x:c>
      <x:c r="H1607" s="19" t="n">
        <x:v>6</x:v>
      </x:c>
      <x:c r="I1607" s="19" t="n">
        <x:v>9</x:v>
      </x:c>
      <x:c r="J1607" s="19" t="n">
        <x:v>1</x:v>
      </x:c>
      <x:c r="K1607" s="16" t="str">
        <x:v>N/A</x:v>
      </x:c>
      <x:c r="L1607" s="16" t="str">
        <x:v>Likely</x:v>
      </x:c>
      <x:c r="M1607" s="16" t="str">
        <x:v>Significant</x:v>
      </x:c>
      <x:c r="N1607" s="16" t="str">
        <x:v>Critical</x:v>
      </x:c>
    </x:row>
    <x:row r="1608" ht="37" customHeight="1">
      <x:c r="A1608" s="16" t="str">
        <x:v>RAW-01602</x:v>
      </x:c>
      <x:c r="B1608" s="16" t="str">
        <x:v>Observation</x:v>
      </x:c>
      <x:c r="C1608" s="16" t="str">
        <x:v>– Shower column has failed with hole through the lower section.</x:v>
      </x:c>
      <x:c r="D1608" s="16" t="str">
        <x:v>Shower post</x:v>
      </x:c>
      <x:c r="E1608" s="16" t="str">
        <x:v>SRC-093</x:v>
      </x:c>
      <x:c r="F1608" s="16" t="str"/>
      <x:c r="G1608" s="16" t="str">
        <x:v>审阅或辅助文档</x:v>
      </x:c>
      <x:c r="H1608" s="19" t="n">
        <x:v>8</x:v>
      </x:c>
      <x:c r="I1608" s="19" t="n">
        <x:v>6</x:v>
      </x:c>
      <x:c r="J1608" s="19" t="n">
        <x:v>2</x:v>
      </x:c>
      <x:c r="K1608" s="16" t="str">
        <x:v>7. Very severe deterioration</x:v>
      </x:c>
      <x:c r="L1608" s="16" t="str">
        <x:v>Very likely</x:v>
      </x:c>
      <x:c r="M1608" s="16" t="str">
        <x:v>Moderate</x:v>
      </x:c>
      <x:c r="N1608" s="16" t="str">
        <x:v>Critical</x:v>
      </x:c>
    </x:row>
    <x:row r="1609" ht="37" customHeight="1">
      <x:c r="A1609" s="16" t="str">
        <x:v>RAW-01603</x:v>
      </x:c>
      <x:c r="B1609" s="16" t="str">
        <x:v>Recommendation</x:v>
      </x:c>
      <x:c r="C1609" s="16" t="str">
        <x:v>– Replace post.</x:v>
      </x:c>
      <x:c r="D1609" s="16" t="str">
        <x:v>Shower post</x:v>
      </x:c>
      <x:c r="E1609" s="16" t="str">
        <x:v>SRC-093</x:v>
      </x:c>
      <x:c r="F1609" s="16" t="str">
        <x:v>REC-0042</x:v>
      </x:c>
      <x:c r="G1609" s="16" t="str">
        <x:v>审阅或辅助文档</x:v>
      </x:c>
      <x:c r="H1609" s="19" t="n">
        <x:v>8</x:v>
      </x:c>
      <x:c r="I1609" s="19" t="n">
        <x:v>6</x:v>
      </x:c>
      <x:c r="J1609" s="19" t="n">
        <x:v>2</x:v>
      </x:c>
      <x:c r="K1609" s="16" t="str">
        <x:v>7. Very severe deterioration</x:v>
      </x:c>
      <x:c r="L1609" s="16" t="str">
        <x:v>Very likely</x:v>
      </x:c>
      <x:c r="M1609" s="16" t="str">
        <x:v>Moderate</x:v>
      </x:c>
      <x:c r="N1609" s="16" t="str">
        <x:v>Critical</x:v>
      </x:c>
    </x:row>
    <x:row r="1610" ht="41" customHeight="1">
      <x:c r="A1610" s="16" t="str">
        <x:v>RAW-01604</x:v>
      </x:c>
      <x:c r="B1610" s="16" t="str">
        <x:v>Observation</x:v>
      </x:c>
      <x:c r="C1610" s="16" t="str">
        <x:v>– Front verandah columns of fitness centre. Flaking corrosion and paint deterioration towards lower section.</x:v>
      </x:c>
      <x:c r="D1610" s="16" t="str">
        <x:v>Front verandah columns</x:v>
      </x:c>
      <x:c r="E1610" s="16" t="str">
        <x:v>SRC-093</x:v>
      </x:c>
      <x:c r="F1610" s="16" t="str"/>
      <x:c r="G1610" s="16" t="str">
        <x:v>审阅或辅助文档</x:v>
      </x:c>
      <x:c r="H1610" s="19" t="n">
        <x:v>9</x:v>
      </x:c>
      <x:c r="I1610" s="19" t="n">
        <x:v>6</x:v>
      </x:c>
      <x:c r="J1610" s="19" t="n">
        <x:v>1</x:v>
      </x:c>
      <x:c r="K1610" s="16" t="str">
        <x:v>5. Major deterioration</x:v>
      </x:c>
      <x:c r="L1610" s="16" t="str">
        <x:v>Likely</x:v>
      </x:c>
      <x:c r="M1610" s="16" t="str">
        <x:v>Significant</x:v>
      </x:c>
      <x:c r="N1610" s="16" t="str">
        <x:v>Critical</x:v>
      </x:c>
    </x:row>
    <x:row r="1611" ht="41" customHeight="1">
      <x:c r="A1611" s="16" t="str">
        <x:v>RAW-01605</x:v>
      </x:c>
      <x:c r="B1611" s="16" t="str">
        <x:v>Recommendation</x:v>
      </x:c>
      <x:c r="C1611" s="16" t="str">
        <x:v>– All columns to be excavated 300 mm below ground level to investigate corrosion. Clean, remove corrosion and repaint.</x:v>
      </x:c>
      <x:c r="D1611" s="16" t="str">
        <x:v>Front verandah columns</x:v>
      </x:c>
      <x:c r="E1611" s="16" t="str">
        <x:v>SRC-093</x:v>
      </x:c>
      <x:c r="F1611" s="16" t="str">
        <x:v>REC-0045</x:v>
      </x:c>
      <x:c r="G1611" s="16" t="str">
        <x:v>审阅或辅助文档</x:v>
      </x:c>
      <x:c r="H1611" s="19" t="n">
        <x:v>9</x:v>
      </x:c>
      <x:c r="I1611" s="19" t="n">
        <x:v>6</x:v>
      </x:c>
      <x:c r="J1611" s="19" t="n">
        <x:v>1</x:v>
      </x:c>
      <x:c r="K1611" s="16" t="str">
        <x:v>5. Major deterioration</x:v>
      </x:c>
      <x:c r="L1611" s="16" t="str">
        <x:v>Likely</x:v>
      </x:c>
      <x:c r="M1611" s="16" t="str">
        <x:v>Significant</x:v>
      </x:c>
      <x:c r="N1611" s="16" t="str">
        <x:v>Critical</x:v>
      </x:c>
    </x:row>
    <x:row r="1612" ht="37" customHeight="1">
      <x:c r="A1612" s="16" t="str">
        <x:v>RAW-01606</x:v>
      </x:c>
      <x:c r="B1612" s="16" t="str">
        <x:v>Observation</x:v>
      </x:c>
      <x:c r="C1612" s="16" t="str">
        <x:v>– Column 2. Flaking corrosion towards the lower section of column.</x:v>
      </x:c>
      <x:c r="D1612" s="16" t="str">
        <x:v>Front verandah columns</x:v>
      </x:c>
      <x:c r="E1612" s="16" t="str">
        <x:v>SRC-093</x:v>
      </x:c>
      <x:c r="F1612" s="16" t="str"/>
      <x:c r="G1612" s="16" t="str">
        <x:v>审阅或辅助文档</x:v>
      </x:c>
      <x:c r="H1612" s="19" t="n">
        <x:v>9</x:v>
      </x:c>
      <x:c r="I1612" s="19" t="n">
        <x:v>7</x:v>
      </x:c>
      <x:c r="J1612" s="19" t="n">
        <x:v>1</x:v>
      </x:c>
      <x:c r="K1612" s="16" t="str">
        <x:v>5. Major deterioration</x:v>
      </x:c>
      <x:c r="L1612" s="16" t="str">
        <x:v>Likely</x:v>
      </x:c>
      <x:c r="M1612" s="16" t="str">
        <x:v>Significant</x:v>
      </x:c>
      <x:c r="N1612" s="16" t="str">
        <x:v>Critical</x:v>
      </x:c>
    </x:row>
    <x:row r="1613" ht="37" customHeight="1">
      <x:c r="A1613" s="16" t="str">
        <x:v>RAW-01607</x:v>
      </x:c>
      <x:c r="B1613" s="16" t="str">
        <x:v>Observation</x:v>
      </x:c>
      <x:c r="C1613" s="16" t="str">
        <x:v>– Column 1. Paint deterioration.</x:v>
      </x:c>
      <x:c r="D1613" s="16" t="str">
        <x:v>Front verandah columns</x:v>
      </x:c>
      <x:c r="E1613" s="16" t="str">
        <x:v>SRC-093</x:v>
      </x:c>
      <x:c r="F1613" s="16" t="str">
        <x:v>OBS-0191</x:v>
      </x:c>
      <x:c r="G1613" s="16" t="str">
        <x:v>审阅或辅助文档</x:v>
      </x:c>
      <x:c r="H1613" s="19" t="n">
        <x:v>9</x:v>
      </x:c>
      <x:c r="I1613" s="19" t="n">
        <x:v>8</x:v>
      </x:c>
      <x:c r="J1613" s="19" t="n">
        <x:v>1</x:v>
      </x:c>
      <x:c r="K1613" s="16" t="str">
        <x:v>5. Major deterioration</x:v>
      </x:c>
      <x:c r="L1613" s="16" t="str">
        <x:v>Likely</x:v>
      </x:c>
      <x:c r="M1613" s="16" t="str">
        <x:v>Significant</x:v>
      </x:c>
      <x:c r="N1613" s="16" t="str">
        <x:v>Critical</x:v>
      </x:c>
    </x:row>
    <x:row r="1614" ht="37" customHeight="1">
      <x:c r="A1614" s="16" t="str">
        <x:v>RAW-01608</x:v>
      </x:c>
      <x:c r="B1614" s="16" t="str">
        <x:v>Observation</x:v>
      </x:c>
      <x:c r="C1614" s="16" t="str">
        <x:v>–Column 3. Flaking corrosion towards the lower section of column.</x:v>
      </x:c>
      <x:c r="D1614" s="16" t="str">
        <x:v>Front verandah columns</x:v>
      </x:c>
      <x:c r="E1614" s="16" t="str">
        <x:v>SRC-093</x:v>
      </x:c>
      <x:c r="F1614" s="16" t="str"/>
      <x:c r="G1614" s="16" t="str">
        <x:v>审阅或辅助文档</x:v>
      </x:c>
      <x:c r="H1614" s="19" t="n">
        <x:v>9</x:v>
      </x:c>
      <x:c r="I1614" s="19" t="n">
        <x:v>9</x:v>
      </x:c>
      <x:c r="J1614" s="19" t="n">
        <x:v>1</x:v>
      </x:c>
      <x:c r="K1614" s="16" t="str">
        <x:v>5. Major deterioration</x:v>
      </x:c>
      <x:c r="L1614" s="16" t="str">
        <x:v>Likely</x:v>
      </x:c>
      <x:c r="M1614" s="16" t="str">
        <x:v>Significant</x:v>
      </x:c>
      <x:c r="N1614" s="16" t="str">
        <x:v>Critical</x:v>
      </x:c>
    </x:row>
    <x:row r="1615" ht="37" customHeight="1">
      <x:c r="A1615" s="16" t="str">
        <x:v>RAW-01609</x:v>
      </x:c>
      <x:c r="B1615" s="16" t="str">
        <x:v>Observation</x:v>
      </x:c>
      <x:c r="C1615" s="16" t="str">
        <x:v>– Shade structure column.</x:v>
      </x:c>
      <x:c r="D1615" s="16" t="str">
        <x:v>Shade structure 3 column</x:v>
      </x:c>
      <x:c r="E1615" s="16" t="str">
        <x:v>SRC-093</x:v>
      </x:c>
      <x:c r="F1615" s="16" t="str">
        <x:v>OBS-0562</x:v>
      </x:c>
      <x:c r="G1615" s="16" t="str">
        <x:v>审阅或辅助文档</x:v>
      </x:c>
      <x:c r="H1615" s="19" t="n">
        <x:v>10</x:v>
      </x:c>
      <x:c r="I1615" s="19" t="n">
        <x:v>6</x:v>
      </x:c>
      <x:c r="J1615" s="19" t="n">
        <x:v>1</x:v>
      </x:c>
      <x:c r="K1615" s="16" t="str">
        <x:v>5. Major deterioration</x:v>
      </x:c>
      <x:c r="L1615" s="16" t="str">
        <x:v>Likely</x:v>
      </x:c>
      <x:c r="M1615" s="16" t="str">
        <x:v>Significant</x:v>
      </x:c>
      <x:c r="N1615" s="16" t="str">
        <x:v>Critical</x:v>
      </x:c>
    </x:row>
    <x:row r="1616" ht="37" customHeight="1">
      <x:c r="A1616" s="16" t="str">
        <x:v>RAW-01610</x:v>
      </x:c>
      <x:c r="B1616" s="16" t="str">
        <x:v>Observation</x:v>
      </x:c>
      <x:c r="C1616" s="16" t="str">
        <x:v>– Hole in column.</x:v>
      </x:c>
      <x:c r="D1616" s="16" t="str">
        <x:v>Shade structure 3 column</x:v>
      </x:c>
      <x:c r="E1616" s="16" t="str">
        <x:v>SRC-093</x:v>
      </x:c>
      <x:c r="F1616" s="16" t="str">
        <x:v>OBS-0325</x:v>
      </x:c>
      <x:c r="G1616" s="16" t="str">
        <x:v>审阅或辅助文档</x:v>
      </x:c>
      <x:c r="H1616" s="19" t="n">
        <x:v>10</x:v>
      </x:c>
      <x:c r="I1616" s="19" t="n">
        <x:v>7</x:v>
      </x:c>
      <x:c r="J1616" s="19" t="n">
        <x:v>1</x:v>
      </x:c>
      <x:c r="K1616" s="16" t="str">
        <x:v>5. Major deterioration</x:v>
      </x:c>
      <x:c r="L1616" s="16" t="str">
        <x:v>Likely</x:v>
      </x:c>
      <x:c r="M1616" s="16" t="str">
        <x:v>Significant</x:v>
      </x:c>
      <x:c r="N1616" s="16" t="str">
        <x:v>Critical</x:v>
      </x:c>
    </x:row>
    <x:row r="1617" ht="37" customHeight="1">
      <x:c r="A1617" s="16" t="str">
        <x:v>RAW-01611</x:v>
      </x:c>
      <x:c r="B1617" s="16" t="str">
        <x:v>Recommendation</x:v>
      </x:c>
      <x:c r="C1617" s="16" t="str">
        <x:v>– Cover hole to prevent water ingress.</x:v>
      </x:c>
      <x:c r="D1617" s="16" t="str">
        <x:v>Shade structure 3 column</x:v>
      </x:c>
      <x:c r="E1617" s="16" t="str">
        <x:v>SRC-093</x:v>
      </x:c>
      <x:c r="F1617" s="16" t="str">
        <x:v>REC-0085</x:v>
      </x:c>
      <x:c r="G1617" s="16" t="str">
        <x:v>审阅或辅助文档</x:v>
      </x:c>
      <x:c r="H1617" s="19" t="n">
        <x:v>10</x:v>
      </x:c>
      <x:c r="I1617" s="19" t="n">
        <x:v>7</x:v>
      </x:c>
      <x:c r="J1617" s="19" t="n">
        <x:v>1</x:v>
      </x:c>
      <x:c r="K1617" s="16" t="str">
        <x:v>5. Major deterioration</x:v>
      </x:c>
      <x:c r="L1617" s="16" t="str">
        <x:v>Likely</x:v>
      </x:c>
      <x:c r="M1617" s="16" t="str">
        <x:v>Significant</x:v>
      </x:c>
      <x:c r="N1617" s="16" t="str">
        <x:v>Critical</x:v>
      </x:c>
    </x:row>
    <x:row r="1618" ht="37" customHeight="1">
      <x:c r="A1618" s="16" t="str">
        <x:v>RAW-01612</x:v>
      </x:c>
      <x:c r="B1618" s="16" t="str">
        <x:v>Observation</x:v>
      </x:c>
      <x:c r="C1618" s="16" t="str">
        <x:v>– Blistering corrosion towards lower section of the column.</x:v>
      </x:c>
      <x:c r="D1618" s="16" t="str">
        <x:v>Shade structure 3 column</x:v>
      </x:c>
      <x:c r="E1618" s="16" t="str">
        <x:v>SRC-093</x:v>
      </x:c>
      <x:c r="F1618" s="16" t="str">
        <x:v>OBS-0144</x:v>
      </x:c>
      <x:c r="G1618" s="16" t="str">
        <x:v>审阅或辅助文档</x:v>
      </x:c>
      <x:c r="H1618" s="19" t="n">
        <x:v>10</x:v>
      </x:c>
      <x:c r="I1618" s="19" t="n">
        <x:v>8</x:v>
      </x:c>
      <x:c r="J1618" s="19" t="n">
        <x:v>2</x:v>
      </x:c>
      <x:c r="K1618" s="16" t="str">
        <x:v>5. Major deterioration</x:v>
      </x:c>
      <x:c r="L1618" s="16" t="str">
        <x:v>Likely</x:v>
      </x:c>
      <x:c r="M1618" s="16" t="str">
        <x:v>Significant</x:v>
      </x:c>
      <x:c r="N1618" s="16" t="str">
        <x:v>Critical</x:v>
      </x:c>
    </x:row>
    <x:row r="1619" ht="37" customHeight="1">
      <x:c r="A1619" s="16" t="str">
        <x:v>RAW-01613</x:v>
      </x:c>
      <x:c r="B1619" s="16" t="str">
        <x:v>Recommendation</x:v>
      </x:c>
      <x:c r="C1619" s="16" t="str">
        <x:v>– Clean, remove corrosion and repaint.</x:v>
      </x:c>
      <x:c r="D1619" s="16" t="str">
        <x:v>Shade structure 3 column</x:v>
      </x:c>
      <x:c r="E1619" s="16" t="str">
        <x:v>SRC-093</x:v>
      </x:c>
      <x:c r="F1619" s="16" t="str">
        <x:v>REC-0002</x:v>
      </x:c>
      <x:c r="G1619" s="16" t="str">
        <x:v>审阅或辅助文档</x:v>
      </x:c>
      <x:c r="H1619" s="19" t="n">
        <x:v>10</x:v>
      </x:c>
      <x:c r="I1619" s="19" t="n">
        <x:v>8</x:v>
      </x:c>
      <x:c r="J1619" s="19" t="n">
        <x:v>2</x:v>
      </x:c>
      <x:c r="K1619" s="16" t="str">
        <x:v>5. Major deterioration</x:v>
      </x:c>
      <x:c r="L1619" s="16" t="str">
        <x:v>Likely</x:v>
      </x:c>
      <x:c r="M1619" s="16" t="str">
        <x:v>Significant</x:v>
      </x:c>
      <x:c r="N1619" s="16" t="str">
        <x:v>Critical</x:v>
      </x:c>
    </x:row>
    <x:row r="1620" ht="37" customHeight="1">
      <x:c r="A1620" s="16" t="str">
        <x:v>RAW-01614</x:v>
      </x:c>
      <x:c r="B1620" s="16" t="str">
        <x:v>Observation</x:v>
      </x:c>
      <x:c r="C1620" s="16" t="str">
        <x:v>– Corrosion of steel bracing.</x:v>
      </x:c>
      <x:c r="D1620" s="16" t="str">
        <x:v>Bracing of back verandah</x:v>
      </x:c>
      <x:c r="E1620" s="16" t="str">
        <x:v>SRC-093</x:v>
      </x:c>
      <x:c r="F1620" s="16" t="str">
        <x:v>OBS-0022</x:v>
      </x:c>
      <x:c r="G1620" s="16" t="str">
        <x:v>审阅或辅助文档</x:v>
      </x:c>
      <x:c r="H1620" s="19" t="n">
        <x:v>11</x:v>
      </x:c>
      <x:c r="I1620" s="19" t="n">
        <x:v>6</x:v>
      </x:c>
      <x:c r="J1620" s="19" t="n">
        <x:v>1</x:v>
      </x:c>
      <x:c r="K1620" s="16" t="str">
        <x:v>5. Major deterioration</x:v>
      </x:c>
      <x:c r="L1620" s="16" t="str">
        <x:v>Likely</x:v>
      </x:c>
      <x:c r="M1620" s="16" t="str">
        <x:v>Significant</x:v>
      </x:c>
      <x:c r="N1620" s="16" t="str">
        <x:v>Critical</x:v>
      </x:c>
    </x:row>
    <x:row r="1621" ht="37" customHeight="1">
      <x:c r="A1621" s="16" t="str">
        <x:v>RAW-01615</x:v>
      </x:c>
      <x:c r="B1621" s="16" t="str">
        <x:v>Recommendation</x:v>
      </x:c>
      <x:c r="C1621" s="16" t="str">
        <x:v>– Replace bracing.</x:v>
      </x:c>
      <x:c r="D1621" s="16" t="str">
        <x:v>Bracing of back verandah</x:v>
      </x:c>
      <x:c r="E1621" s="16" t="str">
        <x:v>SRC-093</x:v>
      </x:c>
      <x:c r="F1621" s="16" t="str">
        <x:v>REC-0143</x:v>
      </x:c>
      <x:c r="G1621" s="16" t="str">
        <x:v>审阅或辅助文档</x:v>
      </x:c>
      <x:c r="H1621" s="19" t="n">
        <x:v>11</x:v>
      </x:c>
      <x:c r="I1621" s="19" t="n">
        <x:v>6</x:v>
      </x:c>
      <x:c r="J1621" s="19" t="n">
        <x:v>1</x:v>
      </x:c>
      <x:c r="K1621" s="16" t="str">
        <x:v>5. Major deterioration</x:v>
      </x:c>
      <x:c r="L1621" s="16" t="str">
        <x:v>Likely</x:v>
      </x:c>
      <x:c r="M1621" s="16" t="str">
        <x:v>Significant</x:v>
      </x:c>
      <x:c r="N1621" s="16" t="str">
        <x:v>Critical</x:v>
      </x:c>
    </x:row>
    <x:row r="1622" ht="37" customHeight="1">
      <x:c r="A1622" s="16" t="str">
        <x:v>RAW-01616</x:v>
      </x:c>
      <x:c r="B1622" s="16" t="str">
        <x:v>Observation</x:v>
      </x:c>
      <x:c r="C1622" s="16" t="str">
        <x:v>– Corrosion of steel bracing.</x:v>
      </x:c>
      <x:c r="D1622" s="16" t="str">
        <x:v>Bracing of back verandah</x:v>
      </x:c>
      <x:c r="E1622" s="16" t="str">
        <x:v>SRC-093</x:v>
      </x:c>
      <x:c r="F1622" s="16" t="str">
        <x:v>OBS-0022</x:v>
      </x:c>
      <x:c r="G1622" s="16" t="str">
        <x:v>审阅或辅助文档</x:v>
      </x:c>
      <x:c r="H1622" s="19" t="n">
        <x:v>11</x:v>
      </x:c>
      <x:c r="I1622" s="19" t="n">
        <x:v>7</x:v>
      </x:c>
      <x:c r="J1622" s="19" t="n">
        <x:v>1</x:v>
      </x:c>
      <x:c r="K1622" s="16" t="str">
        <x:v>5. Major deterioration</x:v>
      </x:c>
      <x:c r="L1622" s="16" t="str">
        <x:v>Likely</x:v>
      </x:c>
      <x:c r="M1622" s="16" t="str">
        <x:v>Significant</x:v>
      </x:c>
      <x:c r="N1622" s="16" t="str">
        <x:v>Critical</x:v>
      </x:c>
    </x:row>
    <x:row r="1623" ht="37" customHeight="1">
      <x:c r="A1623" s="16" t="str">
        <x:v>RAW-01617</x:v>
      </x:c>
      <x:c r="B1623" s="16" t="str">
        <x:v>Observation</x:v>
      </x:c>
      <x:c r="C1623" s="16" t="str">
        <x:v>– Corrosion of steel bracing.</x:v>
      </x:c>
      <x:c r="D1623" s="16" t="str">
        <x:v>Bracing of back verandah</x:v>
      </x:c>
      <x:c r="E1623" s="16" t="str">
        <x:v>SRC-093</x:v>
      </x:c>
      <x:c r="F1623" s="16" t="str">
        <x:v>OBS-0022</x:v>
      </x:c>
      <x:c r="G1623" s="16" t="str">
        <x:v>审阅或辅助文档</x:v>
      </x:c>
      <x:c r="H1623" s="19" t="n">
        <x:v>11</x:v>
      </x:c>
      <x:c r="I1623" s="19" t="n">
        <x:v>8</x:v>
      </x:c>
      <x:c r="J1623" s="19" t="n">
        <x:v>1</x:v>
      </x:c>
      <x:c r="K1623" s="16" t="str">
        <x:v>5. Major deterioration</x:v>
      </x:c>
      <x:c r="L1623" s="16" t="str">
        <x:v>Likely</x:v>
      </x:c>
      <x:c r="M1623" s="16" t="str">
        <x:v>Significant</x:v>
      </x:c>
      <x:c r="N1623" s="16" t="str">
        <x:v>Critical</x:v>
      </x:c>
    </x:row>
    <x:row r="1624" ht="37" customHeight="1">
      <x:c r="A1624" s="16" t="str">
        <x:v>RAW-01618</x:v>
      </x:c>
      <x:c r="B1624" s="16" t="str">
        <x:v>Observation</x:v>
      </x:c>
      <x:c r="C1624" s="16" t="str">
        <x:v>– Table 1. Images below.Typical severe corrosion to all tables and baseplates.</x:v>
      </x:c>
      <x:c r="D1624" s="16" t="str">
        <x:v>Table and seating</x:v>
      </x:c>
      <x:c r="E1624" s="16" t="str">
        <x:v>SRC-093</x:v>
      </x:c>
      <x:c r="F1624" s="16" t="str">
        <x:v>OBS-0590</x:v>
      </x:c>
      <x:c r="G1624" s="16" t="str">
        <x:v>审阅或辅助文档</x:v>
      </x:c>
      <x:c r="H1624" s="19" t="n">
        <x:v>12</x:v>
      </x:c>
      <x:c r="I1624" s="19" t="n">
        <x:v>6</x:v>
      </x:c>
      <x:c r="J1624" s="19" t="n">
        <x:v>3</x:v>
      </x:c>
      <x:c r="K1624" s="16" t="str">
        <x:v>5. Major deterioration</x:v>
      </x:c>
      <x:c r="L1624" s="16" t="str">
        <x:v>Likely</x:v>
      </x:c>
      <x:c r="M1624" s="16" t="str">
        <x:v>Moderate</x:v>
      </x:c>
      <x:c r="N1624" s="16" t="str">
        <x:v>High</x:v>
      </x:c>
    </x:row>
    <x:row r="1625" ht="37" customHeight="1">
      <x:c r="A1625" s="16" t="str">
        <x:v>RAW-01619</x:v>
      </x:c>
      <x:c r="B1625" s="16" t="str">
        <x:v>Recommendation</x:v>
      </x:c>
      <x:c r="C1625" s="16" t="str">
        <x:v>– Clean, remove corrosion and repaint.</x:v>
      </x:c>
      <x:c r="D1625" s="16" t="str">
        <x:v>Table and seating</x:v>
      </x:c>
      <x:c r="E1625" s="16" t="str">
        <x:v>SRC-093</x:v>
      </x:c>
      <x:c r="F1625" s="16" t="str">
        <x:v>REC-0002</x:v>
      </x:c>
      <x:c r="G1625" s="16" t="str">
        <x:v>审阅或辅助文档</x:v>
      </x:c>
      <x:c r="H1625" s="19" t="n">
        <x:v>12</x:v>
      </x:c>
      <x:c r="I1625" s="19" t="n">
        <x:v>6</x:v>
      </x:c>
      <x:c r="J1625" s="19" t="n">
        <x:v>3</x:v>
      </x:c>
      <x:c r="K1625" s="16" t="str">
        <x:v>5. Major deterioration</x:v>
      </x:c>
      <x:c r="L1625" s="16" t="str">
        <x:v>Likely</x:v>
      </x:c>
      <x:c r="M1625" s="16" t="str">
        <x:v>Moderate</x:v>
      </x:c>
      <x:c r="N1625" s="16" t="str">
        <x:v>High</x:v>
      </x:c>
    </x:row>
    <x:row r="1626" ht="37" customHeight="1">
      <x:c r="A1626" s="16" t="str">
        <x:v>RAW-01620</x:v>
      </x:c>
      <x:c r="B1626" s="16" t="str">
        <x:v>Observation</x:v>
      </x:c>
      <x:c r="C1626" s="16" t="str">
        <x:v>– Table 2. Images below. Typical severe corrosion to all tables and baseplates.</x:v>
      </x:c>
      <x:c r="D1626" s="16" t="str">
        <x:v>Table and seating</x:v>
      </x:c>
      <x:c r="E1626" s="16" t="str">
        <x:v>SRC-093</x:v>
      </x:c>
      <x:c r="F1626" s="16" t="str">
        <x:v>OBS-0591</x:v>
      </x:c>
      <x:c r="G1626" s="16" t="str">
        <x:v>审阅或辅助文档</x:v>
      </x:c>
      <x:c r="H1626" s="19" t="n">
        <x:v>12</x:v>
      </x:c>
      <x:c r="I1626" s="19" t="n">
        <x:v>9</x:v>
      </x:c>
      <x:c r="J1626" s="19" t="n">
        <x:v>3</x:v>
      </x:c>
      <x:c r="K1626" s="16" t="str">
        <x:v>5. Major deterioration</x:v>
      </x:c>
      <x:c r="L1626" s="16" t="str">
        <x:v>Likely</x:v>
      </x:c>
      <x:c r="M1626" s="16" t="str">
        <x:v>Moderate</x:v>
      </x:c>
      <x:c r="N1626" s="16" t="str">
        <x:v>High</x:v>
      </x:c>
    </x:row>
    <x:row r="1627" ht="37" customHeight="1">
      <x:c r="A1627" s="16" t="str">
        <x:v>RAW-01621</x:v>
      </x:c>
      <x:c r="B1627" s="16" t="str">
        <x:v>Recommendation</x:v>
      </x:c>
      <x:c r="C1627" s="16" t="str">
        <x:v>– Clean, remove corrosion and repaint.</x:v>
      </x:c>
      <x:c r="D1627" s="16" t="str">
        <x:v>Table and seating</x:v>
      </x:c>
      <x:c r="E1627" s="16" t="str">
        <x:v>SRC-093</x:v>
      </x:c>
      <x:c r="F1627" s="16" t="str">
        <x:v>REC-0002</x:v>
      </x:c>
      <x:c r="G1627" s="16" t="str">
        <x:v>审阅或辅助文档</x:v>
      </x:c>
      <x:c r="H1627" s="19" t="n">
        <x:v>12</x:v>
      </x:c>
      <x:c r="I1627" s="19" t="n">
        <x:v>9</x:v>
      </x:c>
      <x:c r="J1627" s="19" t="n">
        <x:v>3</x:v>
      </x:c>
      <x:c r="K1627" s="16" t="str">
        <x:v>5. Major deterioration</x:v>
      </x:c>
      <x:c r="L1627" s="16" t="str">
        <x:v>Likely</x:v>
      </x:c>
      <x:c r="M1627" s="16" t="str">
        <x:v>Moderate</x:v>
      </x:c>
      <x:c r="N1627" s="16" t="str">
        <x:v>High</x:v>
      </x:c>
    </x:row>
    <x:row r="1628" ht="37" customHeight="1">
      <x:c r="A1628" s="16" t="str">
        <x:v>RAW-01622</x:v>
      </x:c>
      <x:c r="B1628" s="16" t="str">
        <x:v>Observation</x:v>
      </x:c>
      <x:c r="C1628" s="16" t="str">
        <x:v>– Post circled in red has flaking corrosion towards the lower section.</x:v>
      </x:c>
      <x:c r="D1628" s="16" t="str">
        <x:v>Backstroke flag posts</x:v>
      </x:c>
      <x:c r="E1628" s="16" t="str">
        <x:v>SRC-093</x:v>
      </x:c>
      <x:c r="F1628" s="16" t="str"/>
      <x:c r="G1628" s="16" t="str">
        <x:v>审阅或辅助文档</x:v>
      </x:c>
      <x:c r="H1628" s="19" t="n">
        <x:v>13</x:v>
      </x:c>
      <x:c r="I1628" s="19" t="n">
        <x:v>6</x:v>
      </x:c>
      <x:c r="J1628" s="19" t="n">
        <x:v>1</x:v>
      </x:c>
      <x:c r="K1628" s="16" t="str">
        <x:v>5. Major deterioration</x:v>
      </x:c>
      <x:c r="L1628" s="16" t="str">
        <x:v>Likely</x:v>
      </x:c>
      <x:c r="M1628" s="16" t="str">
        <x:v>Moderate</x:v>
      </x:c>
      <x:c r="N1628" s="16" t="str">
        <x:v>High</x:v>
      </x:c>
    </x:row>
    <x:row r="1629" ht="37" customHeight="1">
      <x:c r="A1629" s="16" t="str">
        <x:v>RAW-01623</x:v>
      </x:c>
      <x:c r="B1629" s="16" t="str">
        <x:v>Recommendation</x:v>
      </x:c>
      <x:c r="C1629" s="16" t="str">
        <x:v>– Clean, remove corrosion and repaint.</x:v>
      </x:c>
      <x:c r="D1629" s="16" t="str">
        <x:v>Backstroke flag posts</x:v>
      </x:c>
      <x:c r="E1629" s="16" t="str">
        <x:v>SRC-093</x:v>
      </x:c>
      <x:c r="F1629" s="16" t="str">
        <x:v>REC-0002</x:v>
      </x:c>
      <x:c r="G1629" s="16" t="str">
        <x:v>审阅或辅助文档</x:v>
      </x:c>
      <x:c r="H1629" s="19" t="n">
        <x:v>13</x:v>
      </x:c>
      <x:c r="I1629" s="19" t="n">
        <x:v>6</x:v>
      </x:c>
      <x:c r="J1629" s="19" t="n">
        <x:v>1</x:v>
      </x:c>
      <x:c r="K1629" s="16" t="str">
        <x:v>5. Major deterioration</x:v>
      </x:c>
      <x:c r="L1629" s="16" t="str">
        <x:v>Likely</x:v>
      </x:c>
      <x:c r="M1629" s="16" t="str">
        <x:v>Moderate</x:v>
      </x:c>
      <x:c r="N1629" s="16" t="str">
        <x:v>High</x:v>
      </x:c>
    </x:row>
    <x:row r="1630" ht="37" customHeight="1">
      <x:c r="A1630" s="16" t="str">
        <x:v>RAW-01624</x:v>
      </x:c>
      <x:c r="B1630" s="16" t="str">
        <x:v>Observation</x:v>
      </x:c>
      <x:c r="C1630" s="16" t="str">
        <x:v>– Flaking corrosion towards the lower.</x:v>
      </x:c>
      <x:c r="D1630" s="16" t="str">
        <x:v>Backstroke flag posts</x:v>
      </x:c>
      <x:c r="E1630" s="16" t="str">
        <x:v>SRC-093</x:v>
      </x:c>
      <x:c r="F1630" s="16" t="str"/>
      <x:c r="G1630" s="16" t="str">
        <x:v>审阅或辅助文档</x:v>
      </x:c>
      <x:c r="H1630" s="19" t="n">
        <x:v>13</x:v>
      </x:c>
      <x:c r="I1630" s="19" t="n">
        <x:v>7</x:v>
      </x:c>
      <x:c r="J1630" s="19" t="n">
        <x:v>1</x:v>
      </x:c>
      <x:c r="K1630" s="16" t="str">
        <x:v>5. Major deterioration</x:v>
      </x:c>
      <x:c r="L1630" s="16" t="str">
        <x:v>Likely</x:v>
      </x:c>
      <x:c r="M1630" s="16" t="str">
        <x:v>Moderate</x:v>
      </x:c>
      <x:c r="N1630" s="16" t="str">
        <x:v>High</x:v>
      </x:c>
    </x:row>
    <x:row r="1631" ht="37" customHeight="1">
      <x:c r="A1631" s="16" t="str">
        <x:v>RAW-01625</x:v>
      </x:c>
      <x:c r="B1631" s="16" t="str">
        <x:v>Observation</x:v>
      </x:c>
      <x:c r="C1631" s="16" t="str">
        <x:v>– Flaking corrosion towards the lower.</x:v>
      </x:c>
      <x:c r="D1631" s="16" t="str">
        <x:v>Backstroke flag posts</x:v>
      </x:c>
      <x:c r="E1631" s="16" t="str">
        <x:v>SRC-093</x:v>
      </x:c>
      <x:c r="F1631" s="16" t="str"/>
      <x:c r="G1631" s="16" t="str">
        <x:v>审阅或辅助文档</x:v>
      </x:c>
      <x:c r="H1631" s="19" t="n">
        <x:v>13</x:v>
      </x:c>
      <x:c r="I1631" s="19" t="n">
        <x:v>8</x:v>
      </x:c>
      <x:c r="J1631" s="19" t="n">
        <x:v>1</x:v>
      </x:c>
      <x:c r="K1631" s="16" t="str">
        <x:v>5. Major deterioration</x:v>
      </x:c>
      <x:c r="L1631" s="16" t="str">
        <x:v>Likely</x:v>
      </x:c>
      <x:c r="M1631" s="16" t="str">
        <x:v>Moderate</x:v>
      </x:c>
      <x:c r="N1631" s="16" t="str">
        <x:v>High</x:v>
      </x:c>
    </x:row>
    <x:row r="1632" ht="37" customHeight="1">
      <x:c r="A1632" s="16" t="str">
        <x:v>RAW-01626</x:v>
      </x:c>
      <x:c r="B1632" s="16" t="str">
        <x:v>Observation</x:v>
      </x:c>
      <x:c r="C1632" s="16" t="str">
        <x:v>– Flaking corrosion towards the lower section.</x:v>
      </x:c>
      <x:c r="D1632" s="16" t="str">
        <x:v>Light post</x:v>
      </x:c>
      <x:c r="E1632" s="16" t="str">
        <x:v>SRC-093</x:v>
      </x:c>
      <x:c r="F1632" s="16" t="str"/>
      <x:c r="G1632" s="16" t="str">
        <x:v>审阅或辅助文档</x:v>
      </x:c>
      <x:c r="H1632" s="19" t="n">
        <x:v>14</x:v>
      </x:c>
      <x:c r="I1632" s="19" t="n">
        <x:v>6</x:v>
      </x:c>
      <x:c r="J1632" s="19" t="n">
        <x:v>3</x:v>
      </x:c>
      <x:c r="K1632" s="16" t="str">
        <x:v>5. Major deterioration</x:v>
      </x:c>
      <x:c r="L1632" s="16" t="str">
        <x:v>Likely</x:v>
      </x:c>
      <x:c r="M1632" s="16" t="str">
        <x:v>Significant</x:v>
      </x:c>
      <x:c r="N1632" s="16" t="str">
        <x:v>Critical</x:v>
      </x:c>
    </x:row>
    <x:row r="1633" ht="37" customHeight="1">
      <x:c r="A1633" s="16" t="str">
        <x:v>RAW-01627</x:v>
      </x:c>
      <x:c r="B1633" s="16" t="str">
        <x:v>Recommendation</x:v>
      </x:c>
      <x:c r="C1633" s="16" t="str">
        <x:v>– Clean, remove corrosion and repaint.</x:v>
      </x:c>
      <x:c r="D1633" s="16" t="str">
        <x:v>Light post</x:v>
      </x:c>
      <x:c r="E1633" s="16" t="str">
        <x:v>SRC-093</x:v>
      </x:c>
      <x:c r="F1633" s="16" t="str">
        <x:v>REC-0002</x:v>
      </x:c>
      <x:c r="G1633" s="16" t="str">
        <x:v>审阅或辅助文档</x:v>
      </x:c>
      <x:c r="H1633" s="19" t="n">
        <x:v>14</x:v>
      </x:c>
      <x:c r="I1633" s="19" t="n">
        <x:v>6</x:v>
      </x:c>
      <x:c r="J1633" s="19" t="n">
        <x:v>3</x:v>
      </x:c>
      <x:c r="K1633" s="16" t="str">
        <x:v>5. Major deterioration</x:v>
      </x:c>
      <x:c r="L1633" s="16" t="str">
        <x:v>Likely</x:v>
      </x:c>
      <x:c r="M1633" s="16" t="str">
        <x:v>Significant</x:v>
      </x:c>
      <x:c r="N1633" s="16" t="str">
        <x:v>Critical</x:v>
      </x:c>
    </x:row>
    <x:row r="1634" ht="37" customHeight="1">
      <x:c r="A1634" s="16" t="str">
        <x:v>RAW-01628</x:v>
      </x:c>
      <x:c r="B1634" s="16" t="str">
        <x:v>Observation</x:v>
      </x:c>
      <x:c r="C1634" s="16" t="str">
        <x:v>– Moderate corrosion on column.</x:v>
      </x:c>
      <x:c r="D1634" s="16" t="str">
        <x:v>Light post</x:v>
      </x:c>
      <x:c r="E1634" s="16" t="str">
        <x:v>SRC-093</x:v>
      </x:c>
      <x:c r="F1634" s="16" t="str">
        <x:v>OBS-0414</x:v>
      </x:c>
      <x:c r="G1634" s="16" t="str">
        <x:v>审阅或辅助文档</x:v>
      </x:c>
      <x:c r="H1634" s="19" t="n">
        <x:v>14</x:v>
      </x:c>
      <x:c r="I1634" s="19" t="n">
        <x:v>9</x:v>
      </x:c>
      <x:c r="J1634" s="19" t="n">
        <x:v>1</x:v>
      </x:c>
      <x:c r="K1634" s="16" t="str">
        <x:v>5. Major deterioration</x:v>
      </x:c>
      <x:c r="L1634" s="16" t="str">
        <x:v>Likely</x:v>
      </x:c>
      <x:c r="M1634" s="16" t="str">
        <x:v>Significant</x:v>
      </x:c>
      <x:c r="N1634" s="16" t="str">
        <x:v>Critical</x:v>
      </x:c>
    </x:row>
    <x:row r="1635" ht="37" customHeight="1">
      <x:c r="A1635" s="16" t="str">
        <x:v>RAW-01629</x:v>
      </x:c>
      <x:c r="B1635" s="16" t="str">
        <x:v>Recommendation</x:v>
      </x:c>
      <x:c r="C1635" s="16" t="str">
        <x:v>– Clean, remove corrosion and repaint.</x:v>
      </x:c>
      <x:c r="D1635" s="16" t="str">
        <x:v>Light post</x:v>
      </x:c>
      <x:c r="E1635" s="16" t="str">
        <x:v>SRC-093</x:v>
      </x:c>
      <x:c r="F1635" s="16" t="str">
        <x:v>REC-0002</x:v>
      </x:c>
      <x:c r="G1635" s="16" t="str">
        <x:v>审阅或辅助文档</x:v>
      </x:c>
      <x:c r="H1635" s="19" t="n">
        <x:v>14</x:v>
      </x:c>
      <x:c r="I1635" s="19" t="n">
        <x:v>9</x:v>
      </x:c>
      <x:c r="J1635" s="19" t="n">
        <x:v>1</x:v>
      </x:c>
      <x:c r="K1635" s="16" t="str">
        <x:v>5. Major deterioration</x:v>
      </x:c>
      <x:c r="L1635" s="16" t="str">
        <x:v>Likely</x:v>
      </x:c>
      <x:c r="M1635" s="16" t="str">
        <x:v>Significant</x:v>
      </x:c>
      <x:c r="N1635" s="16" t="str">
        <x:v>Critical</x:v>
      </x:c>
    </x:row>
    <x:row r="1636" ht="37" customHeight="1">
      <x:c r="A1636" s="16" t="str">
        <x:v>RAW-01630</x:v>
      </x:c>
      <x:c r="B1636" s="16" t="str">
        <x:v>Observation</x:v>
      </x:c>
      <x:c r="C1636" s="16" t="str">
        <x:v>– Nail plate acting as joint in middle of span.</x:v>
      </x:c>
      <x:c r="D1636" s="16" t="str">
        <x:v>Purlin</x:v>
      </x:c>
      <x:c r="E1636" s="16" t="str">
        <x:v>SRC-093</x:v>
      </x:c>
      <x:c r="F1636" s="16" t="str"/>
      <x:c r="G1636" s="16" t="str">
        <x:v>审阅或辅助文档</x:v>
      </x:c>
      <x:c r="H1636" s="19" t="n">
        <x:v>15</x:v>
      </x:c>
      <x:c r="I1636" s="19" t="n">
        <x:v>6</x:v>
      </x:c>
      <x:c r="J1636" s="19" t="n">
        <x:v>1</x:v>
      </x:c>
      <x:c r="K1636" s="16" t="str">
        <x:v>N/A</x:v>
      </x:c>
      <x:c r="L1636" s="16" t="str">
        <x:v>Possible</x:v>
      </x:c>
      <x:c r="M1636" s="16" t="str">
        <x:v>Moderate</x:v>
      </x:c>
      <x:c r="N1636" s="16" t="str">
        <x:v>High</x:v>
      </x:c>
    </x:row>
    <x:row r="1637" ht="37" customHeight="1">
      <x:c r="A1637" s="16" t="str">
        <x:v>RAW-01631</x:v>
      </x:c>
      <x:c r="B1637" s="16" t="str">
        <x:v>Recommendation</x:v>
      </x:c>
      <x:c r="C1637" s="16" t="str">
        <x:v>–</x:v>
      </x:c>
      <x:c r="D1637" s="16" t="str">
        <x:v>Purlin</x:v>
      </x:c>
      <x:c r="E1637" s="16" t="str">
        <x:v>SRC-093</x:v>
      </x:c>
      <x:c r="F1637" s="16" t="str"/>
      <x:c r="G1637" s="16" t="str">
        <x:v>审阅或辅助文档</x:v>
      </x:c>
      <x:c r="H1637" s="19" t="n">
        <x:v>15</x:v>
      </x:c>
      <x:c r="I1637" s="19" t="n">
        <x:v>6</x:v>
      </x:c>
      <x:c r="J1637" s="19" t="n">
        <x:v>1</x:v>
      </x:c>
      <x:c r="K1637" s="16" t="str">
        <x:v>N/A</x:v>
      </x:c>
      <x:c r="L1637" s="16" t="str">
        <x:v>Possible</x:v>
      </x:c>
      <x:c r="M1637" s="16" t="str">
        <x:v>Moderate</x:v>
      </x:c>
      <x:c r="N1637" s="16" t="str">
        <x:v>High</x:v>
      </x:c>
    </x:row>
    <x:row r="1638" ht="37" customHeight="1">
      <x:c r="A1638" s="16" t="str">
        <x:v>RAW-01632</x:v>
      </x:c>
      <x:c r="B1638" s="16" t="str">
        <x:v>Observation</x:v>
      </x:c>
      <x:c r="C1638" s="16" t="str">
        <x:v>– Front verandah.</x:v>
      </x:c>
      <x:c r="D1638" s="16" t="str">
        <x:v>Front verandah</x:v>
      </x:c>
      <x:c r="E1638" s="16" t="str">
        <x:v>SRC-093</x:v>
      </x:c>
      <x:c r="F1638" s="16" t="str">
        <x:v>OBS-0014</x:v>
      </x:c>
      <x:c r="G1638" s="16" t="str">
        <x:v>审阅或辅助文档</x:v>
      </x:c>
      <x:c r="H1638" s="19" t="n">
        <x:v>16</x:v>
      </x:c>
      <x:c r="I1638" s="19" t="n">
        <x:v>6</x:v>
      </x:c>
      <x:c r="J1638" s="19" t="n">
        <x:v>1</x:v>
      </x:c>
      <x:c r="K1638" s="16" t="str">
        <x:v>4. Moderate deterioration</x:v>
      </x:c>
      <x:c r="L1638" s="16" t="str">
        <x:v>Possible</x:v>
      </x:c>
      <x:c r="M1638" s="16" t="str">
        <x:v>Significant</x:v>
      </x:c>
      <x:c r="N1638" s="16" t="str">
        <x:v>High</x:v>
      </x:c>
    </x:row>
    <x:row r="1639" ht="37" customHeight="1">
      <x:c r="A1639" s="16" t="str">
        <x:v>RAW-01633</x:v>
      </x:c>
      <x:c r="B1639" s="16" t="str">
        <x:v>Observation</x:v>
      </x:c>
      <x:c r="C1639" s="16" t="str">
        <x:v>– Moderate corrosion of bracing.</x:v>
      </x:c>
      <x:c r="D1639" s="16" t="str">
        <x:v>Front verandah</x:v>
      </x:c>
      <x:c r="E1639" s="16" t="str">
        <x:v>SRC-093</x:v>
      </x:c>
      <x:c r="F1639" s="16" t="str">
        <x:v>OBS-0412</x:v>
      </x:c>
      <x:c r="G1639" s="16" t="str">
        <x:v>审阅或辅助文档</x:v>
      </x:c>
      <x:c r="H1639" s="19" t="n">
        <x:v>16</x:v>
      </x:c>
      <x:c r="I1639" s="19" t="n">
        <x:v>7</x:v>
      </x:c>
      <x:c r="J1639" s="19" t="n">
        <x:v>1</x:v>
      </x:c>
      <x:c r="K1639" s="16" t="str">
        <x:v>4. Moderate deterioration</x:v>
      </x:c>
      <x:c r="L1639" s="16" t="str">
        <x:v>Possible</x:v>
      </x:c>
      <x:c r="M1639" s="16" t="str">
        <x:v>Significant</x:v>
      </x:c>
      <x:c r="N1639" s="16" t="str">
        <x:v>High</x:v>
      </x:c>
    </x:row>
    <x:row r="1640" ht="37" customHeight="1">
      <x:c r="A1640" s="16" t="str">
        <x:v>RAW-01634</x:v>
      </x:c>
      <x:c r="B1640" s="16" t="str">
        <x:v>Observation</x:v>
      </x:c>
      <x:c r="C1640" s="16" t="str">
        <x:v>– Moderate corrosion of triple grip.</x:v>
      </x:c>
      <x:c r="D1640" s="16" t="str">
        <x:v>Front verandah</x:v>
      </x:c>
      <x:c r="E1640" s="16" t="str">
        <x:v>SRC-093</x:v>
      </x:c>
      <x:c r="F1640" s="16" t="str">
        <x:v>OBS-0413</x:v>
      </x:c>
      <x:c r="G1640" s="16" t="str">
        <x:v>审阅或辅助文档</x:v>
      </x:c>
      <x:c r="H1640" s="19" t="n">
        <x:v>16</x:v>
      </x:c>
      <x:c r="I1640" s="19" t="n">
        <x:v>8</x:v>
      </x:c>
      <x:c r="J1640" s="19" t="n">
        <x:v>1</x:v>
      </x:c>
      <x:c r="K1640" s="16" t="str">
        <x:v>4. Moderate deterioration</x:v>
      </x:c>
      <x:c r="L1640" s="16" t="str">
        <x:v>Possible</x:v>
      </x:c>
      <x:c r="M1640" s="16" t="str">
        <x:v>Significant</x:v>
      </x:c>
      <x:c r="N1640" s="16" t="str">
        <x:v>High</x:v>
      </x:c>
    </x:row>
    <x:row r="1641" ht="37" customHeight="1">
      <x:c r="A1641" s="16" t="str">
        <x:v>RAW-01635</x:v>
      </x:c>
      <x:c r="B1641" s="16" t="str">
        <x:v>Recommendation</x:v>
      </x:c>
      <x:c r="C1641" s="16" t="str">
        <x:v>– Clean, remove corrosion and repaint.</x:v>
      </x:c>
      <x:c r="D1641" s="16" t="str">
        <x:v>Front verandah</x:v>
      </x:c>
      <x:c r="E1641" s="16" t="str">
        <x:v>SRC-093</x:v>
      </x:c>
      <x:c r="F1641" s="16" t="str">
        <x:v>REC-0002</x:v>
      </x:c>
      <x:c r="G1641" s="16" t="str">
        <x:v>审阅或辅助文档</x:v>
      </x:c>
      <x:c r="H1641" s="19" t="n">
        <x:v>16</x:v>
      </x:c>
      <x:c r="I1641" s="19" t="n">
        <x:v>8</x:v>
      </x:c>
      <x:c r="J1641" s="19" t="n">
        <x:v>1</x:v>
      </x:c>
      <x:c r="K1641" s="16" t="str">
        <x:v>4. Moderate deterioration</x:v>
      </x:c>
      <x:c r="L1641" s="16" t="str">
        <x:v>Possible</x:v>
      </x:c>
      <x:c r="M1641" s="16" t="str">
        <x:v>Significant</x:v>
      </x:c>
      <x:c r="N1641" s="16" t="str">
        <x:v>High</x:v>
      </x:c>
    </x:row>
    <x:row r="1642" ht="37" customHeight="1">
      <x:c r="A1642" s="16" t="str">
        <x:v>RAW-01636</x:v>
      </x:c>
      <x:c r="B1642" s="16" t="str">
        <x:v>Observation</x:v>
      </x:c>
      <x:c r="C1642" s="16" t="str">
        <x:v>– Overview of Row 1 columns.</x:v>
      </x:c>
      <x:c r="D1642" s="16" t="str">
        <x:v>Shade structure 4 columns and struts</x:v>
      </x:c>
      <x:c r="E1642" s="16" t="str">
        <x:v>SRC-093</x:v>
      </x:c>
      <x:c r="F1642" s="16" t="str">
        <x:v>OBS-0420</x:v>
      </x:c>
      <x:c r="G1642" s="16" t="str">
        <x:v>审阅或辅助文档</x:v>
      </x:c>
      <x:c r="H1642" s="19" t="n">
        <x:v>17</x:v>
      </x:c>
      <x:c r="I1642" s="19" t="n">
        <x:v>6</x:v>
      </x:c>
      <x:c r="J1642" s="19" t="n">
        <x:v>1</x:v>
      </x:c>
      <x:c r="K1642" s="16" t="str">
        <x:v>3. Minor deterioration</x:v>
      </x:c>
      <x:c r="L1642" s="16" t="str">
        <x:v>Unlikely</x:v>
      </x:c>
      <x:c r="M1642" s="16" t="str">
        <x:v>Significant</x:v>
      </x:c>
      <x:c r="N1642" s="16" t="str">
        <x:v>Moderate</x:v>
      </x:c>
    </x:row>
    <x:row r="1643" ht="37" customHeight="1">
      <x:c r="A1643" s="16" t="str">
        <x:v>RAW-01637</x:v>
      </x:c>
      <x:c r="B1643" s="16" t="str">
        <x:v>Recommendation</x:v>
      </x:c>
      <x:c r="C1643" s="16" t="str">
        <x:v>– Clean, remove corrosion and repaint.</x:v>
      </x:c>
      <x:c r="D1643" s="16" t="str">
        <x:v>Shade structure 4 columns and struts</x:v>
      </x:c>
      <x:c r="E1643" s="16" t="str">
        <x:v>SRC-093</x:v>
      </x:c>
      <x:c r="F1643" s="16" t="str">
        <x:v>REC-0002</x:v>
      </x:c>
      <x:c r="G1643" s="16" t="str">
        <x:v>审阅或辅助文档</x:v>
      </x:c>
      <x:c r="H1643" s="19" t="n">
        <x:v>17</x:v>
      </x:c>
      <x:c r="I1643" s="19" t="n">
        <x:v>6</x:v>
      </x:c>
      <x:c r="J1643" s="19" t="n">
        <x:v>1</x:v>
      </x:c>
      <x:c r="K1643" s="16" t="str">
        <x:v>3. Minor deterioration</x:v>
      </x:c>
      <x:c r="L1643" s="16" t="str">
        <x:v>Unlikely</x:v>
      </x:c>
      <x:c r="M1643" s="16" t="str">
        <x:v>Significant</x:v>
      </x:c>
      <x:c r="N1643" s="16" t="str">
        <x:v>Moderate</x:v>
      </x:c>
    </x:row>
    <x:row r="1644" ht="37" customHeight="1">
      <x:c r="A1644" s="16" t="str">
        <x:v>RAW-01638</x:v>
      </x:c>
      <x:c r="B1644" s="16" t="str">
        <x:v>Observation</x:v>
      </x:c>
      <x:c r="C1644" s="16" t="str">
        <x:v>– Column 1 strut. Paint deterioration and minor corrosion.</x:v>
      </x:c>
      <x:c r="D1644" s="16" t="str">
        <x:v>Shade structure 4 columns and struts</x:v>
      </x:c>
      <x:c r="E1644" s="16" t="str">
        <x:v>SRC-093</x:v>
      </x:c>
      <x:c r="F1644" s="16" t="str"/>
      <x:c r="G1644" s="16" t="str">
        <x:v>审阅或辅助文档</x:v>
      </x:c>
      <x:c r="H1644" s="19" t="n">
        <x:v>17</x:v>
      </x:c>
      <x:c r="I1644" s="19" t="n">
        <x:v>7</x:v>
      </x:c>
      <x:c r="J1644" s="19" t="n">
        <x:v>1</x:v>
      </x:c>
      <x:c r="K1644" s="16" t="str">
        <x:v>3. Minor deterioration</x:v>
      </x:c>
      <x:c r="L1644" s="16" t="str">
        <x:v>Unlikely</x:v>
      </x:c>
      <x:c r="M1644" s="16" t="str">
        <x:v>Significant</x:v>
      </x:c>
      <x:c r="N1644" s="16" t="str">
        <x:v>Moderate</x:v>
      </x:c>
    </x:row>
    <x:row r="1645" ht="37" customHeight="1">
      <x:c r="A1645" s="16" t="str">
        <x:v>RAW-01639</x:v>
      </x:c>
      <x:c r="B1645" s="16" t="str">
        <x:v>Observation</x:v>
      </x:c>
      <x:c r="C1645" s="16" t="str">
        <x:v>– Column 3. Paint deterioration and minor corrosion.</x:v>
      </x:c>
      <x:c r="D1645" s="16" t="str">
        <x:v>Shade structure 4 columns and struts</x:v>
      </x:c>
      <x:c r="E1645" s="16" t="str">
        <x:v>SRC-093</x:v>
      </x:c>
      <x:c r="F1645" s="16" t="str"/>
      <x:c r="G1645" s="16" t="str">
        <x:v>审阅或辅助文档</x:v>
      </x:c>
      <x:c r="H1645" s="19" t="n">
        <x:v>17</x:v>
      </x:c>
      <x:c r="I1645" s="19" t="n">
        <x:v>8</x:v>
      </x:c>
      <x:c r="J1645" s="19" t="n">
        <x:v>1</x:v>
      </x:c>
      <x:c r="K1645" s="16" t="str">
        <x:v>3. Minor deterioration</x:v>
      </x:c>
      <x:c r="L1645" s="16" t="str">
        <x:v>Unlikely</x:v>
      </x:c>
      <x:c r="M1645" s="16" t="str">
        <x:v>Significant</x:v>
      </x:c>
      <x:c r="N1645" s="16" t="str">
        <x:v>Moderate</x:v>
      </x:c>
    </x:row>
    <x:row r="1646" ht="37" customHeight="1">
      <x:c r="A1646" s="16" t="str">
        <x:v>RAW-01640</x:v>
      </x:c>
      <x:c r="B1646" s="16" t="str">
        <x:v>Observation</x:v>
      </x:c>
      <x:c r="C1646" s="16" t="str">
        <x:v>– Column 3 strut. Paint deterioration and minor corrosion.</x:v>
      </x:c>
      <x:c r="D1646" s="16" t="str">
        <x:v>Shade structure 4 columns and struts</x:v>
      </x:c>
      <x:c r="E1646" s="16" t="str">
        <x:v>SRC-093</x:v>
      </x:c>
      <x:c r="F1646" s="16" t="str"/>
      <x:c r="G1646" s="16" t="str">
        <x:v>审阅或辅助文档</x:v>
      </x:c>
      <x:c r="H1646" s="19" t="n">
        <x:v>17</x:v>
      </x:c>
      <x:c r="I1646" s="19" t="n">
        <x:v>9</x:v>
      </x:c>
      <x:c r="J1646" s="19" t="n">
        <x:v>1</x:v>
      </x:c>
      <x:c r="K1646" s="16" t="str">
        <x:v>3. Minor deterioration</x:v>
      </x:c>
      <x:c r="L1646" s="16" t="str">
        <x:v>Unlikely</x:v>
      </x:c>
      <x:c r="M1646" s="16" t="str">
        <x:v>Significant</x:v>
      </x:c>
      <x:c r="N1646" s="16" t="str">
        <x:v>Moderate</x:v>
      </x:c>
    </x:row>
    <x:row r="1647" ht="37" customHeight="1">
      <x:c r="A1647" s="16" t="str">
        <x:v>RAW-01641</x:v>
      </x:c>
      <x:c r="B1647" s="16" t="str">
        <x:v>Observation</x:v>
      </x:c>
      <x:c r="C1647" s="16" t="str">
        <x:v>– Column 2. Paint deterioration.</x:v>
      </x:c>
      <x:c r="D1647" s="16" t="str">
        <x:v>Shade structure 4 columns and struts</x:v>
      </x:c>
      <x:c r="E1647" s="16" t="str">
        <x:v>SRC-093</x:v>
      </x:c>
      <x:c r="F1647" s="16" t="str">
        <x:v>OBS-0042</x:v>
      </x:c>
      <x:c r="G1647" s="16" t="str">
        <x:v>审阅或辅助文档</x:v>
      </x:c>
      <x:c r="H1647" s="19" t="n">
        <x:v>17</x:v>
      </x:c>
      <x:c r="I1647" s="19" t="n">
        <x:v>10</x:v>
      </x:c>
      <x:c r="J1647" s="19" t="n">
        <x:v>1</x:v>
      </x:c>
      <x:c r="K1647" s="16" t="str">
        <x:v>3. Minor deterioration</x:v>
      </x:c>
      <x:c r="L1647" s="16" t="str">
        <x:v>Unlikely</x:v>
      </x:c>
      <x:c r="M1647" s="16" t="str">
        <x:v>Significant</x:v>
      </x:c>
      <x:c r="N1647" s="16" t="str">
        <x:v>Moderate</x:v>
      </x:c>
    </x:row>
    <x:row r="1648" ht="37" customHeight="1">
      <x:c r="A1648" s="16" t="str">
        <x:v>RAW-01642</x:v>
      </x:c>
      <x:c r="B1648" s="16" t="str">
        <x:v>Observation</x:v>
      </x:c>
      <x:c r="C1648" s="16" t="str">
        <x:v>– Column 2. Paint deterioration.</x:v>
      </x:c>
      <x:c r="D1648" s="16" t="str">
        <x:v>Shade structure 4 columns and struts</x:v>
      </x:c>
      <x:c r="E1648" s="16" t="str">
        <x:v>SRC-093</x:v>
      </x:c>
      <x:c r="F1648" s="16" t="str">
        <x:v>OBS-0042</x:v>
      </x:c>
      <x:c r="G1648" s="16" t="str">
        <x:v>审阅或辅助文档</x:v>
      </x:c>
      <x:c r="H1648" s="19" t="n">
        <x:v>17</x:v>
      </x:c>
      <x:c r="I1648" s="19" t="n">
        <x:v>11</x:v>
      </x:c>
      <x:c r="J1648" s="19" t="n">
        <x:v>1</x:v>
      </x:c>
      <x:c r="K1648" s="16" t="str">
        <x:v>3. Minor deterioration</x:v>
      </x:c>
      <x:c r="L1648" s="16" t="str">
        <x:v>Unlikely</x:v>
      </x:c>
      <x:c r="M1648" s="16" t="str">
        <x:v>Significant</x:v>
      </x:c>
      <x:c r="N1648" s="16" t="str">
        <x:v>Moderate</x:v>
      </x:c>
    </x:row>
    <x:row r="1649" ht="37" customHeight="1">
      <x:c r="A1649" s="16" t="str">
        <x:v>RAW-01643</x:v>
      </x:c>
      <x:c r="B1649" s="16" t="str">
        <x:v>Observation</x:v>
      </x:c>
      <x:c r="C1649" s="16" t="str">
        <x:v>– Overview of Row 2 columns.Paint deterioration at lower sections of strut and column.</x:v>
      </x:c>
      <x:c r="D1649" s="16" t="str">
        <x:v>Shade structure 4 columns and struts</x:v>
      </x:c>
      <x:c r="E1649" s="16" t="str">
        <x:v>SRC-093</x:v>
      </x:c>
      <x:c r="F1649" s="16" t="str">
        <x:v>OBS-0421</x:v>
      </x:c>
      <x:c r="G1649" s="16" t="str">
        <x:v>审阅或辅助文档</x:v>
      </x:c>
      <x:c r="H1649" s="19" t="n">
        <x:v>17</x:v>
      </x:c>
      <x:c r="I1649" s="19" t="n">
        <x:v>12</x:v>
      </x:c>
      <x:c r="J1649" s="19" t="n">
        <x:v>1</x:v>
      </x:c>
      <x:c r="K1649" s="16" t="str">
        <x:v>3. Minor deterioration</x:v>
      </x:c>
      <x:c r="L1649" s="16" t="str">
        <x:v>Unlikely</x:v>
      </x:c>
      <x:c r="M1649" s="16" t="str">
        <x:v>Significant</x:v>
      </x:c>
      <x:c r="N1649" s="16" t="str">
        <x:v>Moderate</x:v>
      </x:c>
    </x:row>
    <x:row r="1650" ht="37" customHeight="1">
      <x:c r="A1650" s="16" t="str">
        <x:v>RAW-01644</x:v>
      </x:c>
      <x:c r="B1650" s="16" t="str">
        <x:v>Observation</x:v>
      </x:c>
      <x:c r="C1650" s="16" t="str">
        <x:v>– Paint deterioration at lower sections of strut and column. Typical defect for this structure.</x:v>
      </x:c>
      <x:c r="D1650" s="16" t="str">
        <x:v>Shade structure 4 columns and struts</x:v>
      </x:c>
      <x:c r="E1650" s="16" t="str">
        <x:v>SRC-093</x:v>
      </x:c>
      <x:c r="F1650" s="16" t="str">
        <x:v>OBS-0447</x:v>
      </x:c>
      <x:c r="G1650" s="16" t="str">
        <x:v>审阅或辅助文档</x:v>
      </x:c>
      <x:c r="H1650" s="19" t="n">
        <x:v>17</x:v>
      </x:c>
      <x:c r="I1650" s="19" t="n">
        <x:v>13</x:v>
      </x:c>
      <x:c r="J1650" s="19" t="n">
        <x:v>1</x:v>
      </x:c>
      <x:c r="K1650" s="16" t="str">
        <x:v>3. Minor deterioration</x:v>
      </x:c>
      <x:c r="L1650" s="16" t="str">
        <x:v>Unlikely</x:v>
      </x:c>
      <x:c r="M1650" s="16" t="str">
        <x:v>Significant</x:v>
      </x:c>
      <x:c r="N1650" s="16" t="str">
        <x:v>Moderate</x:v>
      </x:c>
    </x:row>
    <x:row r="1651" ht="37" customHeight="1">
      <x:c r="A1651" s="16" t="str">
        <x:v>RAW-01645</x:v>
      </x:c>
      <x:c r="B1651" s="16" t="str">
        <x:v>Observation</x:v>
      </x:c>
      <x:c r="C1651" s="16" t="str">
        <x:v>– Paint deterioration at lower sections of strut and column. Close up photo shown below.</x:v>
      </x:c>
      <x:c r="D1651" s="16" t="str">
        <x:v>Shade structure 4 columns and struts</x:v>
      </x:c>
      <x:c r="E1651" s="16" t="str">
        <x:v>SRC-093</x:v>
      </x:c>
      <x:c r="F1651" s="16" t="str">
        <x:v>OBS-0446</x:v>
      </x:c>
      <x:c r="G1651" s="16" t="str">
        <x:v>审阅或辅助文档</x:v>
      </x:c>
      <x:c r="H1651" s="19" t="n">
        <x:v>17</x:v>
      </x:c>
      <x:c r="I1651" s="19" t="n">
        <x:v>14</x:v>
      </x:c>
      <x:c r="J1651" s="19" t="n">
        <x:v>1</x:v>
      </x:c>
      <x:c r="K1651" s="16" t="str">
        <x:v>3. Minor deterioration</x:v>
      </x:c>
      <x:c r="L1651" s="16" t="str">
        <x:v>Unlikely</x:v>
      </x:c>
      <x:c r="M1651" s="16" t="str">
        <x:v>Significant</x:v>
      </x:c>
      <x:c r="N1651" s="16" t="str">
        <x:v>Moderate</x:v>
      </x:c>
    </x:row>
    <x:row r="1652" ht="37" customHeight="1">
      <x:c r="A1652" s="16" t="str">
        <x:v>RAW-01646</x:v>
      </x:c>
      <x:c r="B1652" s="16" t="str">
        <x:v>Observation</x:v>
      </x:c>
      <x:c r="C1652" s="16" t="str">
        <x:v>– Paint deterioration at lower sections of strut and column.</x:v>
      </x:c>
      <x:c r="D1652" s="16" t="str">
        <x:v>Shade structure 4 columns and struts</x:v>
      </x:c>
      <x:c r="E1652" s="16" t="str">
        <x:v>SRC-093</x:v>
      </x:c>
      <x:c r="F1652" s="16" t="str">
        <x:v>OBS-0445</x:v>
      </x:c>
      <x:c r="G1652" s="16" t="str">
        <x:v>审阅或辅助文档</x:v>
      </x:c>
      <x:c r="H1652" s="19" t="n">
        <x:v>17</x:v>
      </x:c>
      <x:c r="I1652" s="19" t="n">
        <x:v>15</x:v>
      </x:c>
      <x:c r="J1652" s="19" t="n">
        <x:v>1</x:v>
      </x:c>
      <x:c r="K1652" s="16" t="str">
        <x:v>3. Minor deterioration</x:v>
      </x:c>
      <x:c r="L1652" s="16" t="str">
        <x:v>Unlikely</x:v>
      </x:c>
      <x:c r="M1652" s="16" t="str">
        <x:v>Significant</x:v>
      </x:c>
      <x:c r="N1652" s="16" t="str">
        <x:v>Moderate</x:v>
      </x:c>
    </x:row>
    <x:row r="1653" ht="37" customHeight="1">
      <x:c r="A1653" s="16" t="str">
        <x:v>RAW-01647</x:v>
      </x:c>
      <x:c r="B1653" s="16" t="str">
        <x:v>Observation</x:v>
      </x:c>
      <x:c r="C1653" s="16" t="str">
        <x:v>– Overview of light post</x:v>
      </x:c>
      <x:c r="D1653" s="16" t="str">
        <x:v>Light post</x:v>
      </x:c>
      <x:c r="E1653" s="16" t="str">
        <x:v>SRC-093</x:v>
      </x:c>
      <x:c r="F1653" s="16" t="str">
        <x:v>OBS-0433</x:v>
      </x:c>
      <x:c r="G1653" s="16" t="str">
        <x:v>审阅或辅助文档</x:v>
      </x:c>
      <x:c r="H1653" s="19" t="n">
        <x:v>18</x:v>
      </x:c>
      <x:c r="I1653" s="19" t="n">
        <x:v>6</x:v>
      </x:c>
      <x:c r="J1653" s="19" t="n">
        <x:v>1</x:v>
      </x:c>
      <x:c r="K1653" s="16" t="str">
        <x:v>3. Minor deterioration</x:v>
      </x:c>
      <x:c r="L1653" s="16" t="str">
        <x:v>Unlikely</x:v>
      </x:c>
      <x:c r="M1653" s="16" t="str">
        <x:v>Significant</x:v>
      </x:c>
      <x:c r="N1653" s="16" t="str">
        <x:v>Moderate</x:v>
      </x:c>
    </x:row>
    <x:row r="1654" ht="37" customHeight="1">
      <x:c r="A1654" s="16" t="str">
        <x:v>RAW-01648</x:v>
      </x:c>
      <x:c r="B1654" s="16" t="str">
        <x:v>Observation</x:v>
      </x:c>
      <x:c r="C1654" s="16" t="str">
        <x:v>– localised corrosion on light post.</x:v>
      </x:c>
      <x:c r="D1654" s="16" t="str">
        <x:v>Light post</x:v>
      </x:c>
      <x:c r="E1654" s="16" t="str">
        <x:v>SRC-093</x:v>
      </x:c>
      <x:c r="F1654" s="16" t="str">
        <x:v>OBS-0620</x:v>
      </x:c>
      <x:c r="G1654" s="16" t="str">
        <x:v>审阅或辅助文档</x:v>
      </x:c>
      <x:c r="H1654" s="19" t="n">
        <x:v>18</x:v>
      </x:c>
      <x:c r="I1654" s="19" t="n">
        <x:v>7</x:v>
      </x:c>
      <x:c r="J1654" s="19" t="n">
        <x:v>1</x:v>
      </x:c>
      <x:c r="K1654" s="16" t="str">
        <x:v>3. Minor deterioration</x:v>
      </x:c>
      <x:c r="L1654" s="16" t="str">
        <x:v>Unlikely</x:v>
      </x:c>
      <x:c r="M1654" s="16" t="str">
        <x:v>Significant</x:v>
      </x:c>
      <x:c r="N1654" s="16" t="str">
        <x:v>Moderate</x:v>
      </x:c>
    </x:row>
    <x:row r="1655" ht="37" customHeight="1">
      <x:c r="A1655" s="16" t="str">
        <x:v>RAW-01649</x:v>
      </x:c>
      <x:c r="B1655" s="16" t="str">
        <x:v>Recommendation</x:v>
      </x:c>
      <x:c r="C1655" s="16" t="str">
        <x:v>– Clean, remove corrosion and repaint.</x:v>
      </x:c>
      <x:c r="D1655" s="16" t="str">
        <x:v>Light post</x:v>
      </x:c>
      <x:c r="E1655" s="16" t="str">
        <x:v>SRC-093</x:v>
      </x:c>
      <x:c r="F1655" s="16" t="str">
        <x:v>REC-0002</x:v>
      </x:c>
      <x:c r="G1655" s="16" t="str">
        <x:v>审阅或辅助文档</x:v>
      </x:c>
      <x:c r="H1655" s="19" t="n">
        <x:v>18</x:v>
      </x:c>
      <x:c r="I1655" s="19" t="n">
        <x:v>7</x:v>
      </x:c>
      <x:c r="J1655" s="19" t="n">
        <x:v>1</x:v>
      </x:c>
      <x:c r="K1655" s="16" t="str">
        <x:v>3. Minor deterioration</x:v>
      </x:c>
      <x:c r="L1655" s="16" t="str">
        <x:v>Unlikely</x:v>
      </x:c>
      <x:c r="M1655" s="16" t="str">
        <x:v>Significant</x:v>
      </x:c>
      <x:c r="N1655" s="16" t="str">
        <x:v>Moderate</x:v>
      </x:c>
    </x:row>
    <x:row r="1656" ht="37" customHeight="1">
      <x:c r="A1656" s="16" t="str">
        <x:v>RAW-01650</x:v>
      </x:c>
      <x:c r="B1656" s="16" t="str">
        <x:v>Observation</x:v>
      </x:c>
      <x:c r="C1656" s="16" t="str">
        <x:v>– Minor corrosion on light support bracket.</x:v>
      </x:c>
      <x:c r="D1656" s="16" t="str">
        <x:v>Light post</x:v>
      </x:c>
      <x:c r="E1656" s="16" t="str">
        <x:v>SRC-093</x:v>
      </x:c>
      <x:c r="F1656" s="16" t="str">
        <x:v>OBS-0398</x:v>
      </x:c>
      <x:c r="G1656" s="16" t="str">
        <x:v>审阅或辅助文档</x:v>
      </x:c>
      <x:c r="H1656" s="19" t="n">
        <x:v>18</x:v>
      </x:c>
      <x:c r="I1656" s="19" t="n">
        <x:v>8</x:v>
      </x:c>
      <x:c r="J1656" s="19" t="n">
        <x:v>1</x:v>
      </x:c>
      <x:c r="K1656" s="16" t="str">
        <x:v>3. Minor deterioration</x:v>
      </x:c>
      <x:c r="L1656" s="16" t="str">
        <x:v>Unlikely</x:v>
      </x:c>
      <x:c r="M1656" s="16" t="str">
        <x:v>Significant</x:v>
      </x:c>
      <x:c r="N1656" s="16" t="str">
        <x:v>Moderate</x:v>
      </x:c>
    </x:row>
    <x:row r="1657" ht="37" customHeight="1">
      <x:c r="A1657" s="16" t="str">
        <x:v>RAW-01651</x:v>
      </x:c>
      <x:c r="B1657" s="16" t="str">
        <x:v>Recommendation</x:v>
      </x:c>
      <x:c r="C1657" s="16" t="str">
        <x:v>– Clean, remove corrosion and repaint.</x:v>
      </x:c>
      <x:c r="D1657" s="16" t="str">
        <x:v>Light post</x:v>
      </x:c>
      <x:c r="E1657" s="16" t="str">
        <x:v>SRC-093</x:v>
      </x:c>
      <x:c r="F1657" s="16" t="str">
        <x:v>REC-0002</x:v>
      </x:c>
      <x:c r="G1657" s="16" t="str">
        <x:v>审阅或辅助文档</x:v>
      </x:c>
      <x:c r="H1657" s="19" t="n">
        <x:v>18</x:v>
      </x:c>
      <x:c r="I1657" s="19" t="n">
        <x:v>8</x:v>
      </x:c>
      <x:c r="J1657" s="19" t="n">
        <x:v>1</x:v>
      </x:c>
      <x:c r="K1657" s="16" t="str">
        <x:v>3. Minor deterioration</x:v>
      </x:c>
      <x:c r="L1657" s="16" t="str">
        <x:v>Unlikely</x:v>
      </x:c>
      <x:c r="M1657" s="16" t="str">
        <x:v>Significant</x:v>
      </x:c>
      <x:c r="N1657" s="16" t="str">
        <x:v>Moderate</x:v>
      </x:c>
    </x:row>
    <x:row r="1658" ht="37" customHeight="1">
      <x:c r="A1658" s="16" t="str">
        <x:v>RAW-01652</x:v>
      </x:c>
      <x:c r="B1658" s="16" t="str">
        <x:v>Observation</x:v>
      </x:c>
      <x:c r="C1658" s="16" t="str">
        <x:v>– Back verandah. Sagging soffit edge flashing.</x:v>
      </x:c>
      <x:c r="D1658" s="16" t="str">
        <x:v>Soffit edge flashing</x:v>
      </x:c>
      <x:c r="E1658" s="16" t="str">
        <x:v>SRC-093</x:v>
      </x:c>
      <x:c r="F1658" s="16" t="str">
        <x:v>OBS-0120</x:v>
      </x:c>
      <x:c r="G1658" s="16" t="str">
        <x:v>审阅或辅助文档</x:v>
      </x:c>
      <x:c r="H1658" s="19" t="n">
        <x:v>19</x:v>
      </x:c>
      <x:c r="I1658" s="19" t="n">
        <x:v>6</x:v>
      </x:c>
      <x:c r="J1658" s="19" t="n">
        <x:v>1</x:v>
      </x:c>
      <x:c r="K1658" s="16" t="str">
        <x:v>5. Major deterioration</x:v>
      </x:c>
      <x:c r="L1658" s="16" t="str">
        <x:v>Likely</x:v>
      </x:c>
      <x:c r="M1658" s="16" t="str">
        <x:v>Minor</x:v>
      </x:c>
      <x:c r="N1658" s="16" t="str">
        <x:v>Moderate</x:v>
      </x:c>
    </x:row>
    <x:row r="1659" ht="37" customHeight="1">
      <x:c r="A1659" s="16" t="str">
        <x:v>RAW-01653</x:v>
      </x:c>
      <x:c r="B1659" s="16" t="str">
        <x:v>Recommendation</x:v>
      </x:c>
      <x:c r="C1659" s="16" t="str">
        <x:v>– Reattach.</x:v>
      </x:c>
      <x:c r="D1659" s="16" t="str">
        <x:v>Soffit edge flashing</x:v>
      </x:c>
      <x:c r="E1659" s="16" t="str">
        <x:v>SRC-093</x:v>
      </x:c>
      <x:c r="F1659" s="16" t="str">
        <x:v>REC-0120</x:v>
      </x:c>
      <x:c r="G1659" s="16" t="str">
        <x:v>审阅或辅助文档</x:v>
      </x:c>
      <x:c r="H1659" s="19" t="n">
        <x:v>19</x:v>
      </x:c>
      <x:c r="I1659" s="19" t="n">
        <x:v>6</x:v>
      </x:c>
      <x:c r="J1659" s="19" t="n">
        <x:v>1</x:v>
      </x:c>
      <x:c r="K1659" s="16" t="str">
        <x:v>5. Major deterioration</x:v>
      </x:c>
      <x:c r="L1659" s="16" t="str">
        <x:v>Likely</x:v>
      </x:c>
      <x:c r="M1659" s="16" t="str">
        <x:v>Minor</x:v>
      </x:c>
      <x:c r="N1659" s="16" t="str">
        <x:v>Moderate</x:v>
      </x:c>
    </x:row>
    <x:row r="1660" ht="37" customHeight="1">
      <x:c r="A1660" s="16" t="str">
        <x:v>RAW-01654</x:v>
      </x:c>
      <x:c r="B1660" s="16" t="str">
        <x:v>Observation</x:v>
      </x:c>
      <x:c r="C1660" s="16" t="str">
        <x:v>– Close up of location circled in red shown below. Splitting at bolt.</x:v>
      </x:c>
      <x:c r="D1660" s="16" t="str">
        <x:v>Timber beam</x:v>
      </x:c>
      <x:c r="E1660" s="16" t="str">
        <x:v>SRC-093</x:v>
      </x:c>
      <x:c r="F1660" s="16" t="str">
        <x:v>OBS-0186</x:v>
      </x:c>
      <x:c r="G1660" s="16" t="str">
        <x:v>审阅或辅助文档</x:v>
      </x:c>
      <x:c r="H1660" s="19" t="n">
        <x:v>20</x:v>
      </x:c>
      <x:c r="I1660" s="19" t="n">
        <x:v>6</x:v>
      </x:c>
      <x:c r="J1660" s="19" t="n">
        <x:v>2</x:v>
      </x:c>
      <x:c r="K1660" s="16" t="str">
        <x:v>3. Minor corrosion</x:v>
      </x:c>
      <x:c r="L1660" s="16" t="str">
        <x:v>Unlikely</x:v>
      </x:c>
      <x:c r="M1660" s="16" t="str">
        <x:v>Moderate</x:v>
      </x:c>
      <x:c r="N1660" s="16" t="str">
        <x:v>Moderate</x:v>
      </x:c>
    </x:row>
    <x:row r="1661" ht="37" customHeight="1">
      <x:c r="A1661" s="16" t="str">
        <x:v>RAW-01655</x:v>
      </x:c>
      <x:c r="B1661" s="16" t="str">
        <x:v>Recommendation</x:v>
      </x:c>
      <x:c r="C1661" s="16" t="str">
        <x:v>– Monitor splitting.</x:v>
      </x:c>
      <x:c r="D1661" s="16" t="str">
        <x:v>Timber beam</x:v>
      </x:c>
      <x:c r="E1661" s="16" t="str">
        <x:v>SRC-093</x:v>
      </x:c>
      <x:c r="F1661" s="16" t="str">
        <x:v>REC-0112</x:v>
      </x:c>
      <x:c r="G1661" s="16" t="str">
        <x:v>审阅或辅助文档</x:v>
      </x:c>
      <x:c r="H1661" s="19" t="n">
        <x:v>20</x:v>
      </x:c>
      <x:c r="I1661" s="19" t="n">
        <x:v>6</x:v>
      </x:c>
      <x:c r="J1661" s="19" t="n">
        <x:v>2</x:v>
      </x:c>
      <x:c r="K1661" s="16" t="str">
        <x:v>3. Minor corrosion</x:v>
      </x:c>
      <x:c r="L1661" s="16" t="str">
        <x:v>Unlikely</x:v>
      </x:c>
      <x:c r="M1661" s="16" t="str">
        <x:v>Moderate</x:v>
      </x:c>
      <x:c r="N1661" s="16" t="str">
        <x:v>Moderate</x:v>
      </x:c>
    </x:row>
    <x:row r="1662" ht="37" customHeight="1">
      <x:c r="A1662" s="16" t="str">
        <x:v>RAW-01656</x:v>
      </x:c>
      <x:c r="B1662" s="16" t="str">
        <x:v>Observation</x:v>
      </x:c>
      <x:c r="C1662" s="16" t="str">
        <x:v>– Minor corrosion on bolts. Close up image of location circled in red shown below.</x:v>
      </x:c>
      <x:c r="D1662" s="16" t="str">
        <x:v>Timber beam</x:v>
      </x:c>
      <x:c r="E1662" s="16" t="str">
        <x:v>SRC-093</x:v>
      </x:c>
      <x:c r="F1662" s="16" t="str">
        <x:v>OBS-0397</x:v>
      </x:c>
      <x:c r="G1662" s="16" t="str">
        <x:v>审阅或辅助文档</x:v>
      </x:c>
      <x:c r="H1662" s="19" t="n">
        <x:v>20</x:v>
      </x:c>
      <x:c r="I1662" s="19" t="n">
        <x:v>8</x:v>
      </x:c>
      <x:c r="J1662" s="19" t="n">
        <x:v>2</x:v>
      </x:c>
      <x:c r="K1662" s="16" t="str">
        <x:v>3. Minor corrosion</x:v>
      </x:c>
      <x:c r="L1662" s="16" t="str">
        <x:v>Unlikely</x:v>
      </x:c>
      <x:c r="M1662" s="16" t="str">
        <x:v>Moderate</x:v>
      </x:c>
      <x:c r="N1662" s="16" t="str">
        <x:v>Moderate</x:v>
      </x:c>
    </x:row>
    <x:row r="1663" ht="37" customHeight="1">
      <x:c r="A1663" s="16" t="str">
        <x:v>RAW-01657</x:v>
      </x:c>
      <x:c r="B1663" s="16" t="str">
        <x:v>Recommendation</x:v>
      </x:c>
      <x:c r="C1663" s="16" t="str">
        <x:v>– Clean, remove corrosion and repaint.</x:v>
      </x:c>
      <x:c r="D1663" s="16" t="str">
        <x:v>Timber beam</x:v>
      </x:c>
      <x:c r="E1663" s="16" t="str">
        <x:v>SRC-093</x:v>
      </x:c>
      <x:c r="F1663" s="16" t="str">
        <x:v>REC-0002</x:v>
      </x:c>
      <x:c r="G1663" s="16" t="str">
        <x:v>审阅或辅助文档</x:v>
      </x:c>
      <x:c r="H1663" s="19" t="n">
        <x:v>20</x:v>
      </x:c>
      <x:c r="I1663" s="19" t="n">
        <x:v>8</x:v>
      </x:c>
      <x:c r="J1663" s="19" t="n">
        <x:v>2</x:v>
      </x:c>
      <x:c r="K1663" s="16" t="str">
        <x:v>3. Minor corrosion</x:v>
      </x:c>
      <x:c r="L1663" s="16" t="str">
        <x:v>Unlikely</x:v>
      </x:c>
      <x:c r="M1663" s="16" t="str">
        <x:v>Moderate</x:v>
      </x:c>
      <x:c r="N1663" s="16" t="str">
        <x:v>Moderate</x:v>
      </x:c>
    </x:row>
    <x:row r="1664" ht="37" customHeight="1">
      <x:c r="A1664" s="16" t="str">
        <x:v>RAW-01658</x:v>
      </x:c>
      <x:c r="B1664" s="16" t="str">
        <x:v>Observation</x:v>
      </x:c>
      <x:c r="C1664" s="16" t="str">
        <x:v>– Flaking column towards lower section circled in red. All other columns good.</x:v>
      </x:c>
      <x:c r="D1664" s="16" t="str">
        <x:v>Back verandah columns</x:v>
      </x:c>
      <x:c r="E1664" s="16" t="str">
        <x:v>SRC-093</x:v>
      </x:c>
      <x:c r="F1664" s="16" t="str"/>
      <x:c r="G1664" s="16" t="str">
        <x:v>审阅或辅助文档</x:v>
      </x:c>
      <x:c r="H1664" s="19" t="n">
        <x:v>21</x:v>
      </x:c>
      <x:c r="I1664" s="19" t="n">
        <x:v>6</x:v>
      </x:c>
      <x:c r="J1664" s="19" t="n">
        <x:v>2</x:v>
      </x:c>
      <x:c r="K1664" s="16" t="str">
        <x:v>3. Minor deterioration</x:v>
      </x:c>
      <x:c r="L1664" s="16" t="str">
        <x:v>Unlikely</x:v>
      </x:c>
      <x:c r="M1664" s="16" t="str">
        <x:v>Significant</x:v>
      </x:c>
      <x:c r="N1664" s="16" t="str">
        <x:v>Moderate</x:v>
      </x:c>
    </x:row>
    <x:row r="1665" ht="37" customHeight="1">
      <x:c r="A1665" s="16" t="str">
        <x:v>RAW-01659</x:v>
      </x:c>
      <x:c r="B1665" s="16" t="str">
        <x:v>Recommendation</x:v>
      </x:c>
      <x:c r="C1665" s="16" t="str">
        <x:v>– Clean, remove corrosion and repaint.</x:v>
      </x:c>
      <x:c r="D1665" s="16" t="str">
        <x:v>Back verandah columns</x:v>
      </x:c>
      <x:c r="E1665" s="16" t="str">
        <x:v>SRC-093</x:v>
      </x:c>
      <x:c r="F1665" s="16" t="str">
        <x:v>REC-0002</x:v>
      </x:c>
      <x:c r="G1665" s="16" t="str">
        <x:v>审阅或辅助文档</x:v>
      </x:c>
      <x:c r="H1665" s="19" t="n">
        <x:v>21</x:v>
      </x:c>
      <x:c r="I1665" s="19" t="n">
        <x:v>6</x:v>
      </x:c>
      <x:c r="J1665" s="19" t="n">
        <x:v>2</x:v>
      </x:c>
      <x:c r="K1665" s="16" t="str">
        <x:v>3. Minor deterioration</x:v>
      </x:c>
      <x:c r="L1665" s="16" t="str">
        <x:v>Unlikely</x:v>
      </x:c>
      <x:c r="M1665" s="16" t="str">
        <x:v>Significant</x:v>
      </x:c>
      <x:c r="N1665" s="16" t="str">
        <x:v>Moderate</x:v>
      </x:c>
    </x:row>
    <x:row r="1666" ht="37" customHeight="1">
      <x:c r="A1666" s="16" t="str">
        <x:v>RAW-01660</x:v>
      </x:c>
      <x:c r="B1666" s="16" t="str">
        <x:v>Observation</x:v>
      </x:c>
      <x:c r="C1666" s="16" t="str">
        <x:v>– Paint deterioration at location circled in red. Close up photo below.</x:v>
      </x:c>
      <x:c r="D1666" s="16" t="str">
        <x:v>Back verandah columns</x:v>
      </x:c>
      <x:c r="E1666" s="16" t="str">
        <x:v>SRC-093</x:v>
      </x:c>
      <x:c r="F1666" s="16" t="str">
        <x:v>OBS-0443</x:v>
      </x:c>
      <x:c r="G1666" s="16" t="str">
        <x:v>审阅或辅助文档</x:v>
      </x:c>
      <x:c r="H1666" s="19" t="n">
        <x:v>21</x:v>
      </x:c>
      <x:c r="I1666" s="19" t="n">
        <x:v>8</x:v>
      </x:c>
      <x:c r="J1666" s="19" t="n">
        <x:v>2</x:v>
      </x:c>
      <x:c r="K1666" s="16" t="str">
        <x:v>3. Minor deterioration</x:v>
      </x:c>
      <x:c r="L1666" s="16" t="str">
        <x:v>Unlikely</x:v>
      </x:c>
      <x:c r="M1666" s="16" t="str">
        <x:v>Significant</x:v>
      </x:c>
      <x:c r="N1666" s="16" t="str">
        <x:v>Moderate</x:v>
      </x:c>
    </x:row>
    <x:row r="1667" ht="37" customHeight="1">
      <x:c r="A1667" s="16" t="str">
        <x:v>RAW-01661</x:v>
      </x:c>
      <x:c r="B1667" s="16" t="str">
        <x:v>Recommendation</x:v>
      </x:c>
      <x:c r="C1667" s="16" t="str">
        <x:v>– Clean, remove peeling paint and repaint.</x:v>
      </x:c>
      <x:c r="D1667" s="16" t="str">
        <x:v>Back verandah columns</x:v>
      </x:c>
      <x:c r="E1667" s="16" t="str">
        <x:v>SRC-093</x:v>
      </x:c>
      <x:c r="F1667" s="16" t="str">
        <x:v>REC-0010</x:v>
      </x:c>
      <x:c r="G1667" s="16" t="str">
        <x:v>审阅或辅助文档</x:v>
      </x:c>
      <x:c r="H1667" s="19" t="n">
        <x:v>21</x:v>
      </x:c>
      <x:c r="I1667" s="19" t="n">
        <x:v>8</x:v>
      </x:c>
      <x:c r="J1667" s="19" t="n">
        <x:v>2</x:v>
      </x:c>
      <x:c r="K1667" s="16" t="str">
        <x:v>3. Minor deterioration</x:v>
      </x:c>
      <x:c r="L1667" s="16" t="str">
        <x:v>Unlikely</x:v>
      </x:c>
      <x:c r="M1667" s="16" t="str">
        <x:v>Significant</x:v>
      </x:c>
      <x:c r="N1667" s="16" t="str">
        <x:v>Moderate</x:v>
      </x:c>
    </x:row>
    <x:row r="1668" ht="37" customHeight="1">
      <x:c r="A1668" s="16" t="str">
        <x:v>RAW-01662</x:v>
      </x:c>
      <x:c r="B1668" s="16" t="str">
        <x:v>Observation</x:v>
      </x:c>
      <x:c r="C1668" s="16" t="str">
        <x:v>– Seating area and shade structure.</x:v>
      </x:c>
      <x:c r="D1668" s="16" t="str">
        <x:v>Shade structure 5</x:v>
      </x:c>
      <x:c r="E1668" s="16" t="str">
        <x:v>SRC-093</x:v>
      </x:c>
      <x:c r="F1668" s="16" t="str">
        <x:v>OBS-0553</x:v>
      </x:c>
      <x:c r="G1668" s="16" t="str">
        <x:v>审阅或辅助文档</x:v>
      </x:c>
      <x:c r="H1668" s="19" t="n">
        <x:v>22</x:v>
      </x:c>
      <x:c r="I1668" s="19" t="n">
        <x:v>6</x:v>
      </x:c>
      <x:c r="J1668" s="19" t="n">
        <x:v>1</x:v>
      </x:c>
      <x:c r="K1668" s="16" t="str">
        <x:v>3. Minor deterioration</x:v>
      </x:c>
      <x:c r="L1668" s="16" t="str">
        <x:v>Possible</x:v>
      </x:c>
      <x:c r="M1668" s="16" t="str">
        <x:v>Minor</x:v>
      </x:c>
      <x:c r="N1668" s="16" t="str">
        <x:v>Low</x:v>
      </x:c>
    </x:row>
    <x:row r="1669" ht="37" customHeight="1">
      <x:c r="A1669" s="16" t="str">
        <x:v>RAW-01663</x:v>
      </x:c>
      <x:c r="B1669" s="16" t="str">
        <x:v>Observation</x:v>
      </x:c>
      <x:c r="C1669" s="16" t="str">
        <x:v>– Columns in good condition.</x:v>
      </x:c>
      <x:c r="D1669" s="16" t="str">
        <x:v>Shade structure 5</x:v>
      </x:c>
      <x:c r="E1669" s="16" t="str">
        <x:v>SRC-093</x:v>
      </x:c>
      <x:c r="F1669" s="16" t="str">
        <x:v>OBS-0001</x:v>
      </x:c>
      <x:c r="G1669" s="16" t="str">
        <x:v>审阅或辅助文档</x:v>
      </x:c>
      <x:c r="H1669" s="19" t="n">
        <x:v>22</x:v>
      </x:c>
      <x:c r="I1669" s="19" t="n">
        <x:v>7</x:v>
      </x:c>
      <x:c r="J1669" s="19" t="n">
        <x:v>1</x:v>
      </x:c>
      <x:c r="K1669" s="16" t="str">
        <x:v>3. Minor deterioration</x:v>
      </x:c>
      <x:c r="L1669" s="16" t="str">
        <x:v>Possible</x:v>
      </x:c>
      <x:c r="M1669" s="16" t="str">
        <x:v>Minor</x:v>
      </x:c>
      <x:c r="N1669" s="16" t="str">
        <x:v>Low</x:v>
      </x:c>
    </x:row>
    <x:row r="1670" ht="37" customHeight="1">
      <x:c r="A1670" s="16" t="str">
        <x:v>RAW-01664</x:v>
      </x:c>
      <x:c r="B1670" s="16" t="str">
        <x:v>Recommendation</x:v>
      </x:c>
      <x:c r="C1670" s="16" t="str">
        <x:v>– None.</x:v>
      </x:c>
      <x:c r="D1670" s="16" t="str">
        <x:v>Shade structure 5</x:v>
      </x:c>
      <x:c r="E1670" s="16" t="str">
        <x:v>SRC-093</x:v>
      </x:c>
      <x:c r="F1670" s="16" t="str">
        <x:v>REC-0003</x:v>
      </x:c>
      <x:c r="G1670" s="16" t="str">
        <x:v>审阅或辅助文档</x:v>
      </x:c>
      <x:c r="H1670" s="19" t="n">
        <x:v>22</x:v>
      </x:c>
      <x:c r="I1670" s="19" t="n">
        <x:v>7</x:v>
      </x:c>
      <x:c r="J1670" s="19" t="n">
        <x:v>1</x:v>
      </x:c>
      <x:c r="K1670" s="16" t="str">
        <x:v>3. Minor deterioration</x:v>
      </x:c>
      <x:c r="L1670" s="16" t="str">
        <x:v>Possible</x:v>
      </x:c>
      <x:c r="M1670" s="16" t="str">
        <x:v>Minor</x:v>
      </x:c>
      <x:c r="N1670" s="16" t="str">
        <x:v>Low</x:v>
      </x:c>
    </x:row>
    <x:row r="1671" ht="37" customHeight="1">
      <x:c r="A1671" s="16" t="str">
        <x:v>RAW-01665</x:v>
      </x:c>
      <x:c r="B1671" s="16" t="str">
        <x:v>Observation</x:v>
      </x:c>
      <x:c r="C1671" s="16" t="str">
        <x:v>– Moderate corrosion on winch. Typical to all columns.</x:v>
      </x:c>
      <x:c r="D1671" s="16" t="str">
        <x:v>Shade structure 5</x:v>
      </x:c>
      <x:c r="E1671" s="16" t="str">
        <x:v>SRC-093</x:v>
      </x:c>
      <x:c r="F1671" s="16" t="str">
        <x:v>OBS-0417</x:v>
      </x:c>
      <x:c r="G1671" s="16" t="str">
        <x:v>审阅或辅助文档</x:v>
      </x:c>
      <x:c r="H1671" s="19" t="n">
        <x:v>22</x:v>
      </x:c>
      <x:c r="I1671" s="19" t="n">
        <x:v>8</x:v>
      </x:c>
      <x:c r="J1671" s="19" t="n">
        <x:v>1</x:v>
      </x:c>
      <x:c r="K1671" s="16" t="str">
        <x:v>3. Minor deterioration</x:v>
      </x:c>
      <x:c r="L1671" s="16" t="str">
        <x:v>Possible</x:v>
      </x:c>
      <x:c r="M1671" s="16" t="str">
        <x:v>Minor</x:v>
      </x:c>
      <x:c r="N1671" s="16" t="str">
        <x:v>Low</x:v>
      </x:c>
    </x:row>
    <x:row r="1672" ht="37" customHeight="1">
      <x:c r="A1672" s="16" t="str">
        <x:v>RAW-01666</x:v>
      </x:c>
      <x:c r="B1672" s="16" t="str">
        <x:v>Recommendation</x:v>
      </x:c>
      <x:c r="C1672" s="16" t="str">
        <x:v>– Clean, remove corrosion and repaint.</x:v>
      </x:c>
      <x:c r="D1672" s="16" t="str">
        <x:v>Shade structure 5</x:v>
      </x:c>
      <x:c r="E1672" s="16" t="str">
        <x:v>SRC-093</x:v>
      </x:c>
      <x:c r="F1672" s="16" t="str">
        <x:v>REC-0002</x:v>
      </x:c>
      <x:c r="G1672" s="16" t="str">
        <x:v>审阅或辅助文档</x:v>
      </x:c>
      <x:c r="H1672" s="19" t="n">
        <x:v>22</x:v>
      </x:c>
      <x:c r="I1672" s="19" t="n">
        <x:v>8</x:v>
      </x:c>
      <x:c r="J1672" s="19" t="n">
        <x:v>1</x:v>
      </x:c>
      <x:c r="K1672" s="16" t="str">
        <x:v>3. Minor deterioration</x:v>
      </x:c>
      <x:c r="L1672" s="16" t="str">
        <x:v>Possible</x:v>
      </x:c>
      <x:c r="M1672" s="16" t="str">
        <x:v>Minor</x:v>
      </x:c>
      <x:c r="N1672" s="16" t="str">
        <x:v>Low</x:v>
      </x:c>
    </x:row>
    <x:row r="1673" ht="37" customHeight="1">
      <x:c r="A1673" s="16" t="str">
        <x:v>RAW-01667</x:v>
      </x:c>
      <x:c r="B1673" s="16" t="str">
        <x:v>Observation</x:v>
      </x:c>
      <x:c r="C1673" s="16" t="str">
        <x:v>– Moderate corrosion on light support. Typical to all columns.</x:v>
      </x:c>
      <x:c r="D1673" s="16" t="str">
        <x:v>Shade structure 5</x:v>
      </x:c>
      <x:c r="E1673" s="16" t="str">
        <x:v>SRC-093</x:v>
      </x:c>
      <x:c r="F1673" s="16" t="str">
        <x:v>OBS-0415</x:v>
      </x:c>
      <x:c r="G1673" s="16" t="str">
        <x:v>审阅或辅助文档</x:v>
      </x:c>
      <x:c r="H1673" s="19" t="n">
        <x:v>22</x:v>
      </x:c>
      <x:c r="I1673" s="19" t="n">
        <x:v>9</x:v>
      </x:c>
      <x:c r="J1673" s="19" t="n">
        <x:v>1</x:v>
      </x:c>
      <x:c r="K1673" s="16" t="str">
        <x:v>3. Minor deterioration</x:v>
      </x:c>
      <x:c r="L1673" s="16" t="str">
        <x:v>Possible</x:v>
      </x:c>
      <x:c r="M1673" s="16" t="str">
        <x:v>Minor</x:v>
      </x:c>
      <x:c r="N1673" s="16" t="str">
        <x:v>Low</x:v>
      </x:c>
    </x:row>
    <x:row r="1674" ht="37" customHeight="1">
      <x:c r="A1674" s="16" t="str">
        <x:v>RAW-01668</x:v>
      </x:c>
      <x:c r="B1674" s="16" t="str">
        <x:v>Recommendation</x:v>
      </x:c>
      <x:c r="C1674" s="16" t="str">
        <x:v>– Clean, remove corrosion and repaint.</x:v>
      </x:c>
      <x:c r="D1674" s="16" t="str">
        <x:v>Shade structure 5</x:v>
      </x:c>
      <x:c r="E1674" s="16" t="str">
        <x:v>SRC-093</x:v>
      </x:c>
      <x:c r="F1674" s="16" t="str">
        <x:v>REC-0002</x:v>
      </x:c>
      <x:c r="G1674" s="16" t="str">
        <x:v>审阅或辅助文档</x:v>
      </x:c>
      <x:c r="H1674" s="19" t="n">
        <x:v>22</x:v>
      </x:c>
      <x:c r="I1674" s="19" t="n">
        <x:v>9</x:v>
      </x:c>
      <x:c r="J1674" s="19" t="n">
        <x:v>1</x:v>
      </x:c>
      <x:c r="K1674" s="16" t="str">
        <x:v>3. Minor deterioration</x:v>
      </x:c>
      <x:c r="L1674" s="16" t="str">
        <x:v>Possible</x:v>
      </x:c>
      <x:c r="M1674" s="16" t="str">
        <x:v>Minor</x:v>
      </x:c>
      <x:c r="N1674" s="16" t="str">
        <x:v>Low</x:v>
      </x:c>
    </x:row>
    <x:row r="1675" ht="37" customHeight="1">
      <x:c r="A1675" s="16" t="str">
        <x:v>RAW-01669</x:v>
      </x:c>
      <x:c r="B1675" s="16" t="str">
        <x:v>Observation</x:v>
      </x:c>
      <x:c r="C1675" s="16" t="str">
        <x:v>– Surface corrosion on roof sheeting.</x:v>
      </x:c>
      <x:c r="D1675" s="16" t="str">
        <x:v>Roof sheeting</x:v>
      </x:c>
      <x:c r="E1675" s="16" t="str">
        <x:v>SRC-093</x:v>
      </x:c>
      <x:c r="F1675" s="16" t="str">
        <x:v>OBS-0586</x:v>
      </x:c>
      <x:c r="G1675" s="16" t="str">
        <x:v>审阅或辅助文档</x:v>
      </x:c>
      <x:c r="H1675" s="19" t="n">
        <x:v>23</x:v>
      </x:c>
      <x:c r="I1675" s="19" t="n">
        <x:v>6</x:v>
      </x:c>
      <x:c r="J1675" s="19" t="n">
        <x:v>2</x:v>
      </x:c>
      <x:c r="K1675" s="16" t="str">
        <x:v>2. New with slight deterioration</x:v>
      </x:c>
      <x:c r="L1675" s="16" t="str">
        <x:v>Very unlikely</x:v>
      </x:c>
      <x:c r="M1675" s="16" t="str">
        <x:v>Minor</x:v>
      </x:c>
      <x:c r="N1675" s="16" t="str">
        <x:v>Low</x:v>
      </x:c>
    </x:row>
    <x:row r="1676" ht="37" customHeight="1">
      <x:c r="A1676" s="16" t="str">
        <x:v>RAW-01670</x:v>
      </x:c>
      <x:c r="B1676" s="16" t="str">
        <x:v>Recommendation</x:v>
      </x:c>
      <x:c r="C1676" s="16" t="str">
        <x:v>– Clean, remove corrosion and repaint.</x:v>
      </x:c>
      <x:c r="D1676" s="16" t="str">
        <x:v>Roof sheeting</x:v>
      </x:c>
      <x:c r="E1676" s="16" t="str">
        <x:v>SRC-093</x:v>
      </x:c>
      <x:c r="F1676" s="16" t="str">
        <x:v>REC-0002</x:v>
      </x:c>
      <x:c r="G1676" s="16" t="str">
        <x:v>审阅或辅助文档</x:v>
      </x:c>
      <x:c r="H1676" s="19" t="n">
        <x:v>23</x:v>
      </x:c>
      <x:c r="I1676" s="19" t="n">
        <x:v>6</x:v>
      </x:c>
      <x:c r="J1676" s="19" t="n">
        <x:v>2</x:v>
      </x:c>
      <x:c r="K1676" s="16" t="str">
        <x:v>2. New with slight deterioration</x:v>
      </x:c>
      <x:c r="L1676" s="16" t="str">
        <x:v>Very unlikely</x:v>
      </x:c>
      <x:c r="M1676" s="16" t="str">
        <x:v>Minor</x:v>
      </x:c>
      <x:c r="N1676" s="16" t="str">
        <x:v>Low</x:v>
      </x:c>
    </x:row>
    <x:row r="1677" ht="37" customHeight="1">
      <x:c r="A1677" s="16" t="str">
        <x:v>RAW-01671</x:v>
      </x:c>
      <x:c r="B1677" s="16" t="str">
        <x:v>Observation</x:v>
      </x:c>
      <x:c r="C1677" s="16" t="str">
        <x:v>– Overview.</x:v>
      </x:c>
      <x:c r="D1677" s="16" t="str">
        <x:v>Pool seating and shade structure</x:v>
      </x:c>
      <x:c r="E1677" s="16" t="str">
        <x:v>SRC-093</x:v>
      </x:c>
      <x:c r="F1677" s="16" t="str">
        <x:v>OBS-0002</x:v>
      </x:c>
      <x:c r="G1677" s="16" t="str">
        <x:v>审阅或辅助文档</x:v>
      </x:c>
      <x:c r="H1677" s="19" t="n">
        <x:v>24</x:v>
      </x:c>
      <x:c r="I1677" s="19" t="n">
        <x:v>6</x:v>
      </x:c>
      <x:c r="J1677" s="19" t="n">
        <x:v>1</x:v>
      </x:c>
      <x:c r="K1677" s="16" t="str">
        <x:v>2. New with slight deterioration</x:v>
      </x:c>
      <x:c r="L1677" s="16" t="str">
        <x:v>Very unlikely</x:v>
      </x:c>
      <x:c r="M1677" s="16" t="str">
        <x:v>Moderate</x:v>
      </x:c>
      <x:c r="N1677" s="16" t="str">
        <x:v>Low</x:v>
      </x:c>
    </x:row>
    <x:row r="1678" ht="37" customHeight="1">
      <x:c r="A1678" s="16" t="str">
        <x:v>RAW-01672</x:v>
      </x:c>
      <x:c r="B1678" s="16" t="str">
        <x:v>Observation</x:v>
      </x:c>
      <x:c r="C1678" s="16" t="str">
        <x:v>– Minor corrosion.</x:v>
      </x:c>
      <x:c r="D1678" s="16" t="str">
        <x:v>Pool seating and shade structure</x:v>
      </x:c>
      <x:c r="E1678" s="16" t="str">
        <x:v>SRC-093</x:v>
      </x:c>
      <x:c r="F1678" s="16" t="str">
        <x:v>OBS-0402</x:v>
      </x:c>
      <x:c r="G1678" s="16" t="str">
        <x:v>审阅或辅助文档</x:v>
      </x:c>
      <x:c r="H1678" s="19" t="n">
        <x:v>24</x:v>
      </x:c>
      <x:c r="I1678" s="19" t="n">
        <x:v>7</x:v>
      </x:c>
      <x:c r="J1678" s="19" t="n">
        <x:v>1</x:v>
      </x:c>
      <x:c r="K1678" s="16" t="str">
        <x:v>2. New with slight deterioration</x:v>
      </x:c>
      <x:c r="L1678" s="16" t="str">
        <x:v>Very unlikely</x:v>
      </x:c>
      <x:c r="M1678" s="16" t="str">
        <x:v>Moderate</x:v>
      </x:c>
      <x:c r="N1678" s="16" t="str">
        <x:v>Low</x:v>
      </x:c>
    </x:row>
    <x:row r="1679" ht="37" customHeight="1">
      <x:c r="A1679" s="16" t="str">
        <x:v>RAW-01673</x:v>
      </x:c>
      <x:c r="B1679" s="16" t="str">
        <x:v>Recommendation</x:v>
      </x:c>
      <x:c r="C1679" s="16" t="str">
        <x:v>– Clean, remove corrosion and repaint.</x:v>
      </x:c>
      <x:c r="D1679" s="16" t="str">
        <x:v>Pool seating and shade structure</x:v>
      </x:c>
      <x:c r="E1679" s="16" t="str">
        <x:v>SRC-093</x:v>
      </x:c>
      <x:c r="F1679" s="16" t="str">
        <x:v>REC-0002</x:v>
      </x:c>
      <x:c r="G1679" s="16" t="str">
        <x:v>审阅或辅助文档</x:v>
      </x:c>
      <x:c r="H1679" s="19" t="n">
        <x:v>24</x:v>
      </x:c>
      <x:c r="I1679" s="19" t="n">
        <x:v>7</x:v>
      </x:c>
      <x:c r="J1679" s="19" t="n">
        <x:v>1</x:v>
      </x:c>
      <x:c r="K1679" s="16" t="str">
        <x:v>2. New with slight deterioration</x:v>
      </x:c>
      <x:c r="L1679" s="16" t="str">
        <x:v>Very unlikely</x:v>
      </x:c>
      <x:c r="M1679" s="16" t="str">
        <x:v>Moderate</x:v>
      </x:c>
      <x:c r="N1679" s="16" t="str">
        <x:v>Low</x:v>
      </x:c>
    </x:row>
    <x:row r="1680" ht="37" customHeight="1">
      <x:c r="A1680" s="16" t="str">
        <x:v>RAW-01674</x:v>
      </x:c>
      <x:c r="B1680" s="16" t="str">
        <x:v>Observation</x:v>
      </x:c>
      <x:c r="C1680" s="16" t="str">
        <x:v>– Paint deterioration on steel frame.</x:v>
      </x:c>
      <x:c r="D1680" s="16" t="str">
        <x:v>Pool seating and shade structure</x:v>
      </x:c>
      <x:c r="E1680" s="16" t="str">
        <x:v>SRC-093</x:v>
      </x:c>
      <x:c r="F1680" s="16" t="str">
        <x:v>OBS-0450</x:v>
      </x:c>
      <x:c r="G1680" s="16" t="str">
        <x:v>审阅或辅助文档</x:v>
      </x:c>
      <x:c r="H1680" s="19" t="n">
        <x:v>24</x:v>
      </x:c>
      <x:c r="I1680" s="19" t="n">
        <x:v>8</x:v>
      </x:c>
      <x:c r="J1680" s="19" t="n">
        <x:v>1</x:v>
      </x:c>
      <x:c r="K1680" s="16" t="str">
        <x:v>2. New with slight deterioration</x:v>
      </x:c>
      <x:c r="L1680" s="16" t="str">
        <x:v>Very unlikely</x:v>
      </x:c>
      <x:c r="M1680" s="16" t="str">
        <x:v>Moderate</x:v>
      </x:c>
      <x:c r="N1680" s="16" t="str">
        <x:v>Low</x:v>
      </x:c>
    </x:row>
    <x:row r="1681" ht="37" customHeight="1">
      <x:c r="A1681" s="16" t="str">
        <x:v>RAW-01675</x:v>
      </x:c>
      <x:c r="B1681" s="16" t="str">
        <x:v>Recommendation</x:v>
      </x:c>
      <x:c r="C1681" s="16" t="str">
        <x:v>– Clean, remove peeling paint and repaint.</x:v>
      </x:c>
      <x:c r="D1681" s="16" t="str">
        <x:v>Pool seating and shade structure</x:v>
      </x:c>
      <x:c r="E1681" s="16" t="str">
        <x:v>SRC-093</x:v>
      </x:c>
      <x:c r="F1681" s="16" t="str">
        <x:v>REC-0010</x:v>
      </x:c>
      <x:c r="G1681" s="16" t="str">
        <x:v>审阅或辅助文档</x:v>
      </x:c>
      <x:c r="H1681" s="19" t="n">
        <x:v>24</x:v>
      </x:c>
      <x:c r="I1681" s="19" t="n">
        <x:v>8</x:v>
      </x:c>
      <x:c r="J1681" s="19" t="n">
        <x:v>1</x:v>
      </x:c>
      <x:c r="K1681" s="16" t="str">
        <x:v>2. New with slight deterioration</x:v>
      </x:c>
      <x:c r="L1681" s="16" t="str">
        <x:v>Very unlikely</x:v>
      </x:c>
      <x:c r="M1681" s="16" t="str">
        <x:v>Moderate</x:v>
      </x:c>
      <x:c r="N1681" s="16" t="str">
        <x:v>Low</x:v>
      </x:c>
    </x:row>
    <x:row r="1682" ht="37" customHeight="1">
      <x:c r="A1682" s="16" t="str">
        <x:v>RAW-01676</x:v>
      </x:c>
      <x:c r="B1682" s="16" t="str">
        <x:v>Observation</x:v>
      </x:c>
      <x:c r="C1682" s="16" t="str">
        <x:v>– Failure of grout at column.</x:v>
      </x:c>
      <x:c r="D1682" s="16" t="str">
        <x:v>Pool seating and shade structure</x:v>
      </x:c>
      <x:c r="E1682" s="16" t="str">
        <x:v>SRC-093</x:v>
      </x:c>
      <x:c r="F1682" s="16" t="str"/>
      <x:c r="G1682" s="16" t="str">
        <x:v>审阅或辅助文档</x:v>
      </x:c>
      <x:c r="H1682" s="19" t="n">
        <x:v>24</x:v>
      </x:c>
      <x:c r="I1682" s="19" t="n">
        <x:v>9</x:v>
      </x:c>
      <x:c r="J1682" s="19" t="n">
        <x:v>2</x:v>
      </x:c>
      <x:c r="K1682" s="16" t="str">
        <x:v>2. New with slight deterioration</x:v>
      </x:c>
      <x:c r="L1682" s="16" t="str">
        <x:v>Very unlikely</x:v>
      </x:c>
      <x:c r="M1682" s="16" t="str">
        <x:v>Moderate</x:v>
      </x:c>
      <x:c r="N1682" s="16" t="str">
        <x:v>Low</x:v>
      </x:c>
    </x:row>
    <x:row r="1683" ht="37" customHeight="1">
      <x:c r="A1683" s="16" t="str">
        <x:v>RAW-01677</x:v>
      </x:c>
      <x:c r="B1683" s="16" t="str">
        <x:v>Recommendation</x:v>
      </x:c>
      <x:c r="C1683" s="16" t="str">
        <x:v>– Replace failed grout.</x:v>
      </x:c>
      <x:c r="D1683" s="16" t="str">
        <x:v>Pool seating and shade structure</x:v>
      </x:c>
      <x:c r="E1683" s="16" t="str">
        <x:v>SRC-093</x:v>
      </x:c>
      <x:c r="F1683" s="16" t="str"/>
      <x:c r="G1683" s="16" t="str">
        <x:v>审阅或辅助文档</x:v>
      </x:c>
      <x:c r="H1683" s="19" t="n">
        <x:v>24</x:v>
      </x:c>
      <x:c r="I1683" s="19" t="n">
        <x:v>9</x:v>
      </x:c>
      <x:c r="J1683" s="19" t="n">
        <x:v>2</x:v>
      </x:c>
      <x:c r="K1683" s="16" t="str">
        <x:v>2. New with slight deterioration</x:v>
      </x:c>
      <x:c r="L1683" s="16" t="str">
        <x:v>Very unlikely</x:v>
      </x:c>
      <x:c r="M1683" s="16" t="str">
        <x:v>Moderate</x:v>
      </x:c>
      <x:c r="N1683" s="16" t="str">
        <x:v>Low</x:v>
      </x:c>
    </x:row>
    <x:row r="1684" ht="37" customHeight="1">
      <x:c r="A1684" s="16" t="str">
        <x:v>RAW-01678</x:v>
      </x:c>
      <x:c r="B1684" s="16" t="str">
        <x:v>Observation</x:v>
      </x:c>
      <x:c r="C1684" s="16" t="str">
        <x:v>– Basketball post.</x:v>
      </x:c>
      <x:c r="D1684" s="16" t="str">
        <x:v>Basketball post</x:v>
      </x:c>
      <x:c r="E1684" s="16" t="str">
        <x:v>SRC-093</x:v>
      </x:c>
      <x:c r="F1684" s="16" t="str">
        <x:v>OBS-0140</x:v>
      </x:c>
      <x:c r="G1684" s="16" t="str">
        <x:v>审阅或辅助文档</x:v>
      </x:c>
      <x:c r="H1684" s="19" t="n">
        <x:v>25</x:v>
      </x:c>
      <x:c r="I1684" s="19" t="n">
        <x:v>6</x:v>
      </x:c>
      <x:c r="J1684" s="19" t="n">
        <x:v>1</x:v>
      </x:c>
      <x:c r="K1684" s="16" t="str">
        <x:v>2. New with slight deterioration</x:v>
      </x:c>
      <x:c r="L1684" s="16" t="str">
        <x:v>Very unlikely</x:v>
      </x:c>
      <x:c r="M1684" s="16" t="str">
        <x:v>Significant</x:v>
      </x:c>
      <x:c r="N1684" s="16" t="str">
        <x:v>Low</x:v>
      </x:c>
    </x:row>
    <x:row r="1685" ht="37" customHeight="1">
      <x:c r="A1685" s="16" t="str">
        <x:v>RAW-01679</x:v>
      </x:c>
      <x:c r="B1685" s="16" t="str">
        <x:v>Observation</x:v>
      </x:c>
      <x:c r="C1685" s="16" t="str">
        <x:v>– Minor corrosion and paint deterioration.</x:v>
      </x:c>
      <x:c r="D1685" s="16" t="str">
        <x:v>Basketball post</x:v>
      </x:c>
      <x:c r="E1685" s="16" t="str">
        <x:v>SRC-093</x:v>
      </x:c>
      <x:c r="F1685" s="16" t="str">
        <x:v>OBS-0379</x:v>
      </x:c>
      <x:c r="G1685" s="16" t="str">
        <x:v>审阅或辅助文档</x:v>
      </x:c>
      <x:c r="H1685" s="19" t="n">
        <x:v>25</x:v>
      </x:c>
      <x:c r="I1685" s="19" t="n">
        <x:v>7</x:v>
      </x:c>
      <x:c r="J1685" s="19" t="n">
        <x:v>1</x:v>
      </x:c>
      <x:c r="K1685" s="16" t="str">
        <x:v>2. New with slight deterioration</x:v>
      </x:c>
      <x:c r="L1685" s="16" t="str">
        <x:v>Very unlikely</x:v>
      </x:c>
      <x:c r="M1685" s="16" t="str">
        <x:v>Significant</x:v>
      </x:c>
      <x:c r="N1685" s="16" t="str">
        <x:v>Low</x:v>
      </x:c>
    </x:row>
    <x:row r="1686" ht="37" customHeight="1">
      <x:c r="A1686" s="16" t="str">
        <x:v>RAW-01680</x:v>
      </x:c>
      <x:c r="B1686" s="16" t="str">
        <x:v>Recommendation</x:v>
      </x:c>
      <x:c r="C1686" s="16" t="str">
        <x:v>– Clean, remove corrosion and repaint.</x:v>
      </x:c>
      <x:c r="D1686" s="16" t="str">
        <x:v>Basketball post</x:v>
      </x:c>
      <x:c r="E1686" s="16" t="str">
        <x:v>SRC-093</x:v>
      </x:c>
      <x:c r="F1686" s="16" t="str">
        <x:v>REC-0002</x:v>
      </x:c>
      <x:c r="G1686" s="16" t="str">
        <x:v>审阅或辅助文档</x:v>
      </x:c>
      <x:c r="H1686" s="19" t="n">
        <x:v>25</x:v>
      </x:c>
      <x:c r="I1686" s="19" t="n">
        <x:v>7</x:v>
      </x:c>
      <x:c r="J1686" s="19" t="n">
        <x:v>1</x:v>
      </x:c>
      <x:c r="K1686" s="16" t="str">
        <x:v>2. New with slight deterioration</x:v>
      </x:c>
      <x:c r="L1686" s="16" t="str">
        <x:v>Very unlikely</x:v>
      </x:c>
      <x:c r="M1686" s="16" t="str">
        <x:v>Significant</x:v>
      </x:c>
      <x:c r="N1686" s="16" t="str">
        <x:v>Low</x:v>
      </x:c>
    </x:row>
    <x:row r="1687" ht="37" customHeight="1">
      <x:c r="A1687" s="16" t="str">
        <x:v>RAW-01681</x:v>
      </x:c>
      <x:c r="B1687" s="16" t="str">
        <x:v>Observation</x:v>
      </x:c>
      <x:c r="C1687" s="16" t="str">
        <x:v>– Minor corrosion and paint deterioration on hoop.</x:v>
      </x:c>
      <x:c r="D1687" s="16" t="str">
        <x:v>Basketball post</x:v>
      </x:c>
      <x:c r="E1687" s="16" t="str">
        <x:v>SRC-093</x:v>
      </x:c>
      <x:c r="F1687" s="16" t="str">
        <x:v>OBS-0377</x:v>
      </x:c>
      <x:c r="G1687" s="16" t="str">
        <x:v>审阅或辅助文档</x:v>
      </x:c>
      <x:c r="H1687" s="19" t="n">
        <x:v>25</x:v>
      </x:c>
      <x:c r="I1687" s="19" t="n">
        <x:v>8</x:v>
      </x:c>
      <x:c r="J1687" s="19" t="n">
        <x:v>1</x:v>
      </x:c>
      <x:c r="K1687" s="16" t="str">
        <x:v>2. New with slight deterioration</x:v>
      </x:c>
      <x:c r="L1687" s="16" t="str">
        <x:v>Very unlikely</x:v>
      </x:c>
      <x:c r="M1687" s="16" t="str">
        <x:v>Significant</x:v>
      </x:c>
      <x:c r="N1687" s="16" t="str">
        <x:v>Low</x:v>
      </x:c>
    </x:row>
    <x:row r="1688" ht="37" customHeight="1">
      <x:c r="A1688" s="16" t="str">
        <x:v>RAW-01682</x:v>
      </x:c>
      <x:c r="B1688" s="16" t="str">
        <x:v>Recommendation</x:v>
      </x:c>
      <x:c r="C1688" s="16" t="str">
        <x:v>– Clean, remove corrosion and repaint.</x:v>
      </x:c>
      <x:c r="D1688" s="16" t="str">
        <x:v>Basketball post</x:v>
      </x:c>
      <x:c r="E1688" s="16" t="str">
        <x:v>SRC-093</x:v>
      </x:c>
      <x:c r="F1688" s="16" t="str">
        <x:v>REC-0002</x:v>
      </x:c>
      <x:c r="G1688" s="16" t="str">
        <x:v>审阅或辅助文档</x:v>
      </x:c>
      <x:c r="H1688" s="19" t="n">
        <x:v>25</x:v>
      </x:c>
      <x:c r="I1688" s="19" t="n">
        <x:v>8</x:v>
      </x:c>
      <x:c r="J1688" s="19" t="n">
        <x:v>1</x:v>
      </x:c>
      <x:c r="K1688" s="16" t="str">
        <x:v>2. New with slight deterioration</x:v>
      </x:c>
      <x:c r="L1688" s="16" t="str">
        <x:v>Very unlikely</x:v>
      </x:c>
      <x:c r="M1688" s="16" t="str">
        <x:v>Significant</x:v>
      </x:c>
      <x:c r="N1688" s="16" t="str">
        <x:v>Low</x:v>
      </x:c>
    </x:row>
    <x:row r="1689" ht="41" customHeight="1">
      <x:c r="A1689" s="16" t="str">
        <x:v>RAW-01683</x:v>
      </x:c>
      <x:c r="B1689" s="16" t="str">
        <x:v>Observation</x:v>
      </x:c>
      <x:c r="C1689" s="16" t="str">
        <x:v>– Minor corrosion of bolted connections.</x:v>
      </x:c>
      <x:c r="D1689" s="16" t="str">
        <x:v>Back verandah roof bolted connections</x:v>
      </x:c>
      <x:c r="E1689" s="16" t="str">
        <x:v>SRC-093</x:v>
      </x:c>
      <x:c r="F1689" s="16" t="str">
        <x:v>OBS-0061</x:v>
      </x:c>
      <x:c r="G1689" s="16" t="str">
        <x:v>审阅或辅助文档</x:v>
      </x:c>
      <x:c r="H1689" s="19" t="n">
        <x:v>26</x:v>
      </x:c>
      <x:c r="I1689" s="19" t="n">
        <x:v>6</x:v>
      </x:c>
      <x:c r="J1689" s="19" t="n">
        <x:v>1</x:v>
      </x:c>
      <x:c r="K1689" s="16" t="str">
        <x:v>2. New with slight deterioration</x:v>
      </x:c>
      <x:c r="L1689" s="16" t="str">
        <x:v>Very unlikely</x:v>
      </x:c>
      <x:c r="M1689" s="16" t="str">
        <x:v>Moderate</x:v>
      </x:c>
      <x:c r="N1689" s="16" t="str">
        <x:v>Low</x:v>
      </x:c>
    </x:row>
    <x:row r="1690" ht="41" customHeight="1">
      <x:c r="A1690" s="16" t="str">
        <x:v>RAW-01684</x:v>
      </x:c>
      <x:c r="B1690" s="16" t="str">
        <x:v>Recommendation</x:v>
      </x:c>
      <x:c r="C1690" s="16" t="str">
        <x:v>– Clean, remove corrosion and repaint.</x:v>
      </x:c>
      <x:c r="D1690" s="16" t="str">
        <x:v>Back verandah roof bolted connections</x:v>
      </x:c>
      <x:c r="E1690" s="16" t="str">
        <x:v>SRC-093</x:v>
      </x:c>
      <x:c r="F1690" s="16" t="str">
        <x:v>REC-0002</x:v>
      </x:c>
      <x:c r="G1690" s="16" t="str">
        <x:v>审阅或辅助文档</x:v>
      </x:c>
      <x:c r="H1690" s="19" t="n">
        <x:v>26</x:v>
      </x:c>
      <x:c r="I1690" s="19" t="n">
        <x:v>6</x:v>
      </x:c>
      <x:c r="J1690" s="19" t="n">
        <x:v>1</x:v>
      </x:c>
      <x:c r="K1690" s="16" t="str">
        <x:v>2. New with slight deterioration</x:v>
      </x:c>
      <x:c r="L1690" s="16" t="str">
        <x:v>Very unlikely</x:v>
      </x:c>
      <x:c r="M1690" s="16" t="str">
        <x:v>Moderate</x:v>
      </x:c>
      <x:c r="N1690" s="16" t="str">
        <x:v>Low</x:v>
      </x:c>
    </x:row>
    <x:row r="1691" ht="41" customHeight="1">
      <x:c r="A1691" s="16" t="str">
        <x:v>RAW-01685</x:v>
      </x:c>
      <x:c r="B1691" s="16" t="str">
        <x:v>Observation</x:v>
      </x:c>
      <x:c r="C1691" s="16" t="str">
        <x:v>– Minor corrosion of steel mesh.</x:v>
      </x:c>
      <x:c r="D1691" s="16" t="str">
        <x:v>Back verandah roof bolted connections</x:v>
      </x:c>
      <x:c r="E1691" s="16" t="str">
        <x:v>SRC-093</x:v>
      </x:c>
      <x:c r="F1691" s="16" t="str">
        <x:v>OBS-0393</x:v>
      </x:c>
      <x:c r="G1691" s="16" t="str">
        <x:v>审阅或辅助文档</x:v>
      </x:c>
      <x:c r="H1691" s="19" t="n">
        <x:v>26</x:v>
      </x:c>
      <x:c r="I1691" s="19" t="n">
        <x:v>7</x:v>
      </x:c>
      <x:c r="J1691" s="19" t="n">
        <x:v>1</x:v>
      </x:c>
      <x:c r="K1691" s="16" t="str">
        <x:v>2. New with slight deterioration</x:v>
      </x:c>
      <x:c r="L1691" s="16" t="str">
        <x:v>Very unlikely</x:v>
      </x:c>
      <x:c r="M1691" s="16" t="str">
        <x:v>Moderate</x:v>
      </x:c>
      <x:c r="N1691" s="16" t="str">
        <x:v>Low</x:v>
      </x:c>
    </x:row>
    <x:row r="1692" ht="41" customHeight="1">
      <x:c r="A1692" s="16" t="str">
        <x:v>RAW-01686</x:v>
      </x:c>
      <x:c r="B1692" s="16" t="str">
        <x:v>Observation</x:v>
      </x:c>
      <x:c r="C1692" s="16" t="str">
        <x:v>– Minor corrosion of bolted connections.</x:v>
      </x:c>
      <x:c r="D1692" s="16" t="str">
        <x:v>Back verandah roof bolted connections</x:v>
      </x:c>
      <x:c r="E1692" s="16" t="str">
        <x:v>SRC-093</x:v>
      </x:c>
      <x:c r="F1692" s="16" t="str">
        <x:v>OBS-0061</x:v>
      </x:c>
      <x:c r="G1692" s="16" t="str">
        <x:v>审阅或辅助文档</x:v>
      </x:c>
      <x:c r="H1692" s="19" t="n">
        <x:v>26</x:v>
      </x:c>
      <x:c r="I1692" s="19" t="n">
        <x:v>8</x:v>
      </x:c>
      <x:c r="J1692" s="19" t="n">
        <x:v>1</x:v>
      </x:c>
      <x:c r="K1692" s="16" t="str">
        <x:v>2. New with slight deterioration</x:v>
      </x:c>
      <x:c r="L1692" s="16" t="str">
        <x:v>Very unlikely</x:v>
      </x:c>
      <x:c r="M1692" s="16" t="str">
        <x:v>Moderate</x:v>
      </x:c>
      <x:c r="N1692" s="16" t="str">
        <x:v>Low</x:v>
      </x:c>
    </x:row>
    <x:row r="1693" ht="37" customHeight="1">
      <x:c r="A1693" s="16" t="str">
        <x:v>RAW-01687</x:v>
      </x:c>
      <x:c r="B1693" s="16" t="str">
        <x:v>Observation</x:v>
      </x:c>
      <x:c r="C1693" s="16" t="str">
        <x:v>– Shade structure.</x:v>
      </x:c>
      <x:c r="D1693" s="16" t="str">
        <x:v>Shade structure 6 columns</x:v>
      </x:c>
      <x:c r="E1693" s="16" t="str">
        <x:v>SRC-093</x:v>
      </x:c>
      <x:c r="F1693" s="16" t="str">
        <x:v>OBS-0567</x:v>
      </x:c>
      <x:c r="G1693" s="16" t="str">
        <x:v>审阅或辅助文档</x:v>
      </x:c>
      <x:c r="H1693" s="19" t="n">
        <x:v>27</x:v>
      </x:c>
      <x:c r="I1693" s="19" t="n">
        <x:v>6</x:v>
      </x:c>
      <x:c r="J1693" s="19" t="n">
        <x:v>1</x:v>
      </x:c>
      <x:c r="K1693" s="16" t="str">
        <x:v>2. New with slight deterioration</x:v>
      </x:c>
      <x:c r="L1693" s="16" t="str">
        <x:v>Very unlikely</x:v>
      </x:c>
      <x:c r="M1693" s="16" t="str">
        <x:v>Significant</x:v>
      </x:c>
      <x:c r="N1693" s="16" t="str">
        <x:v>Low</x:v>
      </x:c>
    </x:row>
    <x:row r="1694" ht="37" customHeight="1">
      <x:c r="A1694" s="16" t="str">
        <x:v>RAW-01688</x:v>
      </x:c>
      <x:c r="B1694" s="16" t="str">
        <x:v>Observation</x:v>
      </x:c>
      <x:c r="C1694" s="16" t="str">
        <x:v>– Paint deterioration.</x:v>
      </x:c>
      <x:c r="D1694" s="16" t="str">
        <x:v>Shade structure 6 columns</x:v>
      </x:c>
      <x:c r="E1694" s="16" t="str">
        <x:v>SRC-093</x:v>
      </x:c>
      <x:c r="F1694" s="16" t="str">
        <x:v>OBS-0010</x:v>
      </x:c>
      <x:c r="G1694" s="16" t="str">
        <x:v>审阅或辅助文档</x:v>
      </x:c>
      <x:c r="H1694" s="19" t="n">
        <x:v>27</x:v>
      </x:c>
      <x:c r="I1694" s="19" t="n">
        <x:v>7</x:v>
      </x:c>
      <x:c r="J1694" s="19" t="n">
        <x:v>1</x:v>
      </x:c>
      <x:c r="K1694" s="16" t="str">
        <x:v>2. New with slight deterioration</x:v>
      </x:c>
      <x:c r="L1694" s="16" t="str">
        <x:v>Very unlikely</x:v>
      </x:c>
      <x:c r="M1694" s="16" t="str">
        <x:v>Significant</x:v>
      </x:c>
      <x:c r="N1694" s="16" t="str">
        <x:v>Low</x:v>
      </x:c>
    </x:row>
    <x:row r="1695" ht="37" customHeight="1">
      <x:c r="A1695" s="16" t="str">
        <x:v>RAW-01689</x:v>
      </x:c>
      <x:c r="B1695" s="16" t="str">
        <x:v>Recommendation</x:v>
      </x:c>
      <x:c r="C1695" s="16" t="str">
        <x:v>– Clean, remove peeling paint and repaint.</x:v>
      </x:c>
      <x:c r="D1695" s="16" t="str">
        <x:v>Shade structure 6 columns</x:v>
      </x:c>
      <x:c r="E1695" s="16" t="str">
        <x:v>SRC-093</x:v>
      </x:c>
      <x:c r="F1695" s="16" t="str">
        <x:v>REC-0010</x:v>
      </x:c>
      <x:c r="G1695" s="16" t="str">
        <x:v>审阅或辅助文档</x:v>
      </x:c>
      <x:c r="H1695" s="19" t="n">
        <x:v>27</x:v>
      </x:c>
      <x:c r="I1695" s="19" t="n">
        <x:v>7</x:v>
      </x:c>
      <x:c r="J1695" s="19" t="n">
        <x:v>1</x:v>
      </x:c>
      <x:c r="K1695" s="16" t="str">
        <x:v>2. New with slight deterioration</x:v>
      </x:c>
      <x:c r="L1695" s="16" t="str">
        <x:v>Very unlikely</x:v>
      </x:c>
      <x:c r="M1695" s="16" t="str">
        <x:v>Significant</x:v>
      </x:c>
      <x:c r="N1695" s="16" t="str">
        <x:v>Low</x:v>
      </x:c>
    </x:row>
    <x:row r="1696" ht="37" customHeight="1">
      <x:c r="A1696" s="16" t="str">
        <x:v>RAW-01690</x:v>
      </x:c>
      <x:c r="B1696" s="16" t="str">
        <x:v>Observation</x:v>
      </x:c>
      <x:c r="C1696" s="16" t="str">
        <x:v>– Paint deterioration and minor corrosion.</x:v>
      </x:c>
      <x:c r="D1696" s="16" t="str">
        <x:v>Shade structure 6 columns</x:v>
      </x:c>
      <x:c r="E1696" s="16" t="str">
        <x:v>SRC-093</x:v>
      </x:c>
      <x:c r="F1696" s="16" t="str">
        <x:v>OBS-0442</x:v>
      </x:c>
      <x:c r="G1696" s="16" t="str">
        <x:v>审阅或辅助文档</x:v>
      </x:c>
      <x:c r="H1696" s="19" t="n">
        <x:v>27</x:v>
      </x:c>
      <x:c r="I1696" s="19" t="n">
        <x:v>8</x:v>
      </x:c>
      <x:c r="J1696" s="19" t="n">
        <x:v>1</x:v>
      </x:c>
      <x:c r="K1696" s="16" t="str">
        <x:v>2. New with slight deterioration</x:v>
      </x:c>
      <x:c r="L1696" s="16" t="str">
        <x:v>Very unlikely</x:v>
      </x:c>
      <x:c r="M1696" s="16" t="str">
        <x:v>Significant</x:v>
      </x:c>
      <x:c r="N1696" s="16" t="str">
        <x:v>Low</x:v>
      </x:c>
    </x:row>
    <x:row r="1697" ht="37" customHeight="1">
      <x:c r="A1697" s="16" t="str">
        <x:v>RAW-01691</x:v>
      </x:c>
      <x:c r="B1697" s="16" t="str">
        <x:v>Recommendation</x:v>
      </x:c>
      <x:c r="C1697" s="16" t="str">
        <x:v>– Clean, remove corrosion and repaint.</x:v>
      </x:c>
      <x:c r="D1697" s="16" t="str">
        <x:v>Shade structure 6 columns</x:v>
      </x:c>
      <x:c r="E1697" s="16" t="str">
        <x:v>SRC-093</x:v>
      </x:c>
      <x:c r="F1697" s="16" t="str">
        <x:v>REC-0002</x:v>
      </x:c>
      <x:c r="G1697" s="16" t="str">
        <x:v>审阅或辅助文档</x:v>
      </x:c>
      <x:c r="H1697" s="19" t="n">
        <x:v>27</x:v>
      </x:c>
      <x:c r="I1697" s="19" t="n">
        <x:v>8</x:v>
      </x:c>
      <x:c r="J1697" s="19" t="n">
        <x:v>1</x:v>
      </x:c>
      <x:c r="K1697" s="16" t="str">
        <x:v>2. New with slight deterioration</x:v>
      </x:c>
      <x:c r="L1697" s="16" t="str">
        <x:v>Very unlikely</x:v>
      </x:c>
      <x:c r="M1697" s="16" t="str">
        <x:v>Significant</x:v>
      </x:c>
      <x:c r="N1697" s="16" t="str">
        <x:v>Low</x:v>
      </x:c>
    </x:row>
    <x:row r="1698" ht="37" customHeight="1">
      <x:c r="A1698" s="16" t="str">
        <x:v>RAW-01692</x:v>
      </x:c>
      <x:c r="B1698" s="16" t="str">
        <x:v>Observation</x:v>
      </x:c>
      <x:c r="C1698" s="16" t="str">
        <x:v>– Shade structure column. Minor corrosion.</x:v>
      </x:c>
      <x:c r="D1698" s="16" t="str">
        <x:v>Shade structure 3 column</x:v>
      </x:c>
      <x:c r="E1698" s="16" t="str">
        <x:v>SRC-093</x:v>
      </x:c>
      <x:c r="F1698" s="16" t="str">
        <x:v>OBS-0564</x:v>
      </x:c>
      <x:c r="G1698" s="16" t="str">
        <x:v>审阅或辅助文档</x:v>
      </x:c>
      <x:c r="H1698" s="19" t="n">
        <x:v>28</x:v>
      </x:c>
      <x:c r="I1698" s="19" t="n">
        <x:v>6</x:v>
      </x:c>
      <x:c r="J1698" s="19" t="n">
        <x:v>1</x:v>
      </x:c>
      <x:c r="K1698" s="16" t="str">
        <x:v>2. New with slight deterioration</x:v>
      </x:c>
      <x:c r="L1698" s="16" t="str">
        <x:v>Very unlikely</x:v>
      </x:c>
      <x:c r="M1698" s="16" t="str">
        <x:v>Significant</x:v>
      </x:c>
      <x:c r="N1698" s="16" t="str">
        <x:v>Low</x:v>
      </x:c>
    </x:row>
    <x:row r="1699" ht="37" customHeight="1">
      <x:c r="A1699" s="16" t="str">
        <x:v>RAW-01693</x:v>
      </x:c>
      <x:c r="B1699" s="16" t="str">
        <x:v>Recommendation</x:v>
      </x:c>
      <x:c r="C1699" s="16" t="str">
        <x:v>– Clean, remove corrosion and repaint.</x:v>
      </x:c>
      <x:c r="D1699" s="16" t="str">
        <x:v>Shade structure 3 column</x:v>
      </x:c>
      <x:c r="E1699" s="16" t="str">
        <x:v>SRC-093</x:v>
      </x:c>
      <x:c r="F1699" s="16" t="str">
        <x:v>REC-0002</x:v>
      </x:c>
      <x:c r="G1699" s="16" t="str">
        <x:v>审阅或辅助文档</x:v>
      </x:c>
      <x:c r="H1699" s="19" t="n">
        <x:v>28</x:v>
      </x:c>
      <x:c r="I1699" s="19" t="n">
        <x:v>6</x:v>
      </x:c>
      <x:c r="J1699" s="19" t="n">
        <x:v>1</x:v>
      </x:c>
      <x:c r="K1699" s="16" t="str">
        <x:v>2. New with slight deterioration</x:v>
      </x:c>
      <x:c r="L1699" s="16" t="str">
        <x:v>Very unlikely</x:v>
      </x:c>
      <x:c r="M1699" s="16" t="str">
        <x:v>Significant</x:v>
      </x:c>
      <x:c r="N1699" s="16" t="str">
        <x:v>Low</x:v>
      </x:c>
    </x:row>
    <x:row r="1700" ht="37" customHeight="1">
      <x:c r="A1700" s="16" t="str">
        <x:v>RAW-01694</x:v>
      </x:c>
      <x:c r="B1700" s="16" t="str">
        <x:v>Observation</x:v>
      </x:c>
      <x:c r="C1700" s="16" t="str">
        <x:v>– Minor corrosion towards lower section of column and on previous patch repair.</x:v>
      </x:c>
      <x:c r="D1700" s="16" t="str">
        <x:v>Shade structure 3 column</x:v>
      </x:c>
      <x:c r="E1700" s="16" t="str">
        <x:v>SRC-093</x:v>
      </x:c>
      <x:c r="F1700" s="16" t="str">
        <x:v>OBS-0401</x:v>
      </x:c>
      <x:c r="G1700" s="16" t="str">
        <x:v>审阅或辅助文档</x:v>
      </x:c>
      <x:c r="H1700" s="19" t="n">
        <x:v>28</x:v>
      </x:c>
      <x:c r="I1700" s="19" t="n">
        <x:v>7</x:v>
      </x:c>
      <x:c r="J1700" s="19" t="n">
        <x:v>1</x:v>
      </x:c>
      <x:c r="K1700" s="16" t="str">
        <x:v>2. New with slight deterioration</x:v>
      </x:c>
      <x:c r="L1700" s="16" t="str">
        <x:v>Very unlikely</x:v>
      </x:c>
      <x:c r="M1700" s="16" t="str">
        <x:v>Significant</x:v>
      </x:c>
      <x:c r="N1700" s="16" t="str">
        <x:v>Low</x:v>
      </x:c>
    </x:row>
    <x:row r="1701" ht="37" customHeight="1">
      <x:c r="A1701" s="16" t="str">
        <x:v>RAW-01695</x:v>
      </x:c>
      <x:c r="B1701" s="16" t="str">
        <x:v>Observation</x:v>
      </x:c>
      <x:c r="C1701" s="16" t="str">
        <x:v>– Minor corrosion at anchor.</x:v>
      </x:c>
      <x:c r="D1701" s="16" t="str">
        <x:v>Shade structure 3 column</x:v>
      </x:c>
      <x:c r="E1701" s="16" t="str">
        <x:v>SRC-093</x:v>
      </x:c>
      <x:c r="F1701" s="16" t="str">
        <x:v>OBS-0058</x:v>
      </x:c>
      <x:c r="G1701" s="16" t="str">
        <x:v>审阅或辅助文档</x:v>
      </x:c>
      <x:c r="H1701" s="19" t="n">
        <x:v>28</x:v>
      </x:c>
      <x:c r="I1701" s="19" t="n">
        <x:v>8</x:v>
      </x:c>
      <x:c r="J1701" s="19" t="n">
        <x:v>1</x:v>
      </x:c>
      <x:c r="K1701" s="16" t="str">
        <x:v>2. New with slight deterioration</x:v>
      </x:c>
      <x:c r="L1701" s="16" t="str">
        <x:v>Very unlikely</x:v>
      </x:c>
      <x:c r="M1701" s="16" t="str">
        <x:v>Significant</x:v>
      </x:c>
      <x:c r="N1701" s="16" t="str">
        <x:v>Low</x:v>
      </x:c>
    </x:row>
    <x:row r="1702" ht="37" customHeight="1">
      <x:c r="A1702" s="16" t="str">
        <x:v>RAW-01696</x:v>
      </x:c>
      <x:c r="B1702" s="16" t="str">
        <x:v>Observation</x:v>
      </x:c>
      <x:c r="C1702" s="16" t="str">
        <x:v>– Minor corrosion of the column.</x:v>
      </x:c>
      <x:c r="D1702" s="16" t="str">
        <x:v>Light post</x:v>
      </x:c>
      <x:c r="E1702" s="16" t="str">
        <x:v>SRC-093</x:v>
      </x:c>
      <x:c r="F1702" s="16" t="str"/>
      <x:c r="G1702" s="16" t="str">
        <x:v>审阅或辅助文档</x:v>
      </x:c>
      <x:c r="H1702" s="19" t="n">
        <x:v>29</x:v>
      </x:c>
      <x:c r="I1702" s="19" t="n">
        <x:v>6</x:v>
      </x:c>
      <x:c r="J1702" s="19" t="n">
        <x:v>1</x:v>
      </x:c>
      <x:c r="K1702" s="16" t="str">
        <x:v>2. New with slight deterioration</x:v>
      </x:c>
      <x:c r="L1702" s="16" t="str">
        <x:v>Very unlikely</x:v>
      </x:c>
      <x:c r="M1702" s="16" t="str">
        <x:v>Significant</x:v>
      </x:c>
      <x:c r="N1702" s="16" t="str">
        <x:v>Low</x:v>
      </x:c>
    </x:row>
    <x:row r="1703" ht="37" customHeight="1">
      <x:c r="A1703" s="16" t="str">
        <x:v>RAW-01697</x:v>
      </x:c>
      <x:c r="B1703" s="16" t="str">
        <x:v>Observation</x:v>
      </x:c>
      <x:c r="C1703" s="16" t="str">
        <x:v>– Minor corrosion of the column.</x:v>
      </x:c>
      <x:c r="D1703" s="16" t="str">
        <x:v>Light post</x:v>
      </x:c>
      <x:c r="E1703" s="16" t="str">
        <x:v>SRC-093</x:v>
      </x:c>
      <x:c r="F1703" s="16" t="str"/>
      <x:c r="G1703" s="16" t="str">
        <x:v>审阅或辅助文档</x:v>
      </x:c>
      <x:c r="H1703" s="19" t="n">
        <x:v>29</x:v>
      </x:c>
      <x:c r="I1703" s="19" t="n">
        <x:v>7</x:v>
      </x:c>
      <x:c r="J1703" s="19" t="n">
        <x:v>1</x:v>
      </x:c>
      <x:c r="K1703" s="16" t="str">
        <x:v>2. New with slight deterioration</x:v>
      </x:c>
      <x:c r="L1703" s="16" t="str">
        <x:v>Very unlikely</x:v>
      </x:c>
      <x:c r="M1703" s="16" t="str">
        <x:v>Significant</x:v>
      </x:c>
      <x:c r="N1703" s="16" t="str">
        <x:v>Low</x:v>
      </x:c>
    </x:row>
    <x:row r="1704" ht="37" customHeight="1">
      <x:c r="A1704" s="16" t="str">
        <x:v>RAW-01698</x:v>
      </x:c>
      <x:c r="B1704" s="16" t="str">
        <x:v>Recommendation</x:v>
      </x:c>
      <x:c r="C1704" s="16" t="str">
        <x:v>– Clean, remove corrosion and repaint.</x:v>
      </x:c>
      <x:c r="D1704" s="16" t="str">
        <x:v>Light post</x:v>
      </x:c>
      <x:c r="E1704" s="16" t="str">
        <x:v>SRC-093</x:v>
      </x:c>
      <x:c r="F1704" s="16" t="str">
        <x:v>REC-0002</x:v>
      </x:c>
      <x:c r="G1704" s="16" t="str">
        <x:v>审阅或辅助文档</x:v>
      </x:c>
      <x:c r="H1704" s="19" t="n">
        <x:v>29</x:v>
      </x:c>
      <x:c r="I1704" s="19" t="n">
        <x:v>7</x:v>
      </x:c>
      <x:c r="J1704" s="19" t="n">
        <x:v>1</x:v>
      </x:c>
      <x:c r="K1704" s="16" t="str">
        <x:v>2. New with slight deterioration</x:v>
      </x:c>
      <x:c r="L1704" s="16" t="str">
        <x:v>Very unlikely</x:v>
      </x:c>
      <x:c r="M1704" s="16" t="str">
        <x:v>Significant</x:v>
      </x:c>
      <x:c r="N1704" s="16" t="str">
        <x:v>Low</x:v>
      </x:c>
    </x:row>
    <x:row r="1705" ht="37" customHeight="1">
      <x:c r="A1705" s="16" t="str">
        <x:v>RAW-01699</x:v>
      </x:c>
      <x:c r="B1705" s="16" t="str">
        <x:v>Observation</x:v>
      </x:c>
      <x:c r="C1705" s="16" t="str">
        <x:v>– Corrosion on cladding. Close-up photo shown below.</x:v>
      </x:c>
      <x:c r="D1705" s="16" t="str">
        <x:v>Front cladding</x:v>
      </x:c>
      <x:c r="E1705" s="16" t="str">
        <x:v>SRC-093</x:v>
      </x:c>
      <x:c r="F1705" s="16" t="str">
        <x:v>OBS-0231</x:v>
      </x:c>
      <x:c r="G1705" s="16" t="str">
        <x:v>审阅或辅助文档</x:v>
      </x:c>
      <x:c r="H1705" s="19" t="n">
        <x:v>30</x:v>
      </x:c>
      <x:c r="I1705" s="19" t="n">
        <x:v>6</x:v>
      </x:c>
      <x:c r="J1705" s="19" t="n">
        <x:v>1</x:v>
      </x:c>
      <x:c r="K1705" s="16" t="str">
        <x:v>4. Moderate corrosion</x:v>
      </x:c>
      <x:c r="L1705" s="16" t="str">
        <x:v>Possible</x:v>
      </x:c>
      <x:c r="M1705" s="16" t="str">
        <x:v>Negligible</x:v>
      </x:c>
      <x:c r="N1705" s="16" t="str">
        <x:v>Low</x:v>
      </x:c>
    </x:row>
    <x:row r="1706" ht="37" customHeight="1">
      <x:c r="A1706" s="16" t="str">
        <x:v>RAW-01700</x:v>
      </x:c>
      <x:c r="B1706" s="16" t="str">
        <x:v>Observation</x:v>
      </x:c>
      <x:c r="C1706" s="16" t="str">
        <x:v>– Corrosion on cladding.</x:v>
      </x:c>
      <x:c r="D1706" s="16" t="str">
        <x:v>Front cladding</x:v>
      </x:c>
      <x:c r="E1706" s="16" t="str">
        <x:v>SRC-093</x:v>
      </x:c>
      <x:c r="F1706" s="16" t="str">
        <x:v>OBS-0230</x:v>
      </x:c>
      <x:c r="G1706" s="16" t="str">
        <x:v>审阅或辅助文档</x:v>
      </x:c>
      <x:c r="H1706" s="19" t="n">
        <x:v>30</x:v>
      </x:c>
      <x:c r="I1706" s="19" t="n">
        <x:v>7</x:v>
      </x:c>
      <x:c r="J1706" s="19" t="n">
        <x:v>1</x:v>
      </x:c>
      <x:c r="K1706" s="16" t="str">
        <x:v>4. Moderate corrosion</x:v>
      </x:c>
      <x:c r="L1706" s="16" t="str">
        <x:v>Possible</x:v>
      </x:c>
      <x:c r="M1706" s="16" t="str">
        <x:v>Negligible</x:v>
      </x:c>
      <x:c r="N1706" s="16" t="str">
        <x:v>Low</x:v>
      </x:c>
    </x:row>
    <x:row r="1707" ht="37" customHeight="1">
      <x:c r="A1707" s="16" t="str">
        <x:v>RAW-01701</x:v>
      </x:c>
      <x:c r="B1707" s="16" t="str">
        <x:v>Recommendation</x:v>
      </x:c>
      <x:c r="C1707" s="16" t="str">
        <x:v>– Clean, remove corrosion and repaint.</x:v>
      </x:c>
      <x:c r="D1707" s="16" t="str">
        <x:v>Front cladding</x:v>
      </x:c>
      <x:c r="E1707" s="16" t="str">
        <x:v>SRC-093</x:v>
      </x:c>
      <x:c r="F1707" s="16" t="str">
        <x:v>REC-0002</x:v>
      </x:c>
      <x:c r="G1707" s="16" t="str">
        <x:v>审阅或辅助文档</x:v>
      </x:c>
      <x:c r="H1707" s="19" t="n">
        <x:v>30</x:v>
      </x:c>
      <x:c r="I1707" s="19" t="n">
        <x:v>7</x:v>
      </x:c>
      <x:c r="J1707" s="19" t="n">
        <x:v>1</x:v>
      </x:c>
      <x:c r="K1707" s="16" t="str">
        <x:v>4. Moderate corrosion</x:v>
      </x:c>
      <x:c r="L1707" s="16" t="str">
        <x:v>Possible</x:v>
      </x:c>
      <x:c r="M1707" s="16" t="str">
        <x:v>Negligible</x:v>
      </x:c>
      <x:c r="N1707" s="16" t="str">
        <x:v>Low</x:v>
      </x:c>
    </x:row>
    <x:row r="1708" ht="37" customHeight="1">
      <x:c r="A1708" s="16" t="str">
        <x:v>RAW-01702</x:v>
      </x:c>
      <x:c r="B1708" s="16" t="str">
        <x:v>Observation</x:v>
      </x:c>
      <x:c r="C1708" s="16" t="str">
        <x:v>– Shade structure column overview.</x:v>
      </x:c>
      <x:c r="D1708" s="16" t="str">
        <x:v>Shade structure column</x:v>
      </x:c>
      <x:c r="E1708" s="16" t="str">
        <x:v>SRC-093</x:v>
      </x:c>
      <x:c r="F1708" s="16" t="str">
        <x:v>OBS-0561</x:v>
      </x:c>
      <x:c r="G1708" s="16" t="str">
        <x:v>审阅或辅助文档</x:v>
      </x:c>
      <x:c r="H1708" s="19" t="n">
        <x:v>31</x:v>
      </x:c>
      <x:c r="I1708" s="19" t="n">
        <x:v>6</x:v>
      </x:c>
      <x:c r="J1708" s="19" t="n">
        <x:v>1</x:v>
      </x:c>
      <x:c r="K1708" s="16" t="str">
        <x:v>2. New with slight deterioration</x:v>
      </x:c>
      <x:c r="L1708" s="16" t="str">
        <x:v>Very unlikely</x:v>
      </x:c>
      <x:c r="M1708" s="16" t="str">
        <x:v>Significant</x:v>
      </x:c>
      <x:c r="N1708" s="16" t="str">
        <x:v>Low</x:v>
      </x:c>
    </x:row>
    <x:row r="1709" ht="37" customHeight="1">
      <x:c r="A1709" s="16" t="str">
        <x:v>RAW-01703</x:v>
      </x:c>
      <x:c r="B1709" s="16" t="str">
        <x:v>Observation</x:v>
      </x:c>
      <x:c r="C1709" s="16" t="str">
        <x:v>– Protective wrap has failed.</x:v>
      </x:c>
      <x:c r="D1709" s="16" t="str">
        <x:v>Shade structure column</x:v>
      </x:c>
      <x:c r="E1709" s="16" t="str">
        <x:v>SRC-093</x:v>
      </x:c>
      <x:c r="F1709" s="16" t="str"/>
      <x:c r="G1709" s="16" t="str">
        <x:v>审阅或辅助文档</x:v>
      </x:c>
      <x:c r="H1709" s="19" t="n">
        <x:v>31</x:v>
      </x:c>
      <x:c r="I1709" s="19" t="n">
        <x:v>7</x:v>
      </x:c>
      <x:c r="J1709" s="19" t="n">
        <x:v>1</x:v>
      </x:c>
      <x:c r="K1709" s="16" t="str">
        <x:v>2. New with slight deterioration</x:v>
      </x:c>
      <x:c r="L1709" s="16" t="str">
        <x:v>Very unlikely</x:v>
      </x:c>
      <x:c r="M1709" s="16" t="str">
        <x:v>Significant</x:v>
      </x:c>
      <x:c r="N1709" s="16" t="str">
        <x:v>Low</x:v>
      </x:c>
    </x:row>
    <x:row r="1710" ht="37" customHeight="1">
      <x:c r="A1710" s="16" t="str">
        <x:v>RAW-01704</x:v>
      </x:c>
      <x:c r="B1710" s="16" t="str">
        <x:v>Recommendation</x:v>
      </x:c>
      <x:c r="C1710" s="16" t="str">
        <x:v>– Replace protective wrap.</x:v>
      </x:c>
      <x:c r="D1710" s="16" t="str">
        <x:v>Shade structure column</x:v>
      </x:c>
      <x:c r="E1710" s="16" t="str">
        <x:v>SRC-093</x:v>
      </x:c>
      <x:c r="F1710" s="16" t="str">
        <x:v>REC-0149</x:v>
      </x:c>
      <x:c r="G1710" s="16" t="str">
        <x:v>审阅或辅助文档</x:v>
      </x:c>
      <x:c r="H1710" s="19" t="n">
        <x:v>31</x:v>
      </x:c>
      <x:c r="I1710" s="19" t="n">
        <x:v>7</x:v>
      </x:c>
      <x:c r="J1710" s="19" t="n">
        <x:v>1</x:v>
      </x:c>
      <x:c r="K1710" s="16" t="str">
        <x:v>2. New with slight deterioration</x:v>
      </x:c>
      <x:c r="L1710" s="16" t="str">
        <x:v>Very unlikely</x:v>
      </x:c>
      <x:c r="M1710" s="16" t="str">
        <x:v>Significant</x:v>
      </x:c>
      <x:c r="N1710" s="16" t="str">
        <x:v>Low</x:v>
      </x:c>
    </x:row>
    <x:row r="1711" ht="37" customHeight="1">
      <x:c r="A1711" s="16" t="str">
        <x:v>RAW-01705</x:v>
      </x:c>
      <x:c r="B1711" s="16" t="str">
        <x:v>Observation</x:v>
      </x:c>
      <x:c r="C1711" s="16" t="str">
        <x:v>– Minor corrosion at anchor.</x:v>
      </x:c>
      <x:c r="D1711" s="16" t="str">
        <x:v>Shade structure column</x:v>
      </x:c>
      <x:c r="E1711" s="16" t="str">
        <x:v>SRC-093</x:v>
      </x:c>
      <x:c r="F1711" s="16" t="str">
        <x:v>OBS-0058</x:v>
      </x:c>
      <x:c r="G1711" s="16" t="str">
        <x:v>审阅或辅助文档</x:v>
      </x:c>
      <x:c r="H1711" s="19" t="n">
        <x:v>31</x:v>
      </x:c>
      <x:c r="I1711" s="19" t="n">
        <x:v>8</x:v>
      </x:c>
      <x:c r="J1711" s="19" t="n">
        <x:v>1</x:v>
      </x:c>
      <x:c r="K1711" s="16" t="str">
        <x:v>2. New with slight deterioration</x:v>
      </x:c>
      <x:c r="L1711" s="16" t="str">
        <x:v>Very unlikely</x:v>
      </x:c>
      <x:c r="M1711" s="16" t="str">
        <x:v>Significant</x:v>
      </x:c>
      <x:c r="N1711" s="16" t="str">
        <x:v>Low</x:v>
      </x:c>
    </x:row>
    <x:row r="1712" ht="37" customHeight="1">
      <x:c r="A1712" s="16" t="str">
        <x:v>RAW-01706</x:v>
      </x:c>
      <x:c r="B1712" s="16" t="str">
        <x:v>Recommendation</x:v>
      </x:c>
      <x:c r="C1712" s="16" t="str">
        <x:v>– Clean, remove corrosion and repaint.</x:v>
      </x:c>
      <x:c r="D1712" s="16" t="str">
        <x:v>Shade structure column</x:v>
      </x:c>
      <x:c r="E1712" s="16" t="str">
        <x:v>SRC-093</x:v>
      </x:c>
      <x:c r="F1712" s="16" t="str">
        <x:v>REC-0002</x:v>
      </x:c>
      <x:c r="G1712" s="16" t="str">
        <x:v>审阅或辅助文档</x:v>
      </x:c>
      <x:c r="H1712" s="19" t="n">
        <x:v>31</x:v>
      </x:c>
      <x:c r="I1712" s="19" t="n">
        <x:v>8</x:v>
      </x:c>
      <x:c r="J1712" s="19" t="n">
        <x:v>1</x:v>
      </x:c>
      <x:c r="K1712" s="16" t="str">
        <x:v>2. New with slight deterioration</x:v>
      </x:c>
      <x:c r="L1712" s="16" t="str">
        <x:v>Very unlikely</x:v>
      </x:c>
      <x:c r="M1712" s="16" t="str">
        <x:v>Significant</x:v>
      </x:c>
      <x:c r="N1712" s="16" t="str">
        <x:v>Low</x:v>
      </x:c>
    </x:row>
    <x:row r="1713" ht="37" customHeight="1">
      <x:c r="A1713" s="16" t="str">
        <x:v>RAW-01707</x:v>
      </x:c>
      <x:c r="B1713" s="16" t="str">
        <x:v>Observation</x:v>
      </x:c>
      <x:c r="C1713" s="16" t="str">
        <x:v>– Overview.</x:v>
      </x:c>
      <x:c r="D1713" s="16" t="str">
        <x:v>Sculpture A</x:v>
      </x:c>
      <x:c r="E1713" s="16" t="str">
        <x:v>SRC-094</x:v>
      </x:c>
      <x:c r="F1713" s="16" t="str">
        <x:v>OBS-0002</x:v>
      </x:c>
      <x:c r="G1713" s="16" t="str">
        <x:v>正式报告</x:v>
      </x:c>
      <x:c r="H1713" s="19" t="n">
        <x:v>3</x:v>
      </x:c>
      <x:c r="I1713" s="19" t="n">
        <x:v>6</x:v>
      </x:c>
      <x:c r="J1713" s="19" t="n">
        <x:v>1</x:v>
      </x:c>
      <x:c r="K1713" s="16" t="str">
        <x:v>7. Very severe deterioration</x:v>
      </x:c>
      <x:c r="L1713" s="16" t="str">
        <x:v>Very likely</x:v>
      </x:c>
      <x:c r="M1713" s="16" t="str">
        <x:v>Significant</x:v>
      </x:c>
      <x:c r="N1713" s="16" t="str">
        <x:v>Urgent</x:v>
      </x:c>
    </x:row>
    <x:row r="1714" ht="37" customHeight="1">
      <x:c r="A1714" s="16" t="str">
        <x:v>RAW-01708</x:v>
      </x:c>
      <x:c r="B1714" s="16" t="str">
        <x:v>Observation</x:v>
      </x:c>
      <x:c r="C1714" s="16" t="str">
        <x:v>– Bolts protruding from timber.</x:v>
      </x:c>
      <x:c r="D1714" s="16" t="str">
        <x:v>Sculpture A</x:v>
      </x:c>
      <x:c r="E1714" s="16" t="str">
        <x:v>SRC-094</x:v>
      </x:c>
      <x:c r="F1714" s="16" t="str">
        <x:v>OBS-0148</x:v>
      </x:c>
      <x:c r="G1714" s="16" t="str">
        <x:v>正式报告</x:v>
      </x:c>
      <x:c r="H1714" s="19" t="n">
        <x:v>3</x:v>
      </x:c>
      <x:c r="I1714" s="19" t="n">
        <x:v>7</x:v>
      </x:c>
      <x:c r="J1714" s="19" t="n">
        <x:v>1</x:v>
      </x:c>
      <x:c r="K1714" s="16" t="str">
        <x:v>7. Very severe deterioration</x:v>
      </x:c>
      <x:c r="L1714" s="16" t="str">
        <x:v>Very likely</x:v>
      </x:c>
      <x:c r="M1714" s="16" t="str">
        <x:v>Significant</x:v>
      </x:c>
      <x:c r="N1714" s="16" t="str">
        <x:v>Urgent</x:v>
      </x:c>
    </x:row>
    <x:row r="1715" ht="37" customHeight="1">
      <x:c r="A1715" s="16" t="str">
        <x:v>RAW-01709</x:v>
      </x:c>
      <x:c r="B1715" s="16" t="str">
        <x:v>Recommendation</x:v>
      </x:c>
      <x:c r="C1715" s="16" t="str">
        <x:v>– Replace bolts like for like.</x:v>
      </x:c>
      <x:c r="D1715" s="16" t="str">
        <x:v>Sculpture A</x:v>
      </x:c>
      <x:c r="E1715" s="16" t="str">
        <x:v>SRC-094</x:v>
      </x:c>
      <x:c r="F1715" s="16" t="str">
        <x:v>REC-0142</x:v>
      </x:c>
      <x:c r="G1715" s="16" t="str">
        <x:v>正式报告</x:v>
      </x:c>
      <x:c r="H1715" s="19" t="n">
        <x:v>3</x:v>
      </x:c>
      <x:c r="I1715" s="19" t="n">
        <x:v>7</x:v>
      </x:c>
      <x:c r="J1715" s="19" t="n">
        <x:v>1</x:v>
      </x:c>
      <x:c r="K1715" s="16" t="str">
        <x:v>7. Very severe deterioration</x:v>
      </x:c>
      <x:c r="L1715" s="16" t="str">
        <x:v>Very likely</x:v>
      </x:c>
      <x:c r="M1715" s="16" t="str">
        <x:v>Significant</x:v>
      </x:c>
      <x:c r="N1715" s="16" t="str">
        <x:v>Urgent</x:v>
      </x:c>
    </x:row>
    <x:row r="1716" ht="37" customHeight="1">
      <x:c r="A1716" s="16" t="str">
        <x:v>RAW-01710</x:v>
      </x:c>
      <x:c r="B1716" s="16" t="str">
        <x:v>Observation</x:v>
      </x:c>
      <x:c r="C1716" s="16" t="str">
        <x:v>– Corrosion on steel supports. One support has failed.</x:v>
      </x:c>
      <x:c r="D1716" s="16" t="str">
        <x:v>Sculpture A</x:v>
      </x:c>
      <x:c r="E1716" s="16" t="str">
        <x:v>SRC-094</x:v>
      </x:c>
      <x:c r="F1716" s="16" t="str">
        <x:v>OBS-0236</x:v>
      </x:c>
      <x:c r="G1716" s="16" t="str">
        <x:v>正式报告</x:v>
      </x:c>
      <x:c r="H1716" s="19" t="n">
        <x:v>3</x:v>
      </x:c>
      <x:c r="I1716" s="19" t="n">
        <x:v>8</x:v>
      </x:c>
      <x:c r="J1716" s="19" t="n">
        <x:v>1</x:v>
      </x:c>
      <x:c r="K1716" s="16" t="str">
        <x:v>7. Very severe deterioration</x:v>
      </x:c>
      <x:c r="L1716" s="16" t="str">
        <x:v>Very likely</x:v>
      </x:c>
      <x:c r="M1716" s="16" t="str">
        <x:v>Significant</x:v>
      </x:c>
      <x:c r="N1716" s="16" t="str">
        <x:v>Urgent</x:v>
      </x:c>
    </x:row>
    <x:row r="1717" ht="37" customHeight="1">
      <x:c r="A1717" s="16" t="str">
        <x:v>RAW-01711</x:v>
      </x:c>
      <x:c r="B1717" s="16" t="str">
        <x:v>Observation</x:v>
      </x:c>
      <x:c r="C1717" s="16" t="str">
        <x:v>– Corrosion on steel supports.</x:v>
      </x:c>
      <x:c r="D1717" s="16" t="str">
        <x:v>Sculpture A</x:v>
      </x:c>
      <x:c r="E1717" s="16" t="str">
        <x:v>SRC-094</x:v>
      </x:c>
      <x:c r="F1717" s="16" t="str">
        <x:v>OBS-0235</x:v>
      </x:c>
      <x:c r="G1717" s="16" t="str">
        <x:v>正式报告</x:v>
      </x:c>
      <x:c r="H1717" s="19" t="n">
        <x:v>3</x:v>
      </x:c>
      <x:c r="I1717" s="19" t="n">
        <x:v>9</x:v>
      </x:c>
      <x:c r="J1717" s="19" t="n">
        <x:v>1</x:v>
      </x:c>
      <x:c r="K1717" s="16" t="str">
        <x:v>7. Very severe deterioration</x:v>
      </x:c>
      <x:c r="L1717" s="16" t="str">
        <x:v>Very likely</x:v>
      </x:c>
      <x:c r="M1717" s="16" t="str">
        <x:v>Significant</x:v>
      </x:c>
      <x:c r="N1717" s="16" t="str">
        <x:v>Urgent</x:v>
      </x:c>
    </x:row>
    <x:row r="1718" ht="37" customHeight="1">
      <x:c r="A1718" s="16" t="str">
        <x:v>RAW-01712</x:v>
      </x:c>
      <x:c r="B1718" s="16" t="str">
        <x:v>Recommendation</x:v>
      </x:c>
      <x:c r="C1718" s="16" t="str">
        <x:v>– Clean, remove corrosion and repaint.</x:v>
      </x:c>
      <x:c r="D1718" s="16" t="str">
        <x:v>Sculpture A</x:v>
      </x:c>
      <x:c r="E1718" s="16" t="str">
        <x:v>SRC-094</x:v>
      </x:c>
      <x:c r="F1718" s="16" t="str">
        <x:v>REC-0002</x:v>
      </x:c>
      <x:c r="G1718" s="16" t="str">
        <x:v>正式报告</x:v>
      </x:c>
      <x:c r="H1718" s="19" t="n">
        <x:v>3</x:v>
      </x:c>
      <x:c r="I1718" s="19" t="n">
        <x:v>9</x:v>
      </x:c>
      <x:c r="J1718" s="19" t="n">
        <x:v>1</x:v>
      </x:c>
      <x:c r="K1718" s="16" t="str">
        <x:v>7. Very severe deterioration</x:v>
      </x:c>
      <x:c r="L1718" s="16" t="str">
        <x:v>Very likely</x:v>
      </x:c>
      <x:c r="M1718" s="16" t="str">
        <x:v>Significant</x:v>
      </x:c>
      <x:c r="N1718" s="16" t="str">
        <x:v>Urgent</x:v>
      </x:c>
    </x:row>
    <x:row r="1719" ht="37" customHeight="1">
      <x:c r="A1719" s="16" t="str">
        <x:v>RAW-01713</x:v>
      </x:c>
      <x:c r="B1719" s="16" t="str">
        <x:v>Observation</x:v>
      </x:c>
      <x:c r="C1719" s="16" t="str">
        <x:v>– Overview.</x:v>
      </x:c>
      <x:c r="D1719" s="16" t="str">
        <x:v>Sculpture B</x:v>
      </x:c>
      <x:c r="E1719" s="16" t="str">
        <x:v>SRC-094</x:v>
      </x:c>
      <x:c r="F1719" s="16" t="str">
        <x:v>OBS-0002</x:v>
      </x:c>
      <x:c r="G1719" s="16" t="str">
        <x:v>正式报告</x:v>
      </x:c>
      <x:c r="H1719" s="19" t="n">
        <x:v>4</x:v>
      </x:c>
      <x:c r="I1719" s="19" t="n">
        <x:v>6</x:v>
      </x:c>
      <x:c r="J1719" s="19" t="n">
        <x:v>1</x:v>
      </x:c>
      <x:c r="K1719" s="16" t="str">
        <x:v>7. Very severe deterioration</x:v>
      </x:c>
      <x:c r="L1719" s="16" t="str">
        <x:v>Very likely</x:v>
      </x:c>
      <x:c r="M1719" s="16" t="str">
        <x:v>Significant</x:v>
      </x:c>
      <x:c r="N1719" s="16" t="str">
        <x:v>Urgent</x:v>
      </x:c>
    </x:row>
    <x:row r="1720" ht="37" customHeight="1">
      <x:c r="A1720" s="16" t="str">
        <x:v>RAW-01714</x:v>
      </x:c>
      <x:c r="B1720" s="16" t="str">
        <x:v>Recommendation</x:v>
      </x:c>
      <x:c r="C1720" s="16" t="str">
        <x:v>– Remove it or restraint access to it.</x:v>
      </x:c>
      <x:c r="D1720" s="16" t="str">
        <x:v>Sculpture B</x:v>
      </x:c>
      <x:c r="E1720" s="16" t="str">
        <x:v>SRC-094</x:v>
      </x:c>
      <x:c r="F1720" s="16" t="str">
        <x:v>REC-0130</x:v>
      </x:c>
      <x:c r="G1720" s="16" t="str">
        <x:v>正式报告</x:v>
      </x:c>
      <x:c r="H1720" s="19" t="n">
        <x:v>4</x:v>
      </x:c>
      <x:c r="I1720" s="19" t="n">
        <x:v>6</x:v>
      </x:c>
      <x:c r="J1720" s="19" t="n">
        <x:v>1</x:v>
      </x:c>
      <x:c r="K1720" s="16" t="str">
        <x:v>7. Very severe deterioration</x:v>
      </x:c>
      <x:c r="L1720" s="16" t="str">
        <x:v>Very likely</x:v>
      </x:c>
      <x:c r="M1720" s="16" t="str">
        <x:v>Significant</x:v>
      </x:c>
      <x:c r="N1720" s="16" t="str">
        <x:v>Urgent</x:v>
      </x:c>
    </x:row>
    <x:row r="1721" ht="37" customHeight="1">
      <x:c r="A1721" s="16" t="str">
        <x:v>RAW-01715</x:v>
      </x:c>
      <x:c r="B1721" s="16" t="str">
        <x:v>Observation</x:v>
      </x:c>
      <x:c r="C1721" s="16" t="str">
        <x:v>– holes in steel work.</x:v>
      </x:c>
      <x:c r="D1721" s="16" t="str">
        <x:v>Sculpture B</x:v>
      </x:c>
      <x:c r="E1721" s="16" t="str">
        <x:v>SRC-094</x:v>
      </x:c>
      <x:c r="F1721" s="16" t="str">
        <x:v>OBS-0618</x:v>
      </x:c>
      <x:c r="G1721" s="16" t="str">
        <x:v>正式报告</x:v>
      </x:c>
      <x:c r="H1721" s="19" t="n">
        <x:v>4</x:v>
      </x:c>
      <x:c r="I1721" s="19" t="n">
        <x:v>7</x:v>
      </x:c>
      <x:c r="J1721" s="19" t="n">
        <x:v>1</x:v>
      </x:c>
      <x:c r="K1721" s="16" t="str">
        <x:v>7. Very severe deterioration</x:v>
      </x:c>
      <x:c r="L1721" s="16" t="str">
        <x:v>Very likely</x:v>
      </x:c>
      <x:c r="M1721" s="16" t="str">
        <x:v>Significant</x:v>
      </x:c>
      <x:c r="N1721" s="16" t="str">
        <x:v>Urgent</x:v>
      </x:c>
    </x:row>
    <x:row r="1722" ht="37" customHeight="1">
      <x:c r="A1722" s="16" t="str">
        <x:v>RAW-01716</x:v>
      </x:c>
      <x:c r="B1722" s="16" t="str">
        <x:v>Observation</x:v>
      </x:c>
      <x:c r="C1722" s="16" t="str">
        <x:v>– Corrosion at supports. Moves when pushed.</x:v>
      </x:c>
      <x:c r="D1722" s="16" t="str">
        <x:v>Sculpture B</x:v>
      </x:c>
      <x:c r="E1722" s="16" t="str">
        <x:v>SRC-094</x:v>
      </x:c>
      <x:c r="F1722" s="16" t="str">
        <x:v>OBS-0223</x:v>
      </x:c>
      <x:c r="G1722" s="16" t="str">
        <x:v>正式报告</x:v>
      </x:c>
      <x:c r="H1722" s="19" t="n">
        <x:v>4</x:v>
      </x:c>
      <x:c r="I1722" s="19" t="n">
        <x:v>8</x:v>
      </x:c>
      <x:c r="J1722" s="19" t="n">
        <x:v>1</x:v>
      </x:c>
      <x:c r="K1722" s="16" t="str">
        <x:v>7. Very severe deterioration</x:v>
      </x:c>
      <x:c r="L1722" s="16" t="str">
        <x:v>Very likely</x:v>
      </x:c>
      <x:c r="M1722" s="16" t="str">
        <x:v>Significant</x:v>
      </x:c>
      <x:c r="N1722" s="16" t="str">
        <x:v>Urgent</x:v>
      </x:c>
    </x:row>
    <x:row r="1723" ht="37" customHeight="1">
      <x:c r="A1723" s="16" t="str">
        <x:v>RAW-01717</x:v>
      </x:c>
      <x:c r="B1723" s="16" t="str">
        <x:v>Observation</x:v>
      </x:c>
      <x:c r="C1723" s="16" t="str">
        <x:v>– Overview.</x:v>
      </x:c>
      <x:c r="D1723" s="16" t="str">
        <x:v>Sculpture C</x:v>
      </x:c>
      <x:c r="E1723" s="16" t="str">
        <x:v>SRC-094</x:v>
      </x:c>
      <x:c r="F1723" s="16" t="str">
        <x:v>OBS-0002</x:v>
      </x:c>
      <x:c r="G1723" s="16" t="str">
        <x:v>正式报告</x:v>
      </x:c>
      <x:c r="H1723" s="19" t="n">
        <x:v>5</x:v>
      </x:c>
      <x:c r="I1723" s="19" t="n">
        <x:v>6</x:v>
      </x:c>
      <x:c r="J1723" s="19" t="n">
        <x:v>1</x:v>
      </x:c>
      <x:c r="K1723" s="16" t="str">
        <x:v>5. Major deterioration</x:v>
      </x:c>
      <x:c r="L1723" s="16" t="str">
        <x:v>Likely</x:v>
      </x:c>
      <x:c r="M1723" s="16" t="str">
        <x:v>Significant</x:v>
      </x:c>
      <x:c r="N1723" s="16" t="str">
        <x:v>Critical</x:v>
      </x:c>
    </x:row>
    <x:row r="1724" ht="37" customHeight="1">
      <x:c r="A1724" s="16" t="str">
        <x:v>RAW-01718</x:v>
      </x:c>
      <x:c r="B1724" s="16" t="str">
        <x:v>Observation</x:v>
      </x:c>
      <x:c r="C1724" s="16" t="str">
        <x:v>– Timber splitting and rotting towards the lower section. Timber</x:v>
      </x:c>
      <x:c r="D1724" s="16" t="str">
        <x:v>Sculpture C</x:v>
      </x:c>
      <x:c r="E1724" s="16" t="str">
        <x:v>SRC-094</x:v>
      </x:c>
      <x:c r="F1724" s="16" t="str">
        <x:v>OBS-0594</x:v>
      </x:c>
      <x:c r="G1724" s="16" t="str">
        <x:v>正式报告</x:v>
      </x:c>
      <x:c r="H1724" s="19" t="n">
        <x:v>5</x:v>
      </x:c>
      <x:c r="I1724" s="19" t="n">
        <x:v>7</x:v>
      </x:c>
      <x:c r="J1724" s="19" t="n">
        <x:v>3</x:v>
      </x:c>
      <x:c r="K1724" s="16" t="str">
        <x:v>5. Major deterioration</x:v>
      </x:c>
      <x:c r="L1724" s="16" t="str">
        <x:v>Likely</x:v>
      </x:c>
      <x:c r="M1724" s="16" t="str">
        <x:v>Significant</x:v>
      </x:c>
      <x:c r="N1724" s="16" t="str">
        <x:v>Critical</x:v>
      </x:c>
    </x:row>
    <x:row r="1725" ht="37" customHeight="1">
      <x:c r="A1725" s="16" t="str">
        <x:v>RAW-01719</x:v>
      </x:c>
      <x:c r="B1725" s="16" t="str">
        <x:v>Recommendation</x:v>
      </x:c>
      <x:c r="C1725" s="16" t="str">
        <x:v>– Strengthen lower section with steel plate.</x:v>
      </x:c>
      <x:c r="D1725" s="16" t="str">
        <x:v>Sculpture C</x:v>
      </x:c>
      <x:c r="E1725" s="16" t="str">
        <x:v>SRC-094</x:v>
      </x:c>
      <x:c r="F1725" s="16" t="str">
        <x:v>REC-0165</x:v>
      </x:c>
      <x:c r="G1725" s="16" t="str">
        <x:v>正式报告</x:v>
      </x:c>
      <x:c r="H1725" s="19" t="n">
        <x:v>5</x:v>
      </x:c>
      <x:c r="I1725" s="19" t="n">
        <x:v>7</x:v>
      </x:c>
      <x:c r="J1725" s="19" t="n">
        <x:v>3</x:v>
      </x:c>
      <x:c r="K1725" s="16" t="str">
        <x:v>5. Major deterioration</x:v>
      </x:c>
      <x:c r="L1725" s="16" t="str">
        <x:v>Likely</x:v>
      </x:c>
      <x:c r="M1725" s="16" t="str">
        <x:v>Significant</x:v>
      </x:c>
      <x:c r="N1725" s="16" t="str">
        <x:v>Critical</x:v>
      </x:c>
    </x:row>
    <x:row r="1726" ht="37" customHeight="1">
      <x:c r="A1726" s="16" t="str">
        <x:v>RAW-01720</x:v>
      </x:c>
      <x:c r="B1726" s="16" t="str">
        <x:v>Observation</x:v>
      </x:c>
      <x:c r="C1726" s="16" t="str">
        <x:v>– Timber splitting and rotting towards the lower section.</x:v>
      </x:c>
      <x:c r="D1726" s="16" t="str">
        <x:v>Sculpture D</x:v>
      </x:c>
      <x:c r="E1726" s="16" t="str">
        <x:v>SRC-094</x:v>
      </x:c>
      <x:c r="F1726" s="16" t="str">
        <x:v>OBS-0087</x:v>
      </x:c>
      <x:c r="G1726" s="16" t="str">
        <x:v>正式报告</x:v>
      </x:c>
      <x:c r="H1726" s="19" t="n">
        <x:v>6</x:v>
      </x:c>
      <x:c r="I1726" s="19" t="n">
        <x:v>6</x:v>
      </x:c>
      <x:c r="J1726" s="19" t="n">
        <x:v>1</x:v>
      </x:c>
      <x:c r="K1726" s="16" t="str">
        <x:v>5. Major deterioration</x:v>
      </x:c>
      <x:c r="L1726" s="16" t="str">
        <x:v>Likely</x:v>
      </x:c>
      <x:c r="M1726" s="16" t="str">
        <x:v>Significant</x:v>
      </x:c>
      <x:c r="N1726" s="16" t="str">
        <x:v>Critical</x:v>
      </x:c>
    </x:row>
    <x:row r="1727" ht="37" customHeight="1">
      <x:c r="A1727" s="16" t="str">
        <x:v>RAW-01721</x:v>
      </x:c>
      <x:c r="B1727" s="16" t="str">
        <x:v>Observation</x:v>
      </x:c>
      <x:c r="C1727" s="16" t="str">
        <x:v>– Timber splitting and rotting towards the lower section.</x:v>
      </x:c>
      <x:c r="D1727" s="16" t="str">
        <x:v>Sculpture D</x:v>
      </x:c>
      <x:c r="E1727" s="16" t="str">
        <x:v>SRC-094</x:v>
      </x:c>
      <x:c r="F1727" s="16" t="str">
        <x:v>OBS-0087</x:v>
      </x:c>
      <x:c r="G1727" s="16" t="str">
        <x:v>正式报告</x:v>
      </x:c>
      <x:c r="H1727" s="19" t="n">
        <x:v>6</x:v>
      </x:c>
      <x:c r="I1727" s="19" t="n">
        <x:v>7</x:v>
      </x:c>
      <x:c r="J1727" s="19" t="n">
        <x:v>3</x:v>
      </x:c>
      <x:c r="K1727" s="16" t="str">
        <x:v>5. Major deterioration</x:v>
      </x:c>
      <x:c r="L1727" s="16" t="str">
        <x:v>Likely</x:v>
      </x:c>
      <x:c r="M1727" s="16" t="str">
        <x:v>Significant</x:v>
      </x:c>
      <x:c r="N1727" s="16" t="str">
        <x:v>Critical</x:v>
      </x:c>
    </x:row>
    <x:row r="1728" ht="37" customHeight="1">
      <x:c r="A1728" s="16" t="str">
        <x:v>RAW-01722</x:v>
      </x:c>
      <x:c r="B1728" s="16" t="str">
        <x:v>Recommendation</x:v>
      </x:c>
      <x:c r="C1728" s="16" t="str">
        <x:v>– Strengthen lower section with steel plate or monitor its condition.</x:v>
      </x:c>
      <x:c r="D1728" s="16" t="str">
        <x:v>Sculpture D</x:v>
      </x:c>
      <x:c r="E1728" s="16" t="str">
        <x:v>SRC-094</x:v>
      </x:c>
      <x:c r="F1728" s="16" t="str">
        <x:v>REC-0164</x:v>
      </x:c>
      <x:c r="G1728" s="16" t="str">
        <x:v>正式报告</x:v>
      </x:c>
      <x:c r="H1728" s="19" t="n">
        <x:v>6</x:v>
      </x:c>
      <x:c r="I1728" s="19" t="n">
        <x:v>7</x:v>
      </x:c>
      <x:c r="J1728" s="19" t="n">
        <x:v>3</x:v>
      </x:c>
      <x:c r="K1728" s="16" t="str">
        <x:v>5. Major deterioration</x:v>
      </x:c>
      <x:c r="L1728" s="16" t="str">
        <x:v>Likely</x:v>
      </x:c>
      <x:c r="M1728" s="16" t="str">
        <x:v>Significant</x:v>
      </x:c>
      <x:c r="N1728" s="16" t="str">
        <x:v>Critical</x:v>
      </x:c>
    </x:row>
    <x:row r="1729" ht="37" customHeight="1">
      <x:c r="A1729" s="16" t="str">
        <x:v>RAW-01723</x:v>
      </x:c>
      <x:c r="B1729" s="16" t="str">
        <x:v>Observation</x:v>
      </x:c>
      <x:c r="C1729" s="16" t="str">
        <x:v>– All seats are in similar condition. Corrosion towards lower section of support.</x:v>
      </x:c>
      <x:c r="D1729" s="16" t="str">
        <x:v>Seat supports</x:v>
      </x:c>
      <x:c r="E1729" s="16" t="str">
        <x:v>SRC-094</x:v>
      </x:c>
      <x:c r="F1729" s="16" t="str">
        <x:v>OBS-0094</x:v>
      </x:c>
      <x:c r="G1729" s="16" t="str">
        <x:v>正式报告</x:v>
      </x:c>
      <x:c r="H1729" s="19" t="n">
        <x:v>7</x:v>
      </x:c>
      <x:c r="I1729" s="19" t="n">
        <x:v>6</x:v>
      </x:c>
      <x:c r="J1729" s="19" t="n">
        <x:v>1</x:v>
      </x:c>
      <x:c r="K1729" s="16" t="str">
        <x:v>7. Very severe deterioration</x:v>
      </x:c>
      <x:c r="L1729" s="16" t="str">
        <x:v>Very likely</x:v>
      </x:c>
      <x:c r="M1729" s="16" t="str">
        <x:v>Moderate</x:v>
      </x:c>
      <x:c r="N1729" s="16" t="str">
        <x:v>Critical</x:v>
      </x:c>
    </x:row>
    <x:row r="1730" ht="37" customHeight="1">
      <x:c r="A1730" s="16" t="str">
        <x:v>RAW-01724</x:v>
      </x:c>
      <x:c r="B1730" s="16" t="str">
        <x:v>Observation</x:v>
      </x:c>
      <x:c r="C1730" s="16" t="str">
        <x:v>– Corrosion towards lower section of support.</x:v>
      </x:c>
      <x:c r="D1730" s="16" t="str">
        <x:v>Seat supports</x:v>
      </x:c>
      <x:c r="E1730" s="16" t="str">
        <x:v>SRC-094</x:v>
      </x:c>
      <x:c r="F1730" s="16" t="str">
        <x:v>OBS-0239</x:v>
      </x:c>
      <x:c r="G1730" s="16" t="str">
        <x:v>正式报告</x:v>
      </x:c>
      <x:c r="H1730" s="19" t="n">
        <x:v>7</x:v>
      </x:c>
      <x:c r="I1730" s="19" t="n">
        <x:v>7</x:v>
      </x:c>
      <x:c r="J1730" s="19" t="n">
        <x:v>3</x:v>
      </x:c>
      <x:c r="K1730" s="16" t="str">
        <x:v>7. Very severe deterioration</x:v>
      </x:c>
      <x:c r="L1730" s="16" t="str">
        <x:v>Very likely</x:v>
      </x:c>
      <x:c r="M1730" s="16" t="str">
        <x:v>Moderate</x:v>
      </x:c>
      <x:c r="N1730" s="16" t="str">
        <x:v>Critical</x:v>
      </x:c>
    </x:row>
    <x:row r="1731" ht="37" customHeight="1">
      <x:c r="A1731" s="16" t="str">
        <x:v>RAW-01725</x:v>
      </x:c>
      <x:c r="B1731" s="16" t="str">
        <x:v>Recommendation</x:v>
      </x:c>
      <x:c r="C1731" s="16" t="str">
        <x:v>– Replace supports.</x:v>
      </x:c>
      <x:c r="D1731" s="16" t="str">
        <x:v>Seat supports</x:v>
      </x:c>
      <x:c r="E1731" s="16" t="str">
        <x:v>SRC-094</x:v>
      </x:c>
      <x:c r="F1731" s="16" t="str">
        <x:v>REC-0153</x:v>
      </x:c>
      <x:c r="G1731" s="16" t="str">
        <x:v>正式报告</x:v>
      </x:c>
      <x:c r="H1731" s="19" t="n">
        <x:v>7</x:v>
      </x:c>
      <x:c r="I1731" s="19" t="n">
        <x:v>7</x:v>
      </x:c>
      <x:c r="J1731" s="19" t="n">
        <x:v>3</x:v>
      </x:c>
      <x:c r="K1731" s="16" t="str">
        <x:v>7. Very severe deterioration</x:v>
      </x:c>
      <x:c r="L1731" s="16" t="str">
        <x:v>Very likely</x:v>
      </x:c>
      <x:c r="M1731" s="16" t="str">
        <x:v>Moderate</x:v>
      </x:c>
      <x:c r="N1731" s="16" t="str">
        <x:v>Critical</x:v>
      </x:c>
    </x:row>
    <x:row r="1732" ht="37" customHeight="1">
      <x:c r="A1732" s="16" t="str">
        <x:v>RAW-01726</x:v>
      </x:c>
      <x:c r="B1732" s="16" t="str">
        <x:v>Observation</x:v>
      </x:c>
      <x:c r="C1732" s="16" t="str">
        <x:v>– Overview.</x:v>
      </x:c>
      <x:c r="D1732" s="16" t="str">
        <x:v>Informational Panel</x:v>
      </x:c>
      <x:c r="E1732" s="16" t="str">
        <x:v>SRC-094</x:v>
      </x:c>
      <x:c r="F1732" s="16" t="str">
        <x:v>OBS-0002</x:v>
      </x:c>
      <x:c r="G1732" s="16" t="str">
        <x:v>正式报告</x:v>
      </x:c>
      <x:c r="H1732" s="19" t="n">
        <x:v>8</x:v>
      </x:c>
      <x:c r="I1732" s="19" t="n">
        <x:v>6</x:v>
      </x:c>
      <x:c r="J1732" s="19" t="n">
        <x:v>1</x:v>
      </x:c>
      <x:c r="K1732" s="16" t="str">
        <x:v>7. Very severe deterioration</x:v>
      </x:c>
      <x:c r="L1732" s="16" t="str">
        <x:v>Very likely</x:v>
      </x:c>
      <x:c r="M1732" s="16" t="str">
        <x:v>Minor</x:v>
      </x:c>
      <x:c r="N1732" s="16" t="str">
        <x:v>High</x:v>
      </x:c>
    </x:row>
    <x:row r="1733" ht="37" customHeight="1">
      <x:c r="A1733" s="16" t="str">
        <x:v>RAW-01727</x:v>
      </x:c>
      <x:c r="B1733" s="16" t="str">
        <x:v>Observation</x:v>
      </x:c>
      <x:c r="C1733" s="16" t="str">
        <x:v>– Hole and flaking corrosion toward the lower section</x:v>
      </x:c>
      <x:c r="D1733" s="16" t="str">
        <x:v>Informational Panel</x:v>
      </x:c>
      <x:c r="E1733" s="16" t="str">
        <x:v>SRC-094</x:v>
      </x:c>
      <x:c r="F1733" s="16" t="str">
        <x:v>OBS-0324</x:v>
      </x:c>
      <x:c r="G1733" s="16" t="str">
        <x:v>正式报告</x:v>
      </x:c>
      <x:c r="H1733" s="19" t="n">
        <x:v>8</x:v>
      </x:c>
      <x:c r="I1733" s="19" t="n">
        <x:v>7</x:v>
      </x:c>
      <x:c r="J1733" s="19" t="n">
        <x:v>2</x:v>
      </x:c>
      <x:c r="K1733" s="16" t="str">
        <x:v>7. Very severe deterioration</x:v>
      </x:c>
      <x:c r="L1733" s="16" t="str">
        <x:v>Very likely</x:v>
      </x:c>
      <x:c r="M1733" s="16" t="str">
        <x:v>Minor</x:v>
      </x:c>
      <x:c r="N1733" s="16" t="str">
        <x:v>High</x:v>
      </x:c>
    </x:row>
    <x:row r="1734" ht="37" customHeight="1">
      <x:c r="A1734" s="16" t="str">
        <x:v>RAW-01728</x:v>
      </x:c>
      <x:c r="B1734" s="16" t="str">
        <x:v>Recommendation</x:v>
      </x:c>
      <x:c r="C1734" s="16" t="str">
        <x:v>– Replace sign.</x:v>
      </x:c>
      <x:c r="D1734" s="16" t="str">
        <x:v>Informational Panel</x:v>
      </x:c>
      <x:c r="E1734" s="16" t="str">
        <x:v>SRC-094</x:v>
      </x:c>
      <x:c r="F1734" s="16" t="str">
        <x:v>REC-0152</x:v>
      </x:c>
      <x:c r="G1734" s="16" t="str">
        <x:v>正式报告</x:v>
      </x:c>
      <x:c r="H1734" s="19" t="n">
        <x:v>8</x:v>
      </x:c>
      <x:c r="I1734" s="19" t="n">
        <x:v>7</x:v>
      </x:c>
      <x:c r="J1734" s="19" t="n">
        <x:v>2</x:v>
      </x:c>
      <x:c r="K1734" s="16" t="str">
        <x:v>7. Very severe deterioration</x:v>
      </x:c>
      <x:c r="L1734" s="16" t="str">
        <x:v>Very likely</x:v>
      </x:c>
      <x:c r="M1734" s="16" t="str">
        <x:v>Minor</x:v>
      </x:c>
      <x:c r="N1734" s="16" t="str">
        <x:v>High</x:v>
      </x:c>
    </x:row>
    <x:row r="1735" ht="37" customHeight="1">
      <x:c r="A1735" s="16" t="str">
        <x:v>RAW-01729</x:v>
      </x:c>
      <x:c r="B1735" s="16" t="str">
        <x:v>Observation</x:v>
      </x:c>
      <x:c r="C1735" s="16" t="str">
        <x:v>– overview.</x:v>
      </x:c>
      <x:c r="D1735" s="16" t="str">
        <x:v>Sculpture E</x:v>
      </x:c>
      <x:c r="E1735" s="16" t="str">
        <x:v>SRC-094</x:v>
      </x:c>
      <x:c r="F1735" s="16" t="str">
        <x:v>OBS-0002</x:v>
      </x:c>
      <x:c r="G1735" s="16" t="str">
        <x:v>正式报告</x:v>
      </x:c>
      <x:c r="H1735" s="19" t="n">
        <x:v>9</x:v>
      </x:c>
      <x:c r="I1735" s="19" t="n">
        <x:v>6</x:v>
      </x:c>
      <x:c r="J1735" s="19" t="n">
        <x:v>1</x:v>
      </x:c>
      <x:c r="K1735" s="16" t="str">
        <x:v>4. Moderate</x:v>
      </x:c>
      <x:c r="L1735" s="16" t="str">
        <x:v>Possible</x:v>
      </x:c>
      <x:c r="M1735" s="16" t="str">
        <x:v>Minor</x:v>
      </x:c>
      <x:c r="N1735" s="16" t="str">
        <x:v>Moderate</x:v>
      </x:c>
    </x:row>
    <x:row r="1736" ht="37" customHeight="1">
      <x:c r="A1736" s="16" t="str">
        <x:v>RAW-01730</x:v>
      </x:c>
      <x:c r="B1736" s="16" t="str">
        <x:v>Observation</x:v>
      </x:c>
      <x:c r="C1736" s="16" t="str">
        <x:v>– Splitting in timber post.</x:v>
      </x:c>
      <x:c r="D1736" s="16" t="str">
        <x:v>Sculpture E</x:v>
      </x:c>
      <x:c r="E1736" s="16" t="str">
        <x:v>SRC-094</x:v>
      </x:c>
      <x:c r="F1736" s="16" t="str">
        <x:v>OBS-0577</x:v>
      </x:c>
      <x:c r="G1736" s="16" t="str">
        <x:v>正式报告</x:v>
      </x:c>
      <x:c r="H1736" s="19" t="n">
        <x:v>9</x:v>
      </x:c>
      <x:c r="I1736" s="19" t="n">
        <x:v>7</x:v>
      </x:c>
      <x:c r="J1736" s="19" t="n">
        <x:v>1</x:v>
      </x:c>
      <x:c r="K1736" s="16" t="str">
        <x:v>4. Moderate</x:v>
      </x:c>
      <x:c r="L1736" s="16" t="str">
        <x:v>Possible</x:v>
      </x:c>
      <x:c r="M1736" s="16" t="str">
        <x:v>Minor</x:v>
      </x:c>
      <x:c r="N1736" s="16" t="str">
        <x:v>Moderate</x:v>
      </x:c>
    </x:row>
    <x:row r="1737" ht="37" customHeight="1">
      <x:c r="A1737" s="16" t="str">
        <x:v>RAW-01731</x:v>
      </x:c>
      <x:c r="B1737" s="16" t="str">
        <x:v>Observation</x:v>
      </x:c>
      <x:c r="C1737" s="16" t="str">
        <x:v>– Flaking of steel ring.</x:v>
      </x:c>
      <x:c r="D1737" s="16" t="str">
        <x:v>Sculpture E</x:v>
      </x:c>
      <x:c r="E1737" s="16" t="str">
        <x:v>SRC-094</x:v>
      </x:c>
      <x:c r="F1737" s="16" t="str">
        <x:v>OBS-0267</x:v>
      </x:c>
      <x:c r="G1737" s="16" t="str">
        <x:v>正式报告</x:v>
      </x:c>
      <x:c r="H1737" s="19" t="n">
        <x:v>9</x:v>
      </x:c>
      <x:c r="I1737" s="19" t="n">
        <x:v>8</x:v>
      </x:c>
      <x:c r="J1737" s="19" t="n">
        <x:v>1</x:v>
      </x:c>
      <x:c r="K1737" s="16" t="str">
        <x:v>4. Moderate</x:v>
      </x:c>
      <x:c r="L1737" s="16" t="str">
        <x:v>Possible</x:v>
      </x:c>
      <x:c r="M1737" s="16" t="str">
        <x:v>Minor</x:v>
      </x:c>
      <x:c r="N1737" s="16" t="str">
        <x:v>Moderate</x:v>
      </x:c>
    </x:row>
    <x:row r="1738" ht="37" customHeight="1">
      <x:c r="A1738" s="16" t="str">
        <x:v>RAW-01732</x:v>
      </x:c>
      <x:c r="B1738" s="16" t="str">
        <x:v>Recommendation</x:v>
      </x:c>
      <x:c r="C1738" s="16" t="str">
        <x:v>– Clean, remove corrosion and repaint.</x:v>
      </x:c>
      <x:c r="D1738" s="16" t="str">
        <x:v>Sculpture E</x:v>
      </x:c>
      <x:c r="E1738" s="16" t="str">
        <x:v>SRC-094</x:v>
      </x:c>
      <x:c r="F1738" s="16" t="str">
        <x:v>REC-0002</x:v>
      </x:c>
      <x:c r="G1738" s="16" t="str">
        <x:v>正式报告</x:v>
      </x:c>
      <x:c r="H1738" s="19" t="n">
        <x:v>9</x:v>
      </x:c>
      <x:c r="I1738" s="19" t="n">
        <x:v>8</x:v>
      </x:c>
      <x:c r="J1738" s="19" t="n">
        <x:v>1</x:v>
      </x:c>
      <x:c r="K1738" s="16" t="str">
        <x:v>4. Moderate</x:v>
      </x:c>
      <x:c r="L1738" s="16" t="str">
        <x:v>Possible</x:v>
      </x:c>
      <x:c r="M1738" s="16" t="str">
        <x:v>Minor</x:v>
      </x:c>
      <x:c r="N1738" s="16" t="str">
        <x:v>Moderate</x:v>
      </x:c>
    </x:row>
    <x:row r="1739" ht="37" customHeight="1">
      <x:c r="A1739" s="16" t="str">
        <x:v>RAW-01733</x:v>
      </x:c>
      <x:c r="B1739" s="16" t="str">
        <x:v>Observation</x:v>
      </x:c>
      <x:c r="C1739" s="16" t="str">
        <x:v>– Overview.</x:v>
      </x:c>
      <x:c r="D1739" s="16" t="str">
        <x:v>Sculpture A</x:v>
      </x:c>
      <x:c r="E1739" s="16" t="str">
        <x:v>SRC-095</x:v>
      </x:c>
      <x:c r="F1739" s="16" t="str">
        <x:v>OBS-0002</x:v>
      </x:c>
      <x:c r="G1739" s="16" t="str">
        <x:v>审阅或辅助文档</x:v>
      </x:c>
      <x:c r="H1739" s="19" t="n">
        <x:v>3</x:v>
      </x:c>
      <x:c r="I1739" s="19" t="n">
        <x:v>6</x:v>
      </x:c>
      <x:c r="J1739" s="19" t="n">
        <x:v>1</x:v>
      </x:c>
      <x:c r="K1739" s="16" t="str">
        <x:v>7. Very severe deterioration</x:v>
      </x:c>
      <x:c r="L1739" s="16" t="str">
        <x:v>Very likely</x:v>
      </x:c>
      <x:c r="M1739" s="16" t="str">
        <x:v>Significant</x:v>
      </x:c>
      <x:c r="N1739" s="16" t="str">
        <x:v>Urgent</x:v>
      </x:c>
    </x:row>
    <x:row r="1740" ht="37" customHeight="1">
      <x:c r="A1740" s="16" t="str">
        <x:v>RAW-01734</x:v>
      </x:c>
      <x:c r="B1740" s="16" t="str">
        <x:v>Observation</x:v>
      </x:c>
      <x:c r="C1740" s="16" t="str">
        <x:v>– Bolts protruding from timber.</x:v>
      </x:c>
      <x:c r="D1740" s="16" t="str">
        <x:v>Sculpture A</x:v>
      </x:c>
      <x:c r="E1740" s="16" t="str">
        <x:v>SRC-095</x:v>
      </x:c>
      <x:c r="F1740" s="16" t="str">
        <x:v>OBS-0148</x:v>
      </x:c>
      <x:c r="G1740" s="16" t="str">
        <x:v>审阅或辅助文档</x:v>
      </x:c>
      <x:c r="H1740" s="19" t="n">
        <x:v>3</x:v>
      </x:c>
      <x:c r="I1740" s="19" t="n">
        <x:v>7</x:v>
      </x:c>
      <x:c r="J1740" s="19" t="n">
        <x:v>1</x:v>
      </x:c>
      <x:c r="K1740" s="16" t="str">
        <x:v>7. Very severe deterioration</x:v>
      </x:c>
      <x:c r="L1740" s="16" t="str">
        <x:v>Very likely</x:v>
      </x:c>
      <x:c r="M1740" s="16" t="str">
        <x:v>Significant</x:v>
      </x:c>
      <x:c r="N1740" s="16" t="str">
        <x:v>Urgent</x:v>
      </x:c>
    </x:row>
    <x:row r="1741" ht="37" customHeight="1">
      <x:c r="A1741" s="16" t="str">
        <x:v>RAW-01735</x:v>
      </x:c>
      <x:c r="B1741" s="16" t="str">
        <x:v>Recommendation</x:v>
      </x:c>
      <x:c r="C1741" s="16" t="str">
        <x:v>– Replace bolts like for like.</x:v>
      </x:c>
      <x:c r="D1741" s="16" t="str">
        <x:v>Sculpture A</x:v>
      </x:c>
      <x:c r="E1741" s="16" t="str">
        <x:v>SRC-095</x:v>
      </x:c>
      <x:c r="F1741" s="16" t="str">
        <x:v>REC-0142</x:v>
      </x:c>
      <x:c r="G1741" s="16" t="str">
        <x:v>审阅或辅助文档</x:v>
      </x:c>
      <x:c r="H1741" s="19" t="n">
        <x:v>3</x:v>
      </x:c>
      <x:c r="I1741" s="19" t="n">
        <x:v>7</x:v>
      </x:c>
      <x:c r="J1741" s="19" t="n">
        <x:v>1</x:v>
      </x:c>
      <x:c r="K1741" s="16" t="str">
        <x:v>7. Very severe deterioration</x:v>
      </x:c>
      <x:c r="L1741" s="16" t="str">
        <x:v>Very likely</x:v>
      </x:c>
      <x:c r="M1741" s="16" t="str">
        <x:v>Significant</x:v>
      </x:c>
      <x:c r="N1741" s="16" t="str">
        <x:v>Urgent</x:v>
      </x:c>
    </x:row>
    <x:row r="1742" ht="37" customHeight="1">
      <x:c r="A1742" s="16" t="str">
        <x:v>RAW-01736</x:v>
      </x:c>
      <x:c r="B1742" s="16" t="str">
        <x:v>Observation</x:v>
      </x:c>
      <x:c r="C1742" s="16" t="str">
        <x:v>– Flaking corrosion on steel supports. One support has failed.</x:v>
      </x:c>
      <x:c r="D1742" s="16" t="str">
        <x:v>Sculpture A</x:v>
      </x:c>
      <x:c r="E1742" s="16" t="str">
        <x:v>SRC-095</x:v>
      </x:c>
      <x:c r="F1742" s="16" t="str"/>
      <x:c r="G1742" s="16" t="str">
        <x:v>审阅或辅助文档</x:v>
      </x:c>
      <x:c r="H1742" s="19" t="n">
        <x:v>3</x:v>
      </x:c>
      <x:c r="I1742" s="19" t="n">
        <x:v>8</x:v>
      </x:c>
      <x:c r="J1742" s="19" t="n">
        <x:v>1</x:v>
      </x:c>
      <x:c r="K1742" s="16" t="str">
        <x:v>7. Very severe deterioration</x:v>
      </x:c>
      <x:c r="L1742" s="16" t="str">
        <x:v>Very likely</x:v>
      </x:c>
      <x:c r="M1742" s="16" t="str">
        <x:v>Significant</x:v>
      </x:c>
      <x:c r="N1742" s="16" t="str">
        <x:v>Urgent</x:v>
      </x:c>
    </x:row>
    <x:row r="1743" ht="37" customHeight="1">
      <x:c r="A1743" s="16" t="str">
        <x:v>RAW-01737</x:v>
      </x:c>
      <x:c r="B1743" s="16" t="str">
        <x:v>Observation</x:v>
      </x:c>
      <x:c r="C1743" s="16" t="str">
        <x:v>– Flaking corrosion on steel supports.</x:v>
      </x:c>
      <x:c r="D1743" s="16" t="str">
        <x:v>Sculpture A</x:v>
      </x:c>
      <x:c r="E1743" s="16" t="str">
        <x:v>SRC-095</x:v>
      </x:c>
      <x:c r="F1743" s="16" t="str"/>
      <x:c r="G1743" s="16" t="str">
        <x:v>审阅或辅助文档</x:v>
      </x:c>
      <x:c r="H1743" s="19" t="n">
        <x:v>3</x:v>
      </x:c>
      <x:c r="I1743" s="19" t="n">
        <x:v>9</x:v>
      </x:c>
      <x:c r="J1743" s="19" t="n">
        <x:v>1</x:v>
      </x:c>
      <x:c r="K1743" s="16" t="str">
        <x:v>7. Very severe deterioration</x:v>
      </x:c>
      <x:c r="L1743" s="16" t="str">
        <x:v>Very likely</x:v>
      </x:c>
      <x:c r="M1743" s="16" t="str">
        <x:v>Significant</x:v>
      </x:c>
      <x:c r="N1743" s="16" t="str">
        <x:v>Urgent</x:v>
      </x:c>
    </x:row>
    <x:row r="1744" ht="37" customHeight="1">
      <x:c r="A1744" s="16" t="str">
        <x:v>RAW-01738</x:v>
      </x:c>
      <x:c r="B1744" s="16" t="str">
        <x:v>Recommendation</x:v>
      </x:c>
      <x:c r="C1744" s="16" t="str">
        <x:v>– Clean, remove corrosion and repaint.</x:v>
      </x:c>
      <x:c r="D1744" s="16" t="str">
        <x:v>Sculpture A</x:v>
      </x:c>
      <x:c r="E1744" s="16" t="str">
        <x:v>SRC-095</x:v>
      </x:c>
      <x:c r="F1744" s="16" t="str">
        <x:v>REC-0002</x:v>
      </x:c>
      <x:c r="G1744" s="16" t="str">
        <x:v>审阅或辅助文档</x:v>
      </x:c>
      <x:c r="H1744" s="19" t="n">
        <x:v>3</x:v>
      </x:c>
      <x:c r="I1744" s="19" t="n">
        <x:v>9</x:v>
      </x:c>
      <x:c r="J1744" s="19" t="n">
        <x:v>1</x:v>
      </x:c>
      <x:c r="K1744" s="16" t="str">
        <x:v>7. Very severe deterioration</x:v>
      </x:c>
      <x:c r="L1744" s="16" t="str">
        <x:v>Very likely</x:v>
      </x:c>
      <x:c r="M1744" s="16" t="str">
        <x:v>Significant</x:v>
      </x:c>
      <x:c r="N1744" s="16" t="str">
        <x:v>Urgent</x:v>
      </x:c>
    </x:row>
    <x:row r="1745" ht="37" customHeight="1">
      <x:c r="A1745" s="16" t="str">
        <x:v>RAW-01739</x:v>
      </x:c>
      <x:c r="B1745" s="16" t="str">
        <x:v>Observation</x:v>
      </x:c>
      <x:c r="C1745" s="16" t="str">
        <x:v>– Overview.</x:v>
      </x:c>
      <x:c r="D1745" s="16" t="str">
        <x:v>Sculpture B</x:v>
      </x:c>
      <x:c r="E1745" s="16" t="str">
        <x:v>SRC-095</x:v>
      </x:c>
      <x:c r="F1745" s="16" t="str">
        <x:v>OBS-0002</x:v>
      </x:c>
      <x:c r="G1745" s="16" t="str">
        <x:v>审阅或辅助文档</x:v>
      </x:c>
      <x:c r="H1745" s="19" t="n">
        <x:v>4</x:v>
      </x:c>
      <x:c r="I1745" s="19" t="n">
        <x:v>6</x:v>
      </x:c>
      <x:c r="J1745" s="19" t="n">
        <x:v>1</x:v>
      </x:c>
      <x:c r="K1745" s="16" t="str">
        <x:v>7. Very severe deterioration</x:v>
      </x:c>
      <x:c r="L1745" s="16" t="str">
        <x:v>Very likely</x:v>
      </x:c>
      <x:c r="M1745" s="16" t="str">
        <x:v>Significant</x:v>
      </x:c>
      <x:c r="N1745" s="16" t="str">
        <x:v>Urgent</x:v>
      </x:c>
    </x:row>
    <x:row r="1746" ht="37" customHeight="1">
      <x:c r="A1746" s="16" t="str">
        <x:v>RAW-01740</x:v>
      </x:c>
      <x:c r="B1746" s="16" t="str">
        <x:v>Observation</x:v>
      </x:c>
      <x:c r="C1746" s="16" t="str">
        <x:v>– holes in steel work.</x:v>
      </x:c>
      <x:c r="D1746" s="16" t="str">
        <x:v>Sculpture B</x:v>
      </x:c>
      <x:c r="E1746" s="16" t="str">
        <x:v>SRC-095</x:v>
      </x:c>
      <x:c r="F1746" s="16" t="str">
        <x:v>OBS-0618</x:v>
      </x:c>
      <x:c r="G1746" s="16" t="str">
        <x:v>审阅或辅助文档</x:v>
      </x:c>
      <x:c r="H1746" s="19" t="n">
        <x:v>4</x:v>
      </x:c>
      <x:c r="I1746" s="19" t="n">
        <x:v>7</x:v>
      </x:c>
      <x:c r="J1746" s="19" t="n">
        <x:v>1</x:v>
      </x:c>
      <x:c r="K1746" s="16" t="str">
        <x:v>7. Very severe deterioration</x:v>
      </x:c>
      <x:c r="L1746" s="16" t="str">
        <x:v>Very likely</x:v>
      </x:c>
      <x:c r="M1746" s="16" t="str">
        <x:v>Significant</x:v>
      </x:c>
      <x:c r="N1746" s="16" t="str">
        <x:v>Urgent</x:v>
      </x:c>
    </x:row>
    <x:row r="1747" ht="37" customHeight="1">
      <x:c r="A1747" s="16" t="str">
        <x:v>RAW-01741</x:v>
      </x:c>
      <x:c r="B1747" s="16" t="str">
        <x:v>Observation</x:v>
      </x:c>
      <x:c r="C1747" s="16" t="str">
        <x:v>– Flaking corrosion at supports. Moves when pushed.</x:v>
      </x:c>
      <x:c r="D1747" s="16" t="str">
        <x:v>Sculpture B</x:v>
      </x:c>
      <x:c r="E1747" s="16" t="str">
        <x:v>SRC-095</x:v>
      </x:c>
      <x:c r="F1747" s="16" t="str"/>
      <x:c r="G1747" s="16" t="str">
        <x:v>审阅或辅助文档</x:v>
      </x:c>
      <x:c r="H1747" s="19" t="n">
        <x:v>4</x:v>
      </x:c>
      <x:c r="I1747" s="19" t="n">
        <x:v>9</x:v>
      </x:c>
      <x:c r="J1747" s="19" t="n">
        <x:v>1</x:v>
      </x:c>
      <x:c r="K1747" s="16" t="str">
        <x:v>7. Very severe deterioration</x:v>
      </x:c>
      <x:c r="L1747" s="16" t="str">
        <x:v>Very likely</x:v>
      </x:c>
      <x:c r="M1747" s="16" t="str">
        <x:v>Significant</x:v>
      </x:c>
      <x:c r="N1747" s="16" t="str">
        <x:v>Urgent</x:v>
      </x:c>
    </x:row>
    <x:row r="1748" ht="37" customHeight="1">
      <x:c r="A1748" s="16" t="str">
        <x:v>RAW-01742</x:v>
      </x:c>
      <x:c r="B1748" s="16" t="str">
        <x:v>Recommendation</x:v>
      </x:c>
      <x:c r="C1748" s="16" t="str">
        <x:v>– Replace corroded supports.</x:v>
      </x:c>
      <x:c r="D1748" s="16" t="str">
        <x:v>Sculpture B</x:v>
      </x:c>
      <x:c r="E1748" s="16" t="str">
        <x:v>SRC-095</x:v>
      </x:c>
      <x:c r="F1748" s="16" t="str"/>
      <x:c r="G1748" s="16" t="str">
        <x:v>审阅或辅助文档</x:v>
      </x:c>
      <x:c r="H1748" s="19" t="n">
        <x:v>4</x:v>
      </x:c>
      <x:c r="I1748" s="19" t="n">
        <x:v>9</x:v>
      </x:c>
      <x:c r="J1748" s="19" t="n">
        <x:v>1</x:v>
      </x:c>
      <x:c r="K1748" s="16" t="str">
        <x:v>7. Very severe deterioration</x:v>
      </x:c>
      <x:c r="L1748" s="16" t="str">
        <x:v>Very likely</x:v>
      </x:c>
      <x:c r="M1748" s="16" t="str">
        <x:v>Significant</x:v>
      </x:c>
      <x:c r="N1748" s="16" t="str">
        <x:v>Urgent</x:v>
      </x:c>
    </x:row>
    <x:row r="1749" ht="37" customHeight="1">
      <x:c r="A1749" s="16" t="str">
        <x:v>RAW-01743</x:v>
      </x:c>
      <x:c r="B1749" s="16" t="str">
        <x:v>Observation</x:v>
      </x:c>
      <x:c r="C1749" s="16" t="str">
        <x:v>– Overview.</x:v>
      </x:c>
      <x:c r="D1749" s="16" t="str">
        <x:v>Sculpture C</x:v>
      </x:c>
      <x:c r="E1749" s="16" t="str">
        <x:v>SRC-095</x:v>
      </x:c>
      <x:c r="F1749" s="16" t="str">
        <x:v>OBS-0002</x:v>
      </x:c>
      <x:c r="G1749" s="16" t="str">
        <x:v>审阅或辅助文档</x:v>
      </x:c>
      <x:c r="H1749" s="19" t="n">
        <x:v>5</x:v>
      </x:c>
      <x:c r="I1749" s="19" t="n">
        <x:v>6</x:v>
      </x:c>
      <x:c r="J1749" s="19" t="n">
        <x:v>1</x:v>
      </x:c>
      <x:c r="K1749" s="16" t="str">
        <x:v>5. Major deterioration</x:v>
      </x:c>
      <x:c r="L1749" s="16" t="str">
        <x:v>Likely</x:v>
      </x:c>
      <x:c r="M1749" s="16" t="str">
        <x:v>Significant</x:v>
      </x:c>
      <x:c r="N1749" s="16" t="str">
        <x:v>Critical</x:v>
      </x:c>
    </x:row>
    <x:row r="1750" ht="37" customHeight="1">
      <x:c r="A1750" s="16" t="str">
        <x:v>RAW-01744</x:v>
      </x:c>
      <x:c r="B1750" s="16" t="str">
        <x:v>Observation</x:v>
      </x:c>
      <x:c r="C1750" s="16" t="str">
        <x:v>– Timber splitting and rotting towards the lower section. Timber</x:v>
      </x:c>
      <x:c r="D1750" s="16" t="str">
        <x:v>Sculpture C</x:v>
      </x:c>
      <x:c r="E1750" s="16" t="str">
        <x:v>SRC-095</x:v>
      </x:c>
      <x:c r="F1750" s="16" t="str">
        <x:v>OBS-0594</x:v>
      </x:c>
      <x:c r="G1750" s="16" t="str">
        <x:v>审阅或辅助文档</x:v>
      </x:c>
      <x:c r="H1750" s="19" t="n">
        <x:v>5</x:v>
      </x:c>
      <x:c r="I1750" s="19" t="n">
        <x:v>7</x:v>
      </x:c>
      <x:c r="J1750" s="19" t="n">
        <x:v>3</x:v>
      </x:c>
      <x:c r="K1750" s="16" t="str">
        <x:v>5. Major deterioration</x:v>
      </x:c>
      <x:c r="L1750" s="16" t="str">
        <x:v>Likely</x:v>
      </x:c>
      <x:c r="M1750" s="16" t="str">
        <x:v>Significant</x:v>
      </x:c>
      <x:c r="N1750" s="16" t="str">
        <x:v>Critical</x:v>
      </x:c>
    </x:row>
    <x:row r="1751" ht="37" customHeight="1">
      <x:c r="A1751" s="16" t="str">
        <x:v>RAW-01745</x:v>
      </x:c>
      <x:c r="B1751" s="16" t="str">
        <x:v>Recommendation</x:v>
      </x:c>
      <x:c r="C1751" s="16" t="str">
        <x:v>– Strengthen lower section with steel plate.</x:v>
      </x:c>
      <x:c r="D1751" s="16" t="str">
        <x:v>Sculpture C</x:v>
      </x:c>
      <x:c r="E1751" s="16" t="str">
        <x:v>SRC-095</x:v>
      </x:c>
      <x:c r="F1751" s="16" t="str">
        <x:v>REC-0165</x:v>
      </x:c>
      <x:c r="G1751" s="16" t="str">
        <x:v>审阅或辅助文档</x:v>
      </x:c>
      <x:c r="H1751" s="19" t="n">
        <x:v>5</x:v>
      </x:c>
      <x:c r="I1751" s="19" t="n">
        <x:v>7</x:v>
      </x:c>
      <x:c r="J1751" s="19" t="n">
        <x:v>3</x:v>
      </x:c>
      <x:c r="K1751" s="16" t="str">
        <x:v>5. Major deterioration</x:v>
      </x:c>
      <x:c r="L1751" s="16" t="str">
        <x:v>Likely</x:v>
      </x:c>
      <x:c r="M1751" s="16" t="str">
        <x:v>Significant</x:v>
      </x:c>
      <x:c r="N1751" s="16" t="str">
        <x:v>Critical</x:v>
      </x:c>
    </x:row>
    <x:row r="1752" ht="37" customHeight="1">
      <x:c r="A1752" s="16" t="str">
        <x:v>RAW-01746</x:v>
      </x:c>
      <x:c r="B1752" s="16" t="str">
        <x:v>Observation</x:v>
      </x:c>
      <x:c r="C1752" s="16" t="str">
        <x:v>– Timber splitting and rotting towards the lower section.</x:v>
      </x:c>
      <x:c r="D1752" s="16" t="str">
        <x:v>Sculpture D</x:v>
      </x:c>
      <x:c r="E1752" s="16" t="str">
        <x:v>SRC-095</x:v>
      </x:c>
      <x:c r="F1752" s="16" t="str">
        <x:v>OBS-0087</x:v>
      </x:c>
      <x:c r="G1752" s="16" t="str">
        <x:v>审阅或辅助文档</x:v>
      </x:c>
      <x:c r="H1752" s="19" t="n">
        <x:v>6</x:v>
      </x:c>
      <x:c r="I1752" s="19" t="n">
        <x:v>6</x:v>
      </x:c>
      <x:c r="J1752" s="19" t="n">
        <x:v>1</x:v>
      </x:c>
      <x:c r="K1752" s="16" t="str">
        <x:v>5. Major deterioration</x:v>
      </x:c>
      <x:c r="L1752" s="16" t="str">
        <x:v>Likely</x:v>
      </x:c>
      <x:c r="M1752" s="16" t="str">
        <x:v>Significant</x:v>
      </x:c>
      <x:c r="N1752" s="16" t="str">
        <x:v>Critical</x:v>
      </x:c>
    </x:row>
    <x:row r="1753" ht="37" customHeight="1">
      <x:c r="A1753" s="16" t="str">
        <x:v>RAW-01747</x:v>
      </x:c>
      <x:c r="B1753" s="16" t="str">
        <x:v>Observation</x:v>
      </x:c>
      <x:c r="C1753" s="16" t="str">
        <x:v>– Timber splitting and rotting towards the lower section.</x:v>
      </x:c>
      <x:c r="D1753" s="16" t="str">
        <x:v>Sculpture D</x:v>
      </x:c>
      <x:c r="E1753" s="16" t="str">
        <x:v>SRC-095</x:v>
      </x:c>
      <x:c r="F1753" s="16" t="str">
        <x:v>OBS-0087</x:v>
      </x:c>
      <x:c r="G1753" s="16" t="str">
        <x:v>审阅或辅助文档</x:v>
      </x:c>
      <x:c r="H1753" s="19" t="n">
        <x:v>6</x:v>
      </x:c>
      <x:c r="I1753" s="19" t="n">
        <x:v>7</x:v>
      </x:c>
      <x:c r="J1753" s="19" t="n">
        <x:v>3</x:v>
      </x:c>
      <x:c r="K1753" s="16" t="str">
        <x:v>5. Major deterioration</x:v>
      </x:c>
      <x:c r="L1753" s="16" t="str">
        <x:v>Likely</x:v>
      </x:c>
      <x:c r="M1753" s="16" t="str">
        <x:v>Significant</x:v>
      </x:c>
      <x:c r="N1753" s="16" t="str">
        <x:v>Critical</x:v>
      </x:c>
    </x:row>
    <x:row r="1754" ht="37" customHeight="1">
      <x:c r="A1754" s="16" t="str">
        <x:v>RAW-01748</x:v>
      </x:c>
      <x:c r="B1754" s="16" t="str">
        <x:v>Recommendation</x:v>
      </x:c>
      <x:c r="C1754" s="16" t="str">
        <x:v>– Strengthen lower section with steel plate.</x:v>
      </x:c>
      <x:c r="D1754" s="16" t="str">
        <x:v>Sculpture D</x:v>
      </x:c>
      <x:c r="E1754" s="16" t="str">
        <x:v>SRC-095</x:v>
      </x:c>
      <x:c r="F1754" s="16" t="str">
        <x:v>REC-0165</x:v>
      </x:c>
      <x:c r="G1754" s="16" t="str">
        <x:v>审阅或辅助文档</x:v>
      </x:c>
      <x:c r="H1754" s="19" t="n">
        <x:v>6</x:v>
      </x:c>
      <x:c r="I1754" s="19" t="n">
        <x:v>7</x:v>
      </x:c>
      <x:c r="J1754" s="19" t="n">
        <x:v>3</x:v>
      </x:c>
      <x:c r="K1754" s="16" t="str">
        <x:v>5. Major deterioration</x:v>
      </x:c>
      <x:c r="L1754" s="16" t="str">
        <x:v>Likely</x:v>
      </x:c>
      <x:c r="M1754" s="16" t="str">
        <x:v>Significant</x:v>
      </x:c>
      <x:c r="N1754" s="16" t="str">
        <x:v>Critical</x:v>
      </x:c>
    </x:row>
    <x:row r="1755" ht="37" customHeight="1">
      <x:c r="A1755" s="16" t="str">
        <x:v>RAW-01749</x:v>
      </x:c>
      <x:c r="B1755" s="16" t="str">
        <x:v>Observation</x:v>
      </x:c>
      <x:c r="C1755" s="16" t="str">
        <x:v>– All seats are in similar condition. Flaking corrosion towards lower section of support.</x:v>
      </x:c>
      <x:c r="D1755" s="16" t="str">
        <x:v>Seat supports</x:v>
      </x:c>
      <x:c r="E1755" s="16" t="str">
        <x:v>SRC-095</x:v>
      </x:c>
      <x:c r="F1755" s="16" t="str"/>
      <x:c r="G1755" s="16" t="str">
        <x:v>审阅或辅助文档</x:v>
      </x:c>
      <x:c r="H1755" s="19" t="n">
        <x:v>7</x:v>
      </x:c>
      <x:c r="I1755" s="19" t="n">
        <x:v>6</x:v>
      </x:c>
      <x:c r="J1755" s="19" t="n">
        <x:v>1</x:v>
      </x:c>
      <x:c r="K1755" s="16" t="str">
        <x:v>7. Very severe deterioration</x:v>
      </x:c>
      <x:c r="L1755" s="16" t="str">
        <x:v>Very likely</x:v>
      </x:c>
      <x:c r="M1755" s="16" t="str">
        <x:v>Moderate</x:v>
      </x:c>
      <x:c r="N1755" s="16" t="str">
        <x:v>Critical</x:v>
      </x:c>
    </x:row>
    <x:row r="1756" ht="37" customHeight="1">
      <x:c r="A1756" s="16" t="str">
        <x:v>RAW-01750</x:v>
      </x:c>
      <x:c r="B1756" s="16" t="str">
        <x:v>Observation</x:v>
      </x:c>
      <x:c r="C1756" s="16" t="str">
        <x:v>– Flaking corrosion towards lower section of support.</x:v>
      </x:c>
      <x:c r="D1756" s="16" t="str">
        <x:v>Seat supports</x:v>
      </x:c>
      <x:c r="E1756" s="16" t="str">
        <x:v>SRC-095</x:v>
      </x:c>
      <x:c r="F1756" s="16" t="str"/>
      <x:c r="G1756" s="16" t="str">
        <x:v>审阅或辅助文档</x:v>
      </x:c>
      <x:c r="H1756" s="19" t="n">
        <x:v>7</x:v>
      </x:c>
      <x:c r="I1756" s="19" t="n">
        <x:v>7</x:v>
      </x:c>
      <x:c r="J1756" s="19" t="n">
        <x:v>3</x:v>
      </x:c>
      <x:c r="K1756" s="16" t="str">
        <x:v>7. Very severe deterioration</x:v>
      </x:c>
      <x:c r="L1756" s="16" t="str">
        <x:v>Very likely</x:v>
      </x:c>
      <x:c r="M1756" s="16" t="str">
        <x:v>Moderate</x:v>
      </x:c>
      <x:c r="N1756" s="16" t="str">
        <x:v>Critical</x:v>
      </x:c>
    </x:row>
    <x:row r="1757" ht="37" customHeight="1">
      <x:c r="A1757" s="16" t="str">
        <x:v>RAW-01751</x:v>
      </x:c>
      <x:c r="B1757" s="16" t="str">
        <x:v>Recommendation</x:v>
      </x:c>
      <x:c r="C1757" s="16" t="str">
        <x:v>– Replace supports</x:v>
      </x:c>
      <x:c r="D1757" s="16" t="str">
        <x:v>Seat supports</x:v>
      </x:c>
      <x:c r="E1757" s="16" t="str">
        <x:v>SRC-095</x:v>
      </x:c>
      <x:c r="F1757" s="16" t="str">
        <x:v>REC-0153</x:v>
      </x:c>
      <x:c r="G1757" s="16" t="str">
        <x:v>审阅或辅助文档</x:v>
      </x:c>
      <x:c r="H1757" s="19" t="n">
        <x:v>7</x:v>
      </x:c>
      <x:c r="I1757" s="19" t="n">
        <x:v>7</x:v>
      </x:c>
      <x:c r="J1757" s="19" t="n">
        <x:v>3</x:v>
      </x:c>
      <x:c r="K1757" s="16" t="str">
        <x:v>7. Very severe deterioration</x:v>
      </x:c>
      <x:c r="L1757" s="16" t="str">
        <x:v>Very likely</x:v>
      </x:c>
      <x:c r="M1757" s="16" t="str">
        <x:v>Moderate</x:v>
      </x:c>
      <x:c r="N1757" s="16" t="str">
        <x:v>Critical</x:v>
      </x:c>
    </x:row>
    <x:row r="1758" ht="37" customHeight="1">
      <x:c r="A1758" s="16" t="str">
        <x:v>RAW-01752</x:v>
      </x:c>
      <x:c r="B1758" s="16" t="str">
        <x:v>Observation</x:v>
      </x:c>
      <x:c r="C1758" s="16" t="str">
        <x:v>– Overview.</x:v>
      </x:c>
      <x:c r="D1758" s="16" t="str">
        <x:v>Informational Panel</x:v>
      </x:c>
      <x:c r="E1758" s="16" t="str">
        <x:v>SRC-095</x:v>
      </x:c>
      <x:c r="F1758" s="16" t="str">
        <x:v>OBS-0002</x:v>
      </x:c>
      <x:c r="G1758" s="16" t="str">
        <x:v>审阅或辅助文档</x:v>
      </x:c>
      <x:c r="H1758" s="19" t="n">
        <x:v>8</x:v>
      </x:c>
      <x:c r="I1758" s="19" t="n">
        <x:v>6</x:v>
      </x:c>
      <x:c r="J1758" s="19" t="n">
        <x:v>1</x:v>
      </x:c>
      <x:c r="K1758" s="16" t="str">
        <x:v>7. Very severe deterioration</x:v>
      </x:c>
      <x:c r="L1758" s="16" t="str">
        <x:v>Very likely</x:v>
      </x:c>
      <x:c r="M1758" s="16" t="str">
        <x:v>Minor</x:v>
      </x:c>
      <x:c r="N1758" s="16" t="str">
        <x:v>High</x:v>
      </x:c>
    </x:row>
    <x:row r="1759" ht="37" customHeight="1">
      <x:c r="A1759" s="16" t="str">
        <x:v>RAW-01753</x:v>
      </x:c>
      <x:c r="B1759" s="16" t="str">
        <x:v>Observation</x:v>
      </x:c>
      <x:c r="C1759" s="16" t="str">
        <x:v>– Hole and flaking corrosion toward the lower section</x:v>
      </x:c>
      <x:c r="D1759" s="16" t="str">
        <x:v>Informational Panel</x:v>
      </x:c>
      <x:c r="E1759" s="16" t="str">
        <x:v>SRC-095</x:v>
      </x:c>
      <x:c r="F1759" s="16" t="str">
        <x:v>OBS-0324</x:v>
      </x:c>
      <x:c r="G1759" s="16" t="str">
        <x:v>审阅或辅助文档</x:v>
      </x:c>
      <x:c r="H1759" s="19" t="n">
        <x:v>8</x:v>
      </x:c>
      <x:c r="I1759" s="19" t="n">
        <x:v>7</x:v>
      </x:c>
      <x:c r="J1759" s="19" t="n">
        <x:v>2</x:v>
      </x:c>
      <x:c r="K1759" s="16" t="str">
        <x:v>7. Very severe deterioration</x:v>
      </x:c>
      <x:c r="L1759" s="16" t="str">
        <x:v>Very likely</x:v>
      </x:c>
      <x:c r="M1759" s="16" t="str">
        <x:v>Minor</x:v>
      </x:c>
      <x:c r="N1759" s="16" t="str">
        <x:v>High</x:v>
      </x:c>
    </x:row>
    <x:row r="1760" ht="37" customHeight="1">
      <x:c r="A1760" s="16" t="str">
        <x:v>RAW-01754</x:v>
      </x:c>
      <x:c r="B1760" s="16" t="str">
        <x:v>Recommendation</x:v>
      </x:c>
      <x:c r="C1760" s="16" t="str">
        <x:v>– Replace sign.</x:v>
      </x:c>
      <x:c r="D1760" s="16" t="str">
        <x:v>Informational Panel</x:v>
      </x:c>
      <x:c r="E1760" s="16" t="str">
        <x:v>SRC-095</x:v>
      </x:c>
      <x:c r="F1760" s="16" t="str">
        <x:v>REC-0152</x:v>
      </x:c>
      <x:c r="G1760" s="16" t="str">
        <x:v>审阅或辅助文档</x:v>
      </x:c>
      <x:c r="H1760" s="19" t="n">
        <x:v>8</x:v>
      </x:c>
      <x:c r="I1760" s="19" t="n">
        <x:v>7</x:v>
      </x:c>
      <x:c r="J1760" s="19" t="n">
        <x:v>2</x:v>
      </x:c>
      <x:c r="K1760" s="16" t="str">
        <x:v>7. Very severe deterioration</x:v>
      </x:c>
      <x:c r="L1760" s="16" t="str">
        <x:v>Very likely</x:v>
      </x:c>
      <x:c r="M1760" s="16" t="str">
        <x:v>Minor</x:v>
      </x:c>
      <x:c r="N1760" s="16" t="str">
        <x:v>High</x:v>
      </x:c>
    </x:row>
    <x:row r="1761" ht="37" customHeight="1">
      <x:c r="A1761" s="16" t="str">
        <x:v>RAW-01755</x:v>
      </x:c>
      <x:c r="B1761" s="16" t="str">
        <x:v>Observation</x:v>
      </x:c>
      <x:c r="C1761" s="16" t="str">
        <x:v>– overview.</x:v>
      </x:c>
      <x:c r="D1761" s="16" t="str">
        <x:v>Sculpture E</x:v>
      </x:c>
      <x:c r="E1761" s="16" t="str">
        <x:v>SRC-095</x:v>
      </x:c>
      <x:c r="F1761" s="16" t="str">
        <x:v>OBS-0002</x:v>
      </x:c>
      <x:c r="G1761" s="16" t="str">
        <x:v>审阅或辅助文档</x:v>
      </x:c>
      <x:c r="H1761" s="19" t="n">
        <x:v>9</x:v>
      </x:c>
      <x:c r="I1761" s="19" t="n">
        <x:v>6</x:v>
      </x:c>
      <x:c r="J1761" s="19" t="n">
        <x:v>1</x:v>
      </x:c>
      <x:c r="K1761" s="16" t="str">
        <x:v>4. Moderate</x:v>
      </x:c>
      <x:c r="L1761" s="16" t="str">
        <x:v>Possible</x:v>
      </x:c>
      <x:c r="M1761" s="16" t="str">
        <x:v>Minor</x:v>
      </x:c>
      <x:c r="N1761" s="16" t="str">
        <x:v>Moderate</x:v>
      </x:c>
    </x:row>
    <x:row r="1762" ht="37" customHeight="1">
      <x:c r="A1762" s="16" t="str">
        <x:v>RAW-01756</x:v>
      </x:c>
      <x:c r="B1762" s="16" t="str">
        <x:v>Observation</x:v>
      </x:c>
      <x:c r="C1762" s="16" t="str">
        <x:v>– Splitting in timber post.</x:v>
      </x:c>
      <x:c r="D1762" s="16" t="str">
        <x:v>Sculpture E</x:v>
      </x:c>
      <x:c r="E1762" s="16" t="str">
        <x:v>SRC-095</x:v>
      </x:c>
      <x:c r="F1762" s="16" t="str">
        <x:v>OBS-0577</x:v>
      </x:c>
      <x:c r="G1762" s="16" t="str">
        <x:v>审阅或辅助文档</x:v>
      </x:c>
      <x:c r="H1762" s="19" t="n">
        <x:v>9</x:v>
      </x:c>
      <x:c r="I1762" s="19" t="n">
        <x:v>7</x:v>
      </x:c>
      <x:c r="J1762" s="19" t="n">
        <x:v>1</x:v>
      </x:c>
      <x:c r="K1762" s="16" t="str">
        <x:v>4. Moderate</x:v>
      </x:c>
      <x:c r="L1762" s="16" t="str">
        <x:v>Possible</x:v>
      </x:c>
      <x:c r="M1762" s="16" t="str">
        <x:v>Minor</x:v>
      </x:c>
      <x:c r="N1762" s="16" t="str">
        <x:v>Moderate</x:v>
      </x:c>
    </x:row>
    <x:row r="1763" ht="37" customHeight="1">
      <x:c r="A1763" s="16" t="str">
        <x:v>RAW-01757</x:v>
      </x:c>
      <x:c r="B1763" s="16" t="str">
        <x:v>Observation</x:v>
      </x:c>
      <x:c r="C1763" s="16" t="str">
        <x:v>– Flaking of steel ring.</x:v>
      </x:c>
      <x:c r="D1763" s="16" t="str">
        <x:v>Sculpture E</x:v>
      </x:c>
      <x:c r="E1763" s="16" t="str">
        <x:v>SRC-095</x:v>
      </x:c>
      <x:c r="F1763" s="16" t="str">
        <x:v>OBS-0267</x:v>
      </x:c>
      <x:c r="G1763" s="16" t="str">
        <x:v>审阅或辅助文档</x:v>
      </x:c>
      <x:c r="H1763" s="19" t="n">
        <x:v>9</x:v>
      </x:c>
      <x:c r="I1763" s="19" t="n">
        <x:v>8</x:v>
      </x:c>
      <x:c r="J1763" s="19" t="n">
        <x:v>1</x:v>
      </x:c>
      <x:c r="K1763" s="16" t="str">
        <x:v>4. Moderate</x:v>
      </x:c>
      <x:c r="L1763" s="16" t="str">
        <x:v>Possible</x:v>
      </x:c>
      <x:c r="M1763" s="16" t="str">
        <x:v>Minor</x:v>
      </x:c>
      <x:c r="N1763" s="16" t="str">
        <x:v>Moderate</x:v>
      </x:c>
    </x:row>
    <x:row r="1764" ht="37" customHeight="1">
      <x:c r="A1764" s="16" t="str">
        <x:v>RAW-01758</x:v>
      </x:c>
      <x:c r="B1764" s="16" t="str">
        <x:v>Recommendation</x:v>
      </x:c>
      <x:c r="C1764" s="16" t="str">
        <x:v>– Clean, remove corrosion and repaint.</x:v>
      </x:c>
      <x:c r="D1764" s="16" t="str">
        <x:v>Sculpture E</x:v>
      </x:c>
      <x:c r="E1764" s="16" t="str">
        <x:v>SRC-095</x:v>
      </x:c>
      <x:c r="F1764" s="16" t="str">
        <x:v>REC-0002</x:v>
      </x:c>
      <x:c r="G1764" s="16" t="str">
        <x:v>审阅或辅助文档</x:v>
      </x:c>
      <x:c r="H1764" s="19" t="n">
        <x:v>9</x:v>
      </x:c>
      <x:c r="I1764" s="19" t="n">
        <x:v>8</x:v>
      </x:c>
      <x:c r="J1764" s="19" t="n">
        <x:v>1</x:v>
      </x:c>
      <x:c r="K1764" s="16" t="str">
        <x:v>4. Moderate</x:v>
      </x:c>
      <x:c r="L1764" s="16" t="str">
        <x:v>Possible</x:v>
      </x:c>
      <x:c r="M1764" s="16" t="str">
        <x:v>Minor</x:v>
      </x:c>
      <x:c r="N1764" s="16" t="str">
        <x:v>Moderate</x:v>
      </x:c>
    </x:row>
    <x:row r="1765" ht="41" customHeight="1">
      <x:c r="A1765" s="16" t="str">
        <x:v>RAW-01759</x:v>
      </x:c>
      <x:c r="B1765" s="16" t="str">
        <x:v>Observation</x:v>
      </x:c>
      <x:c r="C1765" s="16" t="str">
        <x:v>– Right hand side of back balcony facing front entrance. Spalling and exposed reinforcement. This is a typical issue.</x:v>
      </x:c>
      <x:c r="D1765" s="16" t="str">
        <x:v>Concrete slab</x:v>
      </x:c>
      <x:c r="E1765" s="16" t="str">
        <x:v>SRC-096</x:v>
      </x:c>
      <x:c r="F1765" s="16" t="str">
        <x:v>OBS-0488</x:v>
      </x:c>
      <x:c r="G1765" s="16" t="str">
        <x:v>正式报告</x:v>
      </x:c>
      <x:c r="H1765" s="19" t="n">
        <x:v>3</x:v>
      </x:c>
      <x:c r="I1765" s="19" t="n">
        <x:v>6</x:v>
      </x:c>
      <x:c r="J1765" s="19" t="n">
        <x:v>2</x:v>
      </x:c>
      <x:c r="K1765" s="16" t="str">
        <x:v>6. Severe deterioration</x:v>
      </x:c>
      <x:c r="L1765" s="16" t="str">
        <x:v>Very likely</x:v>
      </x:c>
      <x:c r="M1765" s="16" t="str">
        <x:v>Severe</x:v>
      </x:c>
      <x:c r="N1765" s="16" t="str">
        <x:v>Urgent</x:v>
      </x:c>
    </x:row>
    <x:row r="1766" ht="37" customHeight="1">
      <x:c r="A1766" s="16" t="str">
        <x:v>RAW-01760</x:v>
      </x:c>
      <x:c r="B1766" s="16" t="str">
        <x:v>Recommendation</x:v>
      </x:c>
      <x:c r="C1766" s="16" t="str">
        <x:v>– Refer the Section 3 for remedial works.</x:v>
      </x:c>
      <x:c r="D1766" s="16" t="str">
        <x:v>Concrete slab</x:v>
      </x:c>
      <x:c r="E1766" s="16" t="str">
        <x:v>SRC-096</x:v>
      </x:c>
      <x:c r="F1766" s="16" t="str">
        <x:v>REC-0015</x:v>
      </x:c>
      <x:c r="G1766" s="16" t="str">
        <x:v>正式报告</x:v>
      </x:c>
      <x:c r="H1766" s="19" t="n">
        <x:v>3</x:v>
      </x:c>
      <x:c r="I1766" s="19" t="n">
        <x:v>6</x:v>
      </x:c>
      <x:c r="J1766" s="19" t="n">
        <x:v>2</x:v>
      </x:c>
      <x:c r="K1766" s="16" t="str">
        <x:v>6. Severe deterioration</x:v>
      </x:c>
      <x:c r="L1766" s="16" t="str">
        <x:v>Very likely</x:v>
      </x:c>
      <x:c r="M1766" s="16" t="str">
        <x:v>Severe</x:v>
      </x:c>
      <x:c r="N1766" s="16" t="str">
        <x:v>Urgent</x:v>
      </x:c>
    </x:row>
    <x:row r="1767" ht="37" customHeight="1">
      <x:c r="A1767" s="16" t="str">
        <x:v>RAW-01761</x:v>
      </x:c>
      <x:c r="B1767" s="16" t="str">
        <x:v>Observation</x:v>
      </x:c>
      <x:c r="C1767" s="16" t="str">
        <x:v>– Right hand side of front balcony facing front entrance.</x:v>
      </x:c>
      <x:c r="D1767" s="16" t="str">
        <x:v>Concrete slab</x:v>
      </x:c>
      <x:c r="E1767" s="16" t="str">
        <x:v>SRC-096</x:v>
      </x:c>
      <x:c r="F1767" s="16" t="str">
        <x:v>OBS-0489</x:v>
      </x:c>
      <x:c r="G1767" s="16" t="str">
        <x:v>正式报告</x:v>
      </x:c>
      <x:c r="H1767" s="19" t="n">
        <x:v>3</x:v>
      </x:c>
      <x:c r="I1767" s="19" t="n">
        <x:v>8</x:v>
      </x:c>
      <x:c r="J1767" s="19" t="n">
        <x:v>2</x:v>
      </x:c>
      <x:c r="K1767" s="16" t="str">
        <x:v>6. Severe deterioration</x:v>
      </x:c>
      <x:c r="L1767" s="16" t="str">
        <x:v>Very likely</x:v>
      </x:c>
      <x:c r="M1767" s="16" t="str">
        <x:v>Severe</x:v>
      </x:c>
      <x:c r="N1767" s="16" t="str">
        <x:v>Urgent</x:v>
      </x:c>
    </x:row>
    <x:row r="1768" ht="37" customHeight="1">
      <x:c r="A1768" s="16" t="str">
        <x:v>RAW-01762</x:v>
      </x:c>
      <x:c r="B1768" s="16" t="str">
        <x:v>Recommendation</x:v>
      </x:c>
      <x:c r="C1768" s="16" t="str">
        <x:v>– Refer the Section 3 for remedial works.</x:v>
      </x:c>
      <x:c r="D1768" s="16" t="str">
        <x:v>Concrete slab</x:v>
      </x:c>
      <x:c r="E1768" s="16" t="str">
        <x:v>SRC-096</x:v>
      </x:c>
      <x:c r="F1768" s="16" t="str">
        <x:v>REC-0015</x:v>
      </x:c>
      <x:c r="G1768" s="16" t="str">
        <x:v>正式报告</x:v>
      </x:c>
      <x:c r="H1768" s="19" t="n">
        <x:v>3</x:v>
      </x:c>
      <x:c r="I1768" s="19" t="n">
        <x:v>8</x:v>
      </x:c>
      <x:c r="J1768" s="19" t="n">
        <x:v>2</x:v>
      </x:c>
      <x:c r="K1768" s="16" t="str">
        <x:v>6. Severe deterioration</x:v>
      </x:c>
      <x:c r="L1768" s="16" t="str">
        <x:v>Very likely</x:v>
      </x:c>
      <x:c r="M1768" s="16" t="str">
        <x:v>Severe</x:v>
      </x:c>
      <x:c r="N1768" s="16" t="str">
        <x:v>Urgent</x:v>
      </x:c>
    </x:row>
    <x:row r="1769" ht="37" customHeight="1">
      <x:c r="A1769" s="16" t="str">
        <x:v>RAW-01763</x:v>
      </x:c>
      <x:c r="B1769" s="16" t="str">
        <x:v>Observation</x:v>
      </x:c>
      <x:c r="C1769" s="16" t="str">
        <x:v>– Right hand side of back balcony facing front entrance. Spalling and exposed reinforcement.</x:v>
      </x:c>
      <x:c r="D1769" s="16" t="str">
        <x:v>Concrete slab</x:v>
      </x:c>
      <x:c r="E1769" s="16" t="str">
        <x:v>SRC-096</x:v>
      </x:c>
      <x:c r="F1769" s="16" t="str">
        <x:v>OBS-0487</x:v>
      </x:c>
      <x:c r="G1769" s="16" t="str">
        <x:v>正式报告</x:v>
      </x:c>
      <x:c r="H1769" s="19" t="n">
        <x:v>3</x:v>
      </x:c>
      <x:c r="I1769" s="19" t="n">
        <x:v>10</x:v>
      </x:c>
      <x:c r="J1769" s="19" t="n">
        <x:v>2</x:v>
      </x:c>
      <x:c r="K1769" s="16" t="str">
        <x:v>6. Severe deterioration</x:v>
      </x:c>
      <x:c r="L1769" s="16" t="str">
        <x:v>Very likely</x:v>
      </x:c>
      <x:c r="M1769" s="16" t="str">
        <x:v>Severe</x:v>
      </x:c>
      <x:c r="N1769" s="16" t="str">
        <x:v>Urgent</x:v>
      </x:c>
    </x:row>
    <x:row r="1770" ht="37" customHeight="1">
      <x:c r="A1770" s="16" t="str">
        <x:v>RAW-01764</x:v>
      </x:c>
      <x:c r="B1770" s="16" t="str">
        <x:v>Recommendation</x:v>
      </x:c>
      <x:c r="C1770" s="16" t="str">
        <x:v>– Refer the Section 3 for remedial works.</x:v>
      </x:c>
      <x:c r="D1770" s="16" t="str">
        <x:v>Concrete slab</x:v>
      </x:c>
      <x:c r="E1770" s="16" t="str">
        <x:v>SRC-096</x:v>
      </x:c>
      <x:c r="F1770" s="16" t="str">
        <x:v>REC-0015</x:v>
      </x:c>
      <x:c r="G1770" s="16" t="str">
        <x:v>正式报告</x:v>
      </x:c>
      <x:c r="H1770" s="19" t="n">
        <x:v>3</x:v>
      </x:c>
      <x:c r="I1770" s="19" t="n">
        <x:v>10</x:v>
      </x:c>
      <x:c r="J1770" s="19" t="n">
        <x:v>2</x:v>
      </x:c>
      <x:c r="K1770" s="16" t="str">
        <x:v>6. Severe deterioration</x:v>
      </x:c>
      <x:c r="L1770" s="16" t="str">
        <x:v>Very likely</x:v>
      </x:c>
      <x:c r="M1770" s="16" t="str">
        <x:v>Severe</x:v>
      </x:c>
      <x:c r="N1770" s="16" t="str">
        <x:v>Urgent</x:v>
      </x:c>
    </x:row>
    <x:row r="1771" ht="37" customHeight="1">
      <x:c r="A1771" s="16" t="str">
        <x:v>RAW-01765</x:v>
      </x:c>
      <x:c r="B1771" s="16" t="str">
        <x:v>Observation</x:v>
      </x:c>
      <x:c r="C1771" s="16" t="str">
        <x:v>– Left hand side staircase facing front entrance. Spalling and exposed reinforcement.</x:v>
      </x:c>
      <x:c r="D1771" s="16" t="str">
        <x:v>Concrete slab</x:v>
      </x:c>
      <x:c r="E1771" s="16" t="str">
        <x:v>SRC-096</x:v>
      </x:c>
      <x:c r="F1771" s="16" t="str">
        <x:v>OBS-0359</x:v>
      </x:c>
      <x:c r="G1771" s="16" t="str">
        <x:v>正式报告</x:v>
      </x:c>
      <x:c r="H1771" s="19" t="n">
        <x:v>3</x:v>
      </x:c>
      <x:c r="I1771" s="19" t="n">
        <x:v>12</x:v>
      </x:c>
      <x:c r="J1771" s="19" t="n">
        <x:v>2</x:v>
      </x:c>
      <x:c r="K1771" s="16" t="str">
        <x:v>6. Severe deterioration</x:v>
      </x:c>
      <x:c r="L1771" s="16" t="str">
        <x:v>Very likely</x:v>
      </x:c>
      <x:c r="M1771" s="16" t="str">
        <x:v>Severe</x:v>
      </x:c>
      <x:c r="N1771" s="16" t="str">
        <x:v>Urgent</x:v>
      </x:c>
    </x:row>
    <x:row r="1772" ht="37" customHeight="1">
      <x:c r="A1772" s="16" t="str">
        <x:v>RAW-01766</x:v>
      </x:c>
      <x:c r="B1772" s="16" t="str">
        <x:v>Recommendation</x:v>
      </x:c>
      <x:c r="C1772" s="16" t="str">
        <x:v>– Refer the Section 3 for remedial works.</x:v>
      </x:c>
      <x:c r="D1772" s="16" t="str">
        <x:v>Concrete slab</x:v>
      </x:c>
      <x:c r="E1772" s="16" t="str">
        <x:v>SRC-096</x:v>
      </x:c>
      <x:c r="F1772" s="16" t="str">
        <x:v>REC-0015</x:v>
      </x:c>
      <x:c r="G1772" s="16" t="str">
        <x:v>正式报告</x:v>
      </x:c>
      <x:c r="H1772" s="19" t="n">
        <x:v>3</x:v>
      </x:c>
      <x:c r="I1772" s="19" t="n">
        <x:v>12</x:v>
      </x:c>
      <x:c r="J1772" s="19" t="n">
        <x:v>2</x:v>
      </x:c>
      <x:c r="K1772" s="16" t="str">
        <x:v>6. Severe deterioration</x:v>
      </x:c>
      <x:c r="L1772" s="16" t="str">
        <x:v>Very likely</x:v>
      </x:c>
      <x:c r="M1772" s="16" t="str">
        <x:v>Severe</x:v>
      </x:c>
      <x:c r="N1772" s="16" t="str">
        <x:v>Urgent</x:v>
      </x:c>
    </x:row>
    <x:row r="1773" ht="37" customHeight="1">
      <x:c r="A1773" s="16" t="str">
        <x:v>RAW-01767</x:v>
      </x:c>
      <x:c r="B1773" s="16" t="str">
        <x:v>Observation</x:v>
      </x:c>
      <x:c r="C1773" s="16" t="str">
        <x:v>– Vertical displacement between adjacent concrete elements.</x:v>
      </x:c>
      <x:c r="D1773" s="16" t="str">
        <x:v>Concrete fascia beam</x:v>
      </x:c>
      <x:c r="E1773" s="16" t="str">
        <x:v>SRC-096</x:v>
      </x:c>
      <x:c r="F1773" s="16" t="str">
        <x:v>OBS-0602</x:v>
      </x:c>
      <x:c r="G1773" s="16" t="str">
        <x:v>正式报告</x:v>
      </x:c>
      <x:c r="H1773" s="19" t="n">
        <x:v>4</x:v>
      </x:c>
      <x:c r="I1773" s="19" t="n">
        <x:v>6</x:v>
      </x:c>
      <x:c r="J1773" s="19" t="n">
        <x:v>2</x:v>
      </x:c>
      <x:c r="K1773" s="16" t="str">
        <x:v>3. Minor deterioration</x:v>
      </x:c>
      <x:c r="L1773" s="16" t="str">
        <x:v>Unlikely</x:v>
      </x:c>
      <x:c r="M1773" s="16" t="str">
        <x:v>Severe</x:v>
      </x:c>
      <x:c r="N1773" s="16" t="str">
        <x:v>High</x:v>
      </x:c>
    </x:row>
    <x:row r="1774" ht="41" customHeight="1">
      <x:c r="A1774" s="16" t="str">
        <x:v>RAW-01768</x:v>
      </x:c>
      <x:c r="B1774" s="16" t="str">
        <x:v>Recommendation</x:v>
      </x:c>
      <x:c r="C1774" s="16" t="str">
        <x:v>– Further investigation is required to identify the connection between concrete element and supporting member. The connections might be detached.</x:v>
      </x:c>
      <x:c r="D1774" s="16" t="str">
        <x:v>Concrete fascia beam</x:v>
      </x:c>
      <x:c r="E1774" s="16" t="str">
        <x:v>SRC-096</x:v>
      </x:c>
      <x:c r="F1774" s="16" t="str">
        <x:v>REC-0101</x:v>
      </x:c>
      <x:c r="G1774" s="16" t="str">
        <x:v>正式报告</x:v>
      </x:c>
      <x:c r="H1774" s="19" t="n">
        <x:v>4</x:v>
      </x:c>
      <x:c r="I1774" s="19" t="n">
        <x:v>6</x:v>
      </x:c>
      <x:c r="J1774" s="19" t="n">
        <x:v>2</x:v>
      </x:c>
      <x:c r="K1774" s="16" t="str">
        <x:v>3. Minor deterioration</x:v>
      </x:c>
      <x:c r="L1774" s="16" t="str">
        <x:v>Unlikely</x:v>
      </x:c>
      <x:c r="M1774" s="16" t="str">
        <x:v>Severe</x:v>
      </x:c>
      <x:c r="N1774" s="16" t="str">
        <x:v>High</x:v>
      </x:c>
    </x:row>
    <x:row r="1775" ht="37" customHeight="1">
      <x:c r="A1775" s="16" t="str">
        <x:v>RAW-01769</x:v>
      </x:c>
      <x:c r="B1775" s="16" t="str">
        <x:v>Observation</x:v>
      </x:c>
      <x:c r="C1775" s="16" t="str">
        <x:v>– Majority of brick piers at the back balcony have cracking extending from the door latch.</x:v>
      </x:c>
      <x:c r="D1775" s="16" t="str">
        <x:v>Brick piers</x:v>
      </x:c>
      <x:c r="E1775" s="16" t="str">
        <x:v>SRC-096</x:v>
      </x:c>
      <x:c r="F1775" s="16" t="str">
        <x:v>OBS-0372</x:v>
      </x:c>
      <x:c r="G1775" s="16" t="str">
        <x:v>正式报告</x:v>
      </x:c>
      <x:c r="H1775" s="19" t="n">
        <x:v>5</x:v>
      </x:c>
      <x:c r="I1775" s="19" t="n">
        <x:v>6</x:v>
      </x:c>
      <x:c r="J1775" s="19" t="n">
        <x:v>1</x:v>
      </x:c>
      <x:c r="K1775" s="16" t="str">
        <x:v>4. Moderate deterioration</x:v>
      </x:c>
      <x:c r="L1775" s="16" t="str">
        <x:v>Possible</x:v>
      </x:c>
      <x:c r="M1775" s="16" t="str">
        <x:v>Moderate</x:v>
      </x:c>
      <x:c r="N1775" s="16" t="str">
        <x:v>High</x:v>
      </x:c>
    </x:row>
    <x:row r="1776" ht="37" customHeight="1">
      <x:c r="A1776" s="16" t="str">
        <x:v>RAW-01770</x:v>
      </x:c>
      <x:c r="B1776" s="16" t="str">
        <x:v>Recommendation</x:v>
      </x:c>
      <x:c r="C1776" s="16" t="str">
        <x:v>– Refer to Section 3 for repair methodology.</x:v>
      </x:c>
      <x:c r="D1776" s="16" t="str">
        <x:v>Brick piers</x:v>
      </x:c>
      <x:c r="E1776" s="16" t="str">
        <x:v>SRC-096</x:v>
      </x:c>
      <x:c r="F1776" s="16" t="str">
        <x:v>REC-0121</x:v>
      </x:c>
      <x:c r="G1776" s="16" t="str">
        <x:v>正式报告</x:v>
      </x:c>
      <x:c r="H1776" s="19" t="n">
        <x:v>5</x:v>
      </x:c>
      <x:c r="I1776" s="19" t="n">
        <x:v>6</x:v>
      </x:c>
      <x:c r="J1776" s="19" t="n">
        <x:v>1</x:v>
      </x:c>
      <x:c r="K1776" s="16" t="str">
        <x:v>4. Moderate deterioration</x:v>
      </x:c>
      <x:c r="L1776" s="16" t="str">
        <x:v>Possible</x:v>
      </x:c>
      <x:c r="M1776" s="16" t="str">
        <x:v>Moderate</x:v>
      </x:c>
      <x:c r="N1776" s="16" t="str">
        <x:v>High</x:v>
      </x:c>
    </x:row>
    <x:row r="1777" ht="37" customHeight="1">
      <x:c r="A1777" s="16" t="str">
        <x:v>RAW-01771</x:v>
      </x:c>
      <x:c r="B1777" s="16" t="str">
        <x:v>Observation</x:v>
      </x:c>
      <x:c r="C1777" s="16" t="str">
        <x:v>– Back balcony brick pier.</x:v>
      </x:c>
      <x:c r="D1777" s="16" t="str">
        <x:v>Brick piers</x:v>
      </x:c>
      <x:c r="E1777" s="16" t="str">
        <x:v>SRC-096</x:v>
      </x:c>
      <x:c r="F1777" s="16" t="str">
        <x:v>OBS-0032</x:v>
      </x:c>
      <x:c r="G1777" s="16" t="str">
        <x:v>正式报告</x:v>
      </x:c>
      <x:c r="H1777" s="19" t="n">
        <x:v>5</x:v>
      </x:c>
      <x:c r="I1777" s="19" t="n">
        <x:v>7</x:v>
      </x:c>
      <x:c r="J1777" s="19" t="n">
        <x:v>2</x:v>
      </x:c>
      <x:c r="K1777" s="16" t="str">
        <x:v>4. Moderate deterioration</x:v>
      </x:c>
      <x:c r="L1777" s="16" t="str">
        <x:v>Possible</x:v>
      </x:c>
      <x:c r="M1777" s="16" t="str">
        <x:v>Moderate</x:v>
      </x:c>
      <x:c r="N1777" s="16" t="str">
        <x:v>High</x:v>
      </x:c>
    </x:row>
    <x:row r="1778" ht="37" customHeight="1">
      <x:c r="A1778" s="16" t="str">
        <x:v>RAW-01772</x:v>
      </x:c>
      <x:c r="B1778" s="16" t="str">
        <x:v>Observation</x:v>
      </x:c>
      <x:c r="C1778" s="16" t="str">
        <x:v>– Back balcony brick pier.</x:v>
      </x:c>
      <x:c r="D1778" s="16" t="str">
        <x:v>Brick piers</x:v>
      </x:c>
      <x:c r="E1778" s="16" t="str">
        <x:v>SRC-096</x:v>
      </x:c>
      <x:c r="F1778" s="16" t="str">
        <x:v>OBS-0032</x:v>
      </x:c>
      <x:c r="G1778" s="16" t="str">
        <x:v>正式报告</x:v>
      </x:c>
      <x:c r="H1778" s="19" t="n">
        <x:v>5</x:v>
      </x:c>
      <x:c r="I1778" s="19" t="n">
        <x:v>9</x:v>
      </x:c>
      <x:c r="J1778" s="19" t="n">
        <x:v>2</x:v>
      </x:c>
      <x:c r="K1778" s="16" t="str">
        <x:v>4. Moderate deterioration</x:v>
      </x:c>
      <x:c r="L1778" s="16" t="str">
        <x:v>Possible</x:v>
      </x:c>
      <x:c r="M1778" s="16" t="str">
        <x:v>Moderate</x:v>
      </x:c>
      <x:c r="N1778" s="16" t="str">
        <x:v>High</x:v>
      </x:c>
    </x:row>
    <x:row r="1779" ht="37" customHeight="1">
      <x:c r="A1779" s="16" t="str">
        <x:v>RAW-01773</x:v>
      </x:c>
      <x:c r="B1779" s="16" t="str">
        <x:v>Observation</x:v>
      </x:c>
      <x:c r="C1779" s="16" t="str">
        <x:v>– Cracking on concrete column.</x:v>
      </x:c>
      <x:c r="D1779" s="16" t="str">
        <x:v>Concrete column</x:v>
      </x:c>
      <x:c r="E1779" s="16" t="str">
        <x:v>SRC-096</x:v>
      </x:c>
      <x:c r="F1779" s="16" t="str">
        <x:v>OBS-0242</x:v>
      </x:c>
      <x:c r="G1779" s="16" t="str">
        <x:v>正式报告</x:v>
      </x:c>
      <x:c r="H1779" s="19" t="n">
        <x:v>6</x:v>
      </x:c>
      <x:c r="I1779" s="19" t="n">
        <x:v>6</x:v>
      </x:c>
      <x:c r="J1779" s="19" t="n">
        <x:v>2</x:v>
      </x:c>
      <x:c r="K1779" s="16" t="str">
        <x:v>3. Minor deterioration</x:v>
      </x:c>
      <x:c r="L1779" s="16" t="str">
        <x:v>Unlikely</x:v>
      </x:c>
      <x:c r="M1779" s="16" t="str">
        <x:v>Significant</x:v>
      </x:c>
      <x:c r="N1779" s="16" t="str">
        <x:v>Moderate</x:v>
      </x:c>
    </x:row>
    <x:row r="1780" ht="37" customHeight="1">
      <x:c r="A1780" s="16" t="str">
        <x:v>RAW-01774</x:v>
      </x:c>
      <x:c r="B1780" s="16" t="str">
        <x:v>Recommendation</x:v>
      </x:c>
      <x:c r="C1780" s="16" t="str">
        <x:v>– Monitor crack length and width periodically.</x:v>
      </x:c>
      <x:c r="D1780" s="16" t="str">
        <x:v>Concrete column</x:v>
      </x:c>
      <x:c r="E1780" s="16" t="str">
        <x:v>SRC-096</x:v>
      </x:c>
      <x:c r="F1780" s="16" t="str">
        <x:v>REC-0019</x:v>
      </x:c>
      <x:c r="G1780" s="16" t="str">
        <x:v>正式报告</x:v>
      </x:c>
      <x:c r="H1780" s="19" t="n">
        <x:v>6</x:v>
      </x:c>
      <x:c r="I1780" s="19" t="n">
        <x:v>6</x:v>
      </x:c>
      <x:c r="J1780" s="19" t="n">
        <x:v>2</x:v>
      </x:c>
      <x:c r="K1780" s="16" t="str">
        <x:v>3. Minor deterioration</x:v>
      </x:c>
      <x:c r="L1780" s="16" t="str">
        <x:v>Unlikely</x:v>
      </x:c>
      <x:c r="M1780" s="16" t="str">
        <x:v>Significant</x:v>
      </x:c>
      <x:c r="N1780" s="16" t="str">
        <x:v>Moderate</x:v>
      </x:c>
    </x:row>
    <x:row r="1781" ht="37" customHeight="1">
      <x:c r="A1781" s="16" t="str">
        <x:v>RAW-01775</x:v>
      </x:c>
      <x:c r="B1781" s="16" t="str">
        <x:v>Observation</x:v>
      </x:c>
      <x:c r="C1781" s="16" t="str">
        <x:v>– Right hand side staircase. Minor cracking at joint.</x:v>
      </x:c>
      <x:c r="D1781" s="16" t="str">
        <x:v>Concrete staircase</x:v>
      </x:c>
      <x:c r="E1781" s="16" t="str">
        <x:v>SRC-096</x:v>
      </x:c>
      <x:c r="F1781" s="16" t="str">
        <x:v>OBS-0509</x:v>
      </x:c>
      <x:c r="G1781" s="16" t="str">
        <x:v>正式报告</x:v>
      </x:c>
      <x:c r="H1781" s="19" t="n">
        <x:v>7</x:v>
      </x:c>
      <x:c r="I1781" s="19" t="n">
        <x:v>6</x:v>
      </x:c>
      <x:c r="J1781" s="19" t="n">
        <x:v>2</x:v>
      </x:c>
      <x:c r="K1781" s="16" t="str">
        <x:v>2. New with slight deterioration</x:v>
      </x:c>
      <x:c r="L1781" s="16" t="str">
        <x:v>Very unlikely</x:v>
      </x:c>
      <x:c r="M1781" s="16" t="str">
        <x:v>Significant</x:v>
      </x:c>
      <x:c r="N1781" s="16" t="str">
        <x:v>Low</x:v>
      </x:c>
    </x:row>
    <x:row r="1782" ht="37" customHeight="1">
      <x:c r="A1782" s="16" t="str">
        <x:v>RAW-01776</x:v>
      </x:c>
      <x:c r="B1782" s="16" t="str">
        <x:v>Recommendation</x:v>
      </x:c>
      <x:c r="C1782" s="16" t="str">
        <x:v>– Monitor crack length and width periodically.</x:v>
      </x:c>
      <x:c r="D1782" s="16" t="str">
        <x:v>Concrete staircase</x:v>
      </x:c>
      <x:c r="E1782" s="16" t="str">
        <x:v>SRC-096</x:v>
      </x:c>
      <x:c r="F1782" s="16" t="str">
        <x:v>REC-0019</x:v>
      </x:c>
      <x:c r="G1782" s="16" t="str">
        <x:v>正式报告</x:v>
      </x:c>
      <x:c r="H1782" s="19" t="n">
        <x:v>7</x:v>
      </x:c>
      <x:c r="I1782" s="19" t="n">
        <x:v>6</x:v>
      </x:c>
      <x:c r="J1782" s="19" t="n">
        <x:v>2</x:v>
      </x:c>
      <x:c r="K1782" s="16" t="str">
        <x:v>2. New with slight deterioration</x:v>
      </x:c>
      <x:c r="L1782" s="16" t="str">
        <x:v>Very unlikely</x:v>
      </x:c>
      <x:c r="M1782" s="16" t="str">
        <x:v>Significant</x:v>
      </x:c>
      <x:c r="N1782" s="16" t="str">
        <x:v>Low</x:v>
      </x:c>
    </x:row>
    <x:row r="1783" ht="37" customHeight="1">
      <x:c r="A1783" s="16" t="str">
        <x:v>RAW-01777</x:v>
      </x:c>
      <x:c r="B1783" s="16" t="str">
        <x:v>Observation</x:v>
      </x:c>
      <x:c r="C1783" s="16" t="str">
        <x:v>– Left hand side staircase. Minor cracking at joint.</x:v>
      </x:c>
      <x:c r="D1783" s="16" t="str">
        <x:v>Concrete staircase</x:v>
      </x:c>
      <x:c r="E1783" s="16" t="str">
        <x:v>SRC-096</x:v>
      </x:c>
      <x:c r="F1783" s="16" t="str">
        <x:v>OBS-0360</x:v>
      </x:c>
      <x:c r="G1783" s="16" t="str">
        <x:v>正式报告</x:v>
      </x:c>
      <x:c r="H1783" s="19" t="n">
        <x:v>7</x:v>
      </x:c>
      <x:c r="I1783" s="19" t="n">
        <x:v>8</x:v>
      </x:c>
      <x:c r="J1783" s="19" t="n">
        <x:v>2</x:v>
      </x:c>
      <x:c r="K1783" s="16" t="str">
        <x:v>2. New with slight deterioration</x:v>
      </x:c>
      <x:c r="L1783" s="16" t="str">
        <x:v>Very unlikely</x:v>
      </x:c>
      <x:c r="M1783" s="16" t="str">
        <x:v>Significant</x:v>
      </x:c>
      <x:c r="N1783" s="16" t="str">
        <x:v>Low</x:v>
      </x:c>
    </x:row>
    <x:row r="1784" ht="37" customHeight="1">
      <x:c r="A1784" s="16" t="str">
        <x:v>RAW-01778</x:v>
      </x:c>
      <x:c r="B1784" s="16" t="str">
        <x:v>Recommendation</x:v>
      </x:c>
      <x:c r="C1784" s="16" t="str">
        <x:v>– Monitor crack length and width periodically.</x:v>
      </x:c>
      <x:c r="D1784" s="16" t="str">
        <x:v>Concrete staircase</x:v>
      </x:c>
      <x:c r="E1784" s="16" t="str">
        <x:v>SRC-096</x:v>
      </x:c>
      <x:c r="F1784" s="16" t="str">
        <x:v>REC-0019</x:v>
      </x:c>
      <x:c r="G1784" s="16" t="str">
        <x:v>正式报告</x:v>
      </x:c>
      <x:c r="H1784" s="19" t="n">
        <x:v>7</x:v>
      </x:c>
      <x:c r="I1784" s="19" t="n">
        <x:v>8</x:v>
      </x:c>
      <x:c r="J1784" s="19" t="n">
        <x:v>2</x:v>
      </x:c>
      <x:c r="K1784" s="16" t="str">
        <x:v>2. New with slight deterioration</x:v>
      </x:c>
      <x:c r="L1784" s="16" t="str">
        <x:v>Very unlikely</x:v>
      </x:c>
      <x:c r="M1784" s="16" t="str">
        <x:v>Significant</x:v>
      </x:c>
      <x:c r="N1784" s="16" t="str">
        <x:v>Low</x:v>
      </x:c>
    </x:row>
    <x:row r="1785" ht="37" customHeight="1">
      <x:c r="A1785" s="16" t="str">
        <x:v>RAW-01779</x:v>
      </x:c>
      <x:c r="B1785" s="16" t="str">
        <x:v>Observation</x:v>
      </x:c>
      <x:c r="C1785" s="16" t="str">
        <x:v>– Back balcony. Minor cracking extending from supporting columns.</x:v>
      </x:c>
      <x:c r="D1785" s="16" t="str">
        <x:v>Concrete slab</x:v>
      </x:c>
      <x:c r="E1785" s="16" t="str">
        <x:v>SRC-096</x:v>
      </x:c>
      <x:c r="F1785" s="16" t="str">
        <x:v>OBS-0098</x:v>
      </x:c>
      <x:c r="G1785" s="16" t="str">
        <x:v>正式报告</x:v>
      </x:c>
      <x:c r="H1785" s="19" t="n">
        <x:v>8</x:v>
      </x:c>
      <x:c r="I1785" s="19" t="n">
        <x:v>6</x:v>
      </x:c>
      <x:c r="J1785" s="19" t="n">
        <x:v>2</x:v>
      </x:c>
      <x:c r="K1785" s="16" t="str">
        <x:v>3. Minor deterioration</x:v>
      </x:c>
      <x:c r="L1785" s="16" t="str">
        <x:v>Unlikely</x:v>
      </x:c>
      <x:c r="M1785" s="16" t="str">
        <x:v>Minor</x:v>
      </x:c>
      <x:c r="N1785" s="16" t="str">
        <x:v>Low</x:v>
      </x:c>
    </x:row>
    <x:row r="1786" ht="37" customHeight="1">
      <x:c r="A1786" s="16" t="str">
        <x:v>RAW-01780</x:v>
      </x:c>
      <x:c r="B1786" s="16" t="str">
        <x:v>Recommendation</x:v>
      </x:c>
      <x:c r="C1786" s="16" t="str">
        <x:v>– Refer to Section 3 for repair methodology. Monitor crack length and width periodically.</x:v>
      </x:c>
      <x:c r="D1786" s="16" t="str">
        <x:v>Concrete slab</x:v>
      </x:c>
      <x:c r="E1786" s="16" t="str">
        <x:v>SRC-096</x:v>
      </x:c>
      <x:c r="F1786" s="16" t="str">
        <x:v>REC-0122</x:v>
      </x:c>
      <x:c r="G1786" s="16" t="str">
        <x:v>正式报告</x:v>
      </x:c>
      <x:c r="H1786" s="19" t="n">
        <x:v>8</x:v>
      </x:c>
      <x:c r="I1786" s="19" t="n">
        <x:v>6</x:v>
      </x:c>
      <x:c r="J1786" s="19" t="n">
        <x:v>2</x:v>
      </x:c>
      <x:c r="K1786" s="16" t="str">
        <x:v>3. Minor deterioration</x:v>
      </x:c>
      <x:c r="L1786" s="16" t="str">
        <x:v>Unlikely</x:v>
      </x:c>
      <x:c r="M1786" s="16" t="str">
        <x:v>Minor</x:v>
      </x:c>
      <x:c r="N1786" s="16" t="str">
        <x:v>Low</x:v>
      </x:c>
    </x:row>
    <x:row r="1787" ht="37" customHeight="1">
      <x:c r="A1787" s="16" t="str">
        <x:v>RAW-01781</x:v>
      </x:c>
      <x:c r="B1787" s="16" t="str">
        <x:v>Observation</x:v>
      </x:c>
      <x:c r="C1787" s="16" t="str">
        <x:v>– some drainage holes are blocked.</x:v>
      </x:c>
      <x:c r="D1787" s="16" t="str">
        <x:v>Drainage holes</x:v>
      </x:c>
      <x:c r="E1787" s="16" t="str">
        <x:v>SRC-096</x:v>
      </x:c>
      <x:c r="F1787" s="16" t="str">
        <x:v>OBS-0621</x:v>
      </x:c>
      <x:c r="G1787" s="16" t="str">
        <x:v>正式报告</x:v>
      </x:c>
      <x:c r="H1787" s="19" t="n">
        <x:v>9</x:v>
      </x:c>
      <x:c r="I1787" s="19" t="n">
        <x:v>6</x:v>
      </x:c>
      <x:c r="J1787" s="19" t="n">
        <x:v>2</x:v>
      </x:c>
      <x:c r="K1787" s="16" t="str">
        <x:v>3. Minor deterioration</x:v>
      </x:c>
      <x:c r="L1787" s="16" t="str">
        <x:v>Unlikely</x:v>
      </x:c>
      <x:c r="M1787" s="16" t="str">
        <x:v>Minor</x:v>
      </x:c>
      <x:c r="N1787" s="16" t="str">
        <x:v>Low</x:v>
      </x:c>
    </x:row>
    <x:row r="1788" ht="37" customHeight="1">
      <x:c r="A1788" s="16" t="str">
        <x:v>RAW-01782</x:v>
      </x:c>
      <x:c r="B1788" s="16" t="str">
        <x:v>Recommendation</x:v>
      </x:c>
      <x:c r="C1788" s="16" t="str">
        <x:v>– Remove debris from drainage holes to allow for proper drainage.</x:v>
      </x:c>
      <x:c r="D1788" s="16" t="str">
        <x:v>Drainage holes</x:v>
      </x:c>
      <x:c r="E1788" s="16" t="str">
        <x:v>SRC-096</x:v>
      </x:c>
      <x:c r="F1788" s="16" t="str">
        <x:v>REC-0128</x:v>
      </x:c>
      <x:c r="G1788" s="16" t="str">
        <x:v>正式报告</x:v>
      </x:c>
      <x:c r="H1788" s="19" t="n">
        <x:v>9</x:v>
      </x:c>
      <x:c r="I1788" s="19" t="n">
        <x:v>6</x:v>
      </x:c>
      <x:c r="J1788" s="19" t="n">
        <x:v>2</x:v>
      </x:c>
      <x:c r="K1788" s="16" t="str">
        <x:v>3. Minor deterioration</x:v>
      </x:c>
      <x:c r="L1788" s="16" t="str">
        <x:v>Unlikely</x:v>
      </x:c>
      <x:c r="M1788" s="16" t="str">
        <x:v>Minor</x:v>
      </x:c>
      <x:c r="N1788" s="16" t="str">
        <x:v>Low</x:v>
      </x:c>
    </x:row>
    <x:row r="1789" ht="41" customHeight="1">
      <x:c r="A1789" s="16" t="str">
        <x:v>RAW-01783</x:v>
      </x:c>
      <x:c r="B1789" s="16" t="str">
        <x:v>Observation</x:v>
      </x:c>
      <x:c r="C1789" s="16" t="str">
        <x:v>– Salt staining at corner showing signs of water flow. Investigate whether drainage holes in roof are blocked.</x:v>
      </x:c>
      <x:c r="D1789" s="16" t="str">
        <x:v>Drainage holes</x:v>
      </x:c>
      <x:c r="E1789" s="16" t="str">
        <x:v>SRC-096</x:v>
      </x:c>
      <x:c r="F1789" s="16" t="str">
        <x:v>OBS-0547</x:v>
      </x:c>
      <x:c r="G1789" s="16" t="str">
        <x:v>正式报告</x:v>
      </x:c>
      <x:c r="H1789" s="19" t="n">
        <x:v>9</x:v>
      </x:c>
      <x:c r="I1789" s="19" t="n">
        <x:v>8</x:v>
      </x:c>
      <x:c r="J1789" s="19" t="n">
        <x:v>1</x:v>
      </x:c>
      <x:c r="K1789" s="16" t="str">
        <x:v>3. Minor deterioration</x:v>
      </x:c>
      <x:c r="L1789" s="16" t="str">
        <x:v>Unlikely</x:v>
      </x:c>
      <x:c r="M1789" s="16" t="str">
        <x:v>Minor</x:v>
      </x:c>
      <x:c r="N1789" s="16" t="str">
        <x:v>Low</x:v>
      </x:c>
    </x:row>
    <x:row r="1790" ht="37" customHeight="1">
      <x:c r="A1790" s="16" t="str">
        <x:v>RAW-01784</x:v>
      </x:c>
      <x:c r="B1790" s="16" t="str">
        <x:v>Observation</x:v>
      </x:c>
      <x:c r="C1790" s="16" t="str">
        <x:v>– Right hand side of back balcony facing front entrance. Spalling and exposed reinforcement.</x:v>
      </x:c>
      <x:c r="D1790" s="16" t="str">
        <x:v>Concrete slab</x:v>
      </x:c>
      <x:c r="E1790" s="16" t="str">
        <x:v>SRC-097</x:v>
      </x:c>
      <x:c r="F1790" s="16" t="str">
        <x:v>OBS-0487</x:v>
      </x:c>
      <x:c r="G1790" s="16" t="str">
        <x:v>审阅或辅助文档</x:v>
      </x:c>
      <x:c r="H1790" s="19" t="n">
        <x:v>3</x:v>
      </x:c>
      <x:c r="I1790" s="19" t="n">
        <x:v>6</x:v>
      </x:c>
      <x:c r="J1790" s="19" t="n">
        <x:v>2</x:v>
      </x:c>
      <x:c r="K1790" s="16" t="str">
        <x:v>6. Severe deterioration</x:v>
      </x:c>
      <x:c r="L1790" s="16" t="str">
        <x:v>Very likely</x:v>
      </x:c>
      <x:c r="M1790" s="16" t="str">
        <x:v>Severe</x:v>
      </x:c>
      <x:c r="N1790" s="16" t="str">
        <x:v>Urgent</x:v>
      </x:c>
    </x:row>
    <x:row r="1791" ht="37" customHeight="1">
      <x:c r="A1791" s="16" t="str">
        <x:v>RAW-01785</x:v>
      </x:c>
      <x:c r="B1791" s="16" t="str">
        <x:v>Observation</x:v>
      </x:c>
      <x:c r="C1791" s="16" t="str">
        <x:v>– Right hand side of back balcony facing front entrance. Efflorescence above reinforcement.</x:v>
      </x:c>
      <x:c r="D1791" s="16" t="str">
        <x:v>Concrete slab</x:v>
      </x:c>
      <x:c r="E1791" s="16" t="str">
        <x:v>SRC-097</x:v>
      </x:c>
      <x:c r="F1791" s="16" t="str"/>
      <x:c r="G1791" s="16" t="str">
        <x:v>审阅或辅助文档</x:v>
      </x:c>
      <x:c r="H1791" s="19" t="n">
        <x:v>3</x:v>
      </x:c>
      <x:c r="I1791" s="19" t="n">
        <x:v>8</x:v>
      </x:c>
      <x:c r="J1791" s="19" t="n">
        <x:v>1</x:v>
      </x:c>
      <x:c r="K1791" s="16" t="str">
        <x:v>6. Severe deterioration</x:v>
      </x:c>
      <x:c r="L1791" s="16" t="str">
        <x:v>Very likely</x:v>
      </x:c>
      <x:c r="M1791" s="16" t="str">
        <x:v>Severe</x:v>
      </x:c>
      <x:c r="N1791" s="16" t="str">
        <x:v>Urgent</x:v>
      </x:c>
    </x:row>
    <x:row r="1792" ht="37" customHeight="1">
      <x:c r="A1792" s="16" t="str">
        <x:v>RAW-01786</x:v>
      </x:c>
      <x:c r="B1792" s="16" t="str">
        <x:v>Observation</x:v>
      </x:c>
      <x:c r="C1792" s="16" t="str">
        <x:v>– Right hand side of front balcony facing front entrance</x:v>
      </x:c>
      <x:c r="D1792" s="16" t="str">
        <x:v>Concrete slab</x:v>
      </x:c>
      <x:c r="E1792" s="16" t="str">
        <x:v>SRC-097</x:v>
      </x:c>
      <x:c r="F1792" s="16" t="str">
        <x:v>OBS-0489</x:v>
      </x:c>
      <x:c r="G1792" s="16" t="str">
        <x:v>审阅或辅助文档</x:v>
      </x:c>
      <x:c r="H1792" s="19" t="n">
        <x:v>3</x:v>
      </x:c>
      <x:c r="I1792" s="19" t="n">
        <x:v>9</x:v>
      </x:c>
      <x:c r="J1792" s="19" t="n">
        <x:v>2</x:v>
      </x:c>
      <x:c r="K1792" s="16" t="str">
        <x:v>6. Severe deterioration</x:v>
      </x:c>
      <x:c r="L1792" s="16" t="str">
        <x:v>Very likely</x:v>
      </x:c>
      <x:c r="M1792" s="16" t="str">
        <x:v>Severe</x:v>
      </x:c>
      <x:c r="N1792" s="16" t="str">
        <x:v>Urgent</x:v>
      </x:c>
    </x:row>
    <x:row r="1793" ht="37" customHeight="1">
      <x:c r="A1793" s="16" t="str">
        <x:v>RAW-01787</x:v>
      </x:c>
      <x:c r="B1793" s="16" t="str">
        <x:v>Recommendation</x:v>
      </x:c>
      <x:c r="C1793" s="16" t="str">
        <x:v>–</x:v>
      </x:c>
      <x:c r="D1793" s="16" t="str">
        <x:v>Concrete slab</x:v>
      </x:c>
      <x:c r="E1793" s="16" t="str">
        <x:v>SRC-097</x:v>
      </x:c>
      <x:c r="F1793" s="16" t="str"/>
      <x:c r="G1793" s="16" t="str">
        <x:v>审阅或辅助文档</x:v>
      </x:c>
      <x:c r="H1793" s="19" t="n">
        <x:v>3</x:v>
      </x:c>
      <x:c r="I1793" s="19" t="n">
        <x:v>9</x:v>
      </x:c>
      <x:c r="J1793" s="19" t="n">
        <x:v>2</x:v>
      </x:c>
      <x:c r="K1793" s="16" t="str">
        <x:v>6. Severe deterioration</x:v>
      </x:c>
      <x:c r="L1793" s="16" t="str">
        <x:v>Very likely</x:v>
      </x:c>
      <x:c r="M1793" s="16" t="str">
        <x:v>Severe</x:v>
      </x:c>
      <x:c r="N1793" s="16" t="str">
        <x:v>Urgent</x:v>
      </x:c>
    </x:row>
    <x:row r="1794" ht="37" customHeight="1">
      <x:c r="A1794" s="16" t="str">
        <x:v>RAW-01788</x:v>
      </x:c>
      <x:c r="B1794" s="16" t="str">
        <x:v>Observation</x:v>
      </x:c>
      <x:c r="C1794" s="16" t="str">
        <x:v>– Right hand side of back balcony facing front entrance. Spalling and exposed reinforcement.</x:v>
      </x:c>
      <x:c r="D1794" s="16" t="str">
        <x:v>Concrete slab</x:v>
      </x:c>
      <x:c r="E1794" s="16" t="str">
        <x:v>SRC-097</x:v>
      </x:c>
      <x:c r="F1794" s="16" t="str">
        <x:v>OBS-0487</x:v>
      </x:c>
      <x:c r="G1794" s="16" t="str">
        <x:v>审阅或辅助文档</x:v>
      </x:c>
      <x:c r="H1794" s="19" t="n">
        <x:v>3</x:v>
      </x:c>
      <x:c r="I1794" s="19" t="n">
        <x:v>11</x:v>
      </x:c>
      <x:c r="J1794" s="19" t="n">
        <x:v>2</x:v>
      </x:c>
      <x:c r="K1794" s="16" t="str">
        <x:v>6. Severe deterioration</x:v>
      </x:c>
      <x:c r="L1794" s="16" t="str">
        <x:v>Very likely</x:v>
      </x:c>
      <x:c r="M1794" s="16" t="str">
        <x:v>Severe</x:v>
      </x:c>
      <x:c r="N1794" s="16" t="str">
        <x:v>Urgent</x:v>
      </x:c>
    </x:row>
    <x:row r="1795" ht="37" customHeight="1">
      <x:c r="A1795" s="16" t="str">
        <x:v>RAW-01789</x:v>
      </x:c>
      <x:c r="B1795" s="16" t="str">
        <x:v>Observation</x:v>
      </x:c>
      <x:c r="C1795" s="16" t="str">
        <x:v>– Left hand side staircase facing front entrance. Spalling and exposed reinforcement.</x:v>
      </x:c>
      <x:c r="D1795" s="16" t="str">
        <x:v>Concrete slab</x:v>
      </x:c>
      <x:c r="E1795" s="16" t="str">
        <x:v>SRC-097</x:v>
      </x:c>
      <x:c r="F1795" s="16" t="str">
        <x:v>OBS-0359</x:v>
      </x:c>
      <x:c r="G1795" s="16" t="str">
        <x:v>审阅或辅助文档</x:v>
      </x:c>
      <x:c r="H1795" s="19" t="n">
        <x:v>3</x:v>
      </x:c>
      <x:c r="I1795" s="19" t="n">
        <x:v>13</x:v>
      </x:c>
      <x:c r="J1795" s="19" t="n">
        <x:v>2</x:v>
      </x:c>
      <x:c r="K1795" s="16" t="str">
        <x:v>6. Severe deterioration</x:v>
      </x:c>
      <x:c r="L1795" s="16" t="str">
        <x:v>Very likely</x:v>
      </x:c>
      <x:c r="M1795" s="16" t="str">
        <x:v>Severe</x:v>
      </x:c>
      <x:c r="N1795" s="16" t="str">
        <x:v>Urgent</x:v>
      </x:c>
    </x:row>
    <x:row r="1796" ht="37" customHeight="1">
      <x:c r="A1796" s="16" t="str">
        <x:v>RAW-01790</x:v>
      </x:c>
      <x:c r="B1796" s="16" t="str">
        <x:v>Observation</x:v>
      </x:c>
      <x:c r="C1796" s="16" t="str">
        <x:v>– Vertical displacement between adjacent concrete elements.</x:v>
      </x:c>
      <x:c r="D1796" s="16" t="str">
        <x:v>Concrete fascia beam</x:v>
      </x:c>
      <x:c r="E1796" s="16" t="str">
        <x:v>SRC-097</x:v>
      </x:c>
      <x:c r="F1796" s="16" t="str">
        <x:v>OBS-0602</x:v>
      </x:c>
      <x:c r="G1796" s="16" t="str">
        <x:v>审阅或辅助文档</x:v>
      </x:c>
      <x:c r="H1796" s="19" t="n">
        <x:v>4</x:v>
      </x:c>
      <x:c r="I1796" s="19" t="n">
        <x:v>6</x:v>
      </x:c>
      <x:c r="J1796" s="19" t="n">
        <x:v>2</x:v>
      </x:c>
      <x:c r="K1796" s="16" t="str">
        <x:v>3. Minor deterioration</x:v>
      </x:c>
      <x:c r="L1796" s="16" t="str">
        <x:v>Unlikely</x:v>
      </x:c>
      <x:c r="M1796" s="16" t="str">
        <x:v>Severe</x:v>
      </x:c>
      <x:c r="N1796" s="16" t="str">
        <x:v>High</x:v>
      </x:c>
    </x:row>
    <x:row r="1797" ht="37" customHeight="1">
      <x:c r="A1797" s="16" t="str">
        <x:v>RAW-01791</x:v>
      </x:c>
      <x:c r="B1797" s="16" t="str">
        <x:v>Recommendation</x:v>
      </x:c>
      <x:c r="C1797" s="16" t="str">
        <x:v>– Further investigation is required to identify the connection concrete element and supporting member.</x:v>
      </x:c>
      <x:c r="D1797" s="16" t="str">
        <x:v>Concrete fascia beam</x:v>
      </x:c>
      <x:c r="E1797" s="16" t="str">
        <x:v>SRC-097</x:v>
      </x:c>
      <x:c r="F1797" s="16" t="str"/>
      <x:c r="G1797" s="16" t="str">
        <x:v>审阅或辅助文档</x:v>
      </x:c>
      <x:c r="H1797" s="19" t="n">
        <x:v>4</x:v>
      </x:c>
      <x:c r="I1797" s="19" t="n">
        <x:v>6</x:v>
      </x:c>
      <x:c r="J1797" s="19" t="n">
        <x:v>2</x:v>
      </x:c>
      <x:c r="K1797" s="16" t="str">
        <x:v>3. Minor deterioration</x:v>
      </x:c>
      <x:c r="L1797" s="16" t="str">
        <x:v>Unlikely</x:v>
      </x:c>
      <x:c r="M1797" s="16" t="str">
        <x:v>Severe</x:v>
      </x:c>
      <x:c r="N1797" s="16" t="str">
        <x:v>High</x:v>
      </x:c>
    </x:row>
    <x:row r="1798" ht="37" customHeight="1">
      <x:c r="A1798" s="16" t="str">
        <x:v>RAW-01792</x:v>
      </x:c>
      <x:c r="B1798" s="16" t="str">
        <x:v>Observation</x:v>
      </x:c>
      <x:c r="C1798" s="16" t="str">
        <x:v>– Majority of brick piers at the back balcony. have cracking extending from the door latch.</x:v>
      </x:c>
      <x:c r="D1798" s="16" t="str">
        <x:v>Brick piers</x:v>
      </x:c>
      <x:c r="E1798" s="16" t="str">
        <x:v>SRC-097</x:v>
      </x:c>
      <x:c r="F1798" s="16" t="str">
        <x:v>OBS-0372</x:v>
      </x:c>
      <x:c r="G1798" s="16" t="str">
        <x:v>审阅或辅助文档</x:v>
      </x:c>
      <x:c r="H1798" s="19" t="n">
        <x:v>5</x:v>
      </x:c>
      <x:c r="I1798" s="19" t="n">
        <x:v>6</x:v>
      </x:c>
      <x:c r="J1798" s="19" t="n">
        <x:v>1</x:v>
      </x:c>
      <x:c r="K1798" s="16" t="str">
        <x:v>4. Moderate deterioration</x:v>
      </x:c>
      <x:c r="L1798" s="16" t="str">
        <x:v>Possible</x:v>
      </x:c>
      <x:c r="M1798" s="16" t="str">
        <x:v>Moderate</x:v>
      </x:c>
      <x:c r="N1798" s="16" t="str">
        <x:v>High</x:v>
      </x:c>
    </x:row>
    <x:row r="1799" ht="37" customHeight="1">
      <x:c r="A1799" s="16" t="str">
        <x:v>RAW-01793</x:v>
      </x:c>
      <x:c r="B1799" s="16" t="str">
        <x:v>Recommendation</x:v>
      </x:c>
      <x:c r="C1799" s="16" t="str">
        <x:v>– Refer to Section 3.3 for repair methodology.</x:v>
      </x:c>
      <x:c r="D1799" s="16" t="str">
        <x:v>Brick piers</x:v>
      </x:c>
      <x:c r="E1799" s="16" t="str">
        <x:v>SRC-097</x:v>
      </x:c>
      <x:c r="F1799" s="16" t="str"/>
      <x:c r="G1799" s="16" t="str">
        <x:v>审阅或辅助文档</x:v>
      </x:c>
      <x:c r="H1799" s="19" t="n">
        <x:v>5</x:v>
      </x:c>
      <x:c r="I1799" s="19" t="n">
        <x:v>6</x:v>
      </x:c>
      <x:c r="J1799" s="19" t="n">
        <x:v>1</x:v>
      </x:c>
      <x:c r="K1799" s="16" t="str">
        <x:v>4. Moderate deterioration</x:v>
      </x:c>
      <x:c r="L1799" s="16" t="str">
        <x:v>Possible</x:v>
      </x:c>
      <x:c r="M1799" s="16" t="str">
        <x:v>Moderate</x:v>
      </x:c>
      <x:c r="N1799" s="16" t="str">
        <x:v>High</x:v>
      </x:c>
    </x:row>
    <x:row r="1800" ht="37" customHeight="1">
      <x:c r="A1800" s="16" t="str">
        <x:v>RAW-01794</x:v>
      </x:c>
      <x:c r="B1800" s="16" t="str">
        <x:v>Observation</x:v>
      </x:c>
      <x:c r="C1800" s="16" t="str">
        <x:v>– Back balcony brick pier.</x:v>
      </x:c>
      <x:c r="D1800" s="16" t="str">
        <x:v>Brick piers</x:v>
      </x:c>
      <x:c r="E1800" s="16" t="str">
        <x:v>SRC-097</x:v>
      </x:c>
      <x:c r="F1800" s="16" t="str">
        <x:v>OBS-0032</x:v>
      </x:c>
      <x:c r="G1800" s="16" t="str">
        <x:v>审阅或辅助文档</x:v>
      </x:c>
      <x:c r="H1800" s="19" t="n">
        <x:v>5</x:v>
      </x:c>
      <x:c r="I1800" s="19" t="n">
        <x:v>7</x:v>
      </x:c>
      <x:c r="J1800" s="19" t="n">
        <x:v>2</x:v>
      </x:c>
      <x:c r="K1800" s="16" t="str">
        <x:v>4. Moderate deterioration</x:v>
      </x:c>
      <x:c r="L1800" s="16" t="str">
        <x:v>Possible</x:v>
      </x:c>
      <x:c r="M1800" s="16" t="str">
        <x:v>Moderate</x:v>
      </x:c>
      <x:c r="N1800" s="16" t="str">
        <x:v>High</x:v>
      </x:c>
    </x:row>
    <x:row r="1801" ht="37" customHeight="1">
      <x:c r="A1801" s="16" t="str">
        <x:v>RAW-01795</x:v>
      </x:c>
      <x:c r="B1801" s="16" t="str">
        <x:v>Observation</x:v>
      </x:c>
      <x:c r="C1801" s="16" t="str">
        <x:v>– Back balcony brick pier.</x:v>
      </x:c>
      <x:c r="D1801" s="16" t="str">
        <x:v>Brick piers</x:v>
      </x:c>
      <x:c r="E1801" s="16" t="str">
        <x:v>SRC-097</x:v>
      </x:c>
      <x:c r="F1801" s="16" t="str">
        <x:v>OBS-0032</x:v>
      </x:c>
      <x:c r="G1801" s="16" t="str">
        <x:v>审阅或辅助文档</x:v>
      </x:c>
      <x:c r="H1801" s="19" t="n">
        <x:v>5</x:v>
      </x:c>
      <x:c r="I1801" s="19" t="n">
        <x:v>9</x:v>
      </x:c>
      <x:c r="J1801" s="19" t="n">
        <x:v>2</x:v>
      </x:c>
      <x:c r="K1801" s="16" t="str">
        <x:v>4. Moderate deterioration</x:v>
      </x:c>
      <x:c r="L1801" s="16" t="str">
        <x:v>Possible</x:v>
      </x:c>
      <x:c r="M1801" s="16" t="str">
        <x:v>Moderate</x:v>
      </x:c>
      <x:c r="N1801" s="16" t="str">
        <x:v>High</x:v>
      </x:c>
    </x:row>
    <x:row r="1802" ht="37" customHeight="1">
      <x:c r="A1802" s="16" t="str">
        <x:v>RAW-01796</x:v>
      </x:c>
      <x:c r="B1802" s="16" t="str">
        <x:v>Observation</x:v>
      </x:c>
      <x:c r="C1802" s="16" t="str">
        <x:v>– Cracking on concrete column.</x:v>
      </x:c>
      <x:c r="D1802" s="16" t="str">
        <x:v>Concrete column</x:v>
      </x:c>
      <x:c r="E1802" s="16" t="str">
        <x:v>SRC-097</x:v>
      </x:c>
      <x:c r="F1802" s="16" t="str">
        <x:v>OBS-0242</x:v>
      </x:c>
      <x:c r="G1802" s="16" t="str">
        <x:v>审阅或辅助文档</x:v>
      </x:c>
      <x:c r="H1802" s="19" t="n">
        <x:v>6</x:v>
      </x:c>
      <x:c r="I1802" s="19" t="n">
        <x:v>6</x:v>
      </x:c>
      <x:c r="J1802" s="19" t="n">
        <x:v>2</x:v>
      </x:c>
      <x:c r="K1802" s="16" t="str">
        <x:v>3. Minor deterioration</x:v>
      </x:c>
      <x:c r="L1802" s="16" t="str">
        <x:v>Unlikely</x:v>
      </x:c>
      <x:c r="M1802" s="16" t="str">
        <x:v>Significant</x:v>
      </x:c>
      <x:c r="N1802" s="16" t="str">
        <x:v>Moderate</x:v>
      </x:c>
    </x:row>
    <x:row r="1803" ht="37" customHeight="1">
      <x:c r="A1803" s="16" t="str">
        <x:v>RAW-01797</x:v>
      </x:c>
      <x:c r="B1803" s="16" t="str">
        <x:v>Recommendation</x:v>
      </x:c>
      <x:c r="C1803" s="16" t="str">
        <x:v>– Refer to Section 3.2 for repair methodology. Monitor crack length and width periodically.</x:v>
      </x:c>
      <x:c r="D1803" s="16" t="str">
        <x:v>Concrete column</x:v>
      </x:c>
      <x:c r="E1803" s="16" t="str">
        <x:v>SRC-097</x:v>
      </x:c>
      <x:c r="F1803" s="16" t="str"/>
      <x:c r="G1803" s="16" t="str">
        <x:v>审阅或辅助文档</x:v>
      </x:c>
      <x:c r="H1803" s="19" t="n">
        <x:v>6</x:v>
      </x:c>
      <x:c r="I1803" s="19" t="n">
        <x:v>6</x:v>
      </x:c>
      <x:c r="J1803" s="19" t="n">
        <x:v>2</x:v>
      </x:c>
      <x:c r="K1803" s="16" t="str">
        <x:v>3. Minor deterioration</x:v>
      </x:c>
      <x:c r="L1803" s="16" t="str">
        <x:v>Unlikely</x:v>
      </x:c>
      <x:c r="M1803" s="16" t="str">
        <x:v>Significant</x:v>
      </x:c>
      <x:c r="N1803" s="16" t="str">
        <x:v>Moderate</x:v>
      </x:c>
    </x:row>
    <x:row r="1804" ht="37" customHeight="1">
      <x:c r="A1804" s="16" t="str">
        <x:v>RAW-01798</x:v>
      </x:c>
      <x:c r="B1804" s="16" t="str">
        <x:v>Observation</x:v>
      </x:c>
      <x:c r="C1804" s="16" t="str">
        <x:v>– Right hand side staircase. Minor cracking at joint.</x:v>
      </x:c>
      <x:c r="D1804" s="16" t="str">
        <x:v>Concrete staircase</x:v>
      </x:c>
      <x:c r="E1804" s="16" t="str">
        <x:v>SRC-097</x:v>
      </x:c>
      <x:c r="F1804" s="16" t="str">
        <x:v>OBS-0509</x:v>
      </x:c>
      <x:c r="G1804" s="16" t="str">
        <x:v>审阅或辅助文档</x:v>
      </x:c>
      <x:c r="H1804" s="19" t="n">
        <x:v>7</x:v>
      </x:c>
      <x:c r="I1804" s="19" t="n">
        <x:v>6</x:v>
      </x:c>
      <x:c r="J1804" s="19" t="n">
        <x:v>2</x:v>
      </x:c>
      <x:c r="K1804" s="16" t="str">
        <x:v>2. New with slight deterioration</x:v>
      </x:c>
      <x:c r="L1804" s="16" t="str">
        <x:v>Very unlikely</x:v>
      </x:c>
      <x:c r="M1804" s="16" t="str">
        <x:v>Significant</x:v>
      </x:c>
      <x:c r="N1804" s="16" t="str">
        <x:v>Low</x:v>
      </x:c>
    </x:row>
    <x:row r="1805" ht="37" customHeight="1">
      <x:c r="A1805" s="16" t="str">
        <x:v>RAW-01799</x:v>
      </x:c>
      <x:c r="B1805" s="16" t="str">
        <x:v>Recommendation</x:v>
      </x:c>
      <x:c r="C1805" s="16" t="str">
        <x:v>– Refer to Section 3.2 for repair methodology. Monitor crack length and width periodically.</x:v>
      </x:c>
      <x:c r="D1805" s="16" t="str">
        <x:v>Concrete staircase</x:v>
      </x:c>
      <x:c r="E1805" s="16" t="str">
        <x:v>SRC-097</x:v>
      </x:c>
      <x:c r="F1805" s="16" t="str"/>
      <x:c r="G1805" s="16" t="str">
        <x:v>审阅或辅助文档</x:v>
      </x:c>
      <x:c r="H1805" s="19" t="n">
        <x:v>7</x:v>
      </x:c>
      <x:c r="I1805" s="19" t="n">
        <x:v>6</x:v>
      </x:c>
      <x:c r="J1805" s="19" t="n">
        <x:v>2</x:v>
      </x:c>
      <x:c r="K1805" s="16" t="str">
        <x:v>2. New with slight deterioration</x:v>
      </x:c>
      <x:c r="L1805" s="16" t="str">
        <x:v>Very unlikely</x:v>
      </x:c>
      <x:c r="M1805" s="16" t="str">
        <x:v>Significant</x:v>
      </x:c>
      <x:c r="N1805" s="16" t="str">
        <x:v>Low</x:v>
      </x:c>
    </x:row>
    <x:row r="1806" ht="37" customHeight="1">
      <x:c r="A1806" s="16" t="str">
        <x:v>RAW-01800</x:v>
      </x:c>
      <x:c r="B1806" s="16" t="str">
        <x:v>Observation</x:v>
      </x:c>
      <x:c r="C1806" s="16" t="str">
        <x:v>– Left hand side staircase. Minor cracking at joint.</x:v>
      </x:c>
      <x:c r="D1806" s="16" t="str">
        <x:v>Concrete staircase</x:v>
      </x:c>
      <x:c r="E1806" s="16" t="str">
        <x:v>SRC-097</x:v>
      </x:c>
      <x:c r="F1806" s="16" t="str">
        <x:v>OBS-0360</x:v>
      </x:c>
      <x:c r="G1806" s="16" t="str">
        <x:v>审阅或辅助文档</x:v>
      </x:c>
      <x:c r="H1806" s="19" t="n">
        <x:v>7</x:v>
      </x:c>
      <x:c r="I1806" s="19" t="n">
        <x:v>8</x:v>
      </x:c>
      <x:c r="J1806" s="19" t="n">
        <x:v>2</x:v>
      </x:c>
      <x:c r="K1806" s="16" t="str">
        <x:v>2. New with slight deterioration</x:v>
      </x:c>
      <x:c r="L1806" s="16" t="str">
        <x:v>Very unlikely</x:v>
      </x:c>
      <x:c r="M1806" s="16" t="str">
        <x:v>Significant</x:v>
      </x:c>
      <x:c r="N1806" s="16" t="str">
        <x:v>Low</x:v>
      </x:c>
    </x:row>
    <x:row r="1807" ht="37" customHeight="1">
      <x:c r="A1807" s="16" t="str">
        <x:v>RAW-01801</x:v>
      </x:c>
      <x:c r="B1807" s="16" t="str">
        <x:v>Observation</x:v>
      </x:c>
      <x:c r="C1807" s="16" t="str">
        <x:v>– Back balcony. Minor cracking extending from supporting columns.</x:v>
      </x:c>
      <x:c r="D1807" s="16" t="str">
        <x:v>Concrete slab</x:v>
      </x:c>
      <x:c r="E1807" s="16" t="str">
        <x:v>SRC-097</x:v>
      </x:c>
      <x:c r="F1807" s="16" t="str">
        <x:v>OBS-0098</x:v>
      </x:c>
      <x:c r="G1807" s="16" t="str">
        <x:v>审阅或辅助文档</x:v>
      </x:c>
      <x:c r="H1807" s="19" t="n">
        <x:v>8</x:v>
      </x:c>
      <x:c r="I1807" s="19" t="n">
        <x:v>6</x:v>
      </x:c>
      <x:c r="J1807" s="19" t="n">
        <x:v>2</x:v>
      </x:c>
      <x:c r="K1807" s="16" t="str">
        <x:v>3. Minor deterioration</x:v>
      </x:c>
      <x:c r="L1807" s="16" t="str">
        <x:v>Unlikely</x:v>
      </x:c>
      <x:c r="M1807" s="16" t="str">
        <x:v>Minor</x:v>
      </x:c>
      <x:c r="N1807" s="16" t="str">
        <x:v>Low</x:v>
      </x:c>
    </x:row>
    <x:row r="1808" ht="37" customHeight="1">
      <x:c r="A1808" s="16" t="str">
        <x:v>RAW-01802</x:v>
      </x:c>
      <x:c r="B1808" s="16" t="str">
        <x:v>Recommendation</x:v>
      </x:c>
      <x:c r="C1808" s="16" t="str">
        <x:v>– Refer to Section 3.2 for repair methodology. Monitor crack length and width periodically.</x:v>
      </x:c>
      <x:c r="D1808" s="16" t="str">
        <x:v>Concrete slab</x:v>
      </x:c>
      <x:c r="E1808" s="16" t="str">
        <x:v>SRC-097</x:v>
      </x:c>
      <x:c r="F1808" s="16" t="str"/>
      <x:c r="G1808" s="16" t="str">
        <x:v>审阅或辅助文档</x:v>
      </x:c>
      <x:c r="H1808" s="19" t="n">
        <x:v>8</x:v>
      </x:c>
      <x:c r="I1808" s="19" t="n">
        <x:v>6</x:v>
      </x:c>
      <x:c r="J1808" s="19" t="n">
        <x:v>2</x:v>
      </x:c>
      <x:c r="K1808" s="16" t="str">
        <x:v>3. Minor deterioration</x:v>
      </x:c>
      <x:c r="L1808" s="16" t="str">
        <x:v>Unlikely</x:v>
      </x:c>
      <x:c r="M1808" s="16" t="str">
        <x:v>Minor</x:v>
      </x:c>
      <x:c r="N1808" s="16" t="str">
        <x:v>Low</x:v>
      </x:c>
    </x:row>
    <x:row r="1809" ht="37" customHeight="1">
      <x:c r="A1809" s="16" t="str">
        <x:v>RAW-01803</x:v>
      </x:c>
      <x:c r="B1809" s="16" t="str">
        <x:v>Observation</x:v>
      </x:c>
      <x:c r="C1809" s="16" t="str">
        <x:v>– some drainage holes are blocked.</x:v>
      </x:c>
      <x:c r="D1809" s="16" t="str">
        <x:v>Drainage holes</x:v>
      </x:c>
      <x:c r="E1809" s="16" t="str">
        <x:v>SRC-097</x:v>
      </x:c>
      <x:c r="F1809" s="16" t="str">
        <x:v>OBS-0621</x:v>
      </x:c>
      <x:c r="G1809" s="16" t="str">
        <x:v>审阅或辅助文档</x:v>
      </x:c>
      <x:c r="H1809" s="19" t="n">
        <x:v>9</x:v>
      </x:c>
      <x:c r="I1809" s="19" t="n">
        <x:v>6</x:v>
      </x:c>
      <x:c r="J1809" s="19" t="n">
        <x:v>2</x:v>
      </x:c>
      <x:c r="K1809" s="16" t="str">
        <x:v>3. Minor deterioration</x:v>
      </x:c>
      <x:c r="L1809" s="16" t="str">
        <x:v>Unlikely</x:v>
      </x:c>
      <x:c r="M1809" s="16" t="str">
        <x:v>Minor</x:v>
      </x:c>
      <x:c r="N1809" s="16" t="str">
        <x:v>Low</x:v>
      </x:c>
    </x:row>
    <x:row r="1810" ht="37" customHeight="1">
      <x:c r="A1810" s="16" t="str">
        <x:v>RAW-01804</x:v>
      </x:c>
      <x:c r="B1810" s="16" t="str">
        <x:v>Recommendation</x:v>
      </x:c>
      <x:c r="C1810" s="16" t="str">
        <x:v>– Remove debris from drainage holes to allow for proper drainage.</x:v>
      </x:c>
      <x:c r="D1810" s="16" t="str">
        <x:v>Drainage holes</x:v>
      </x:c>
      <x:c r="E1810" s="16" t="str">
        <x:v>SRC-097</x:v>
      </x:c>
      <x:c r="F1810" s="16" t="str">
        <x:v>REC-0128</x:v>
      </x:c>
      <x:c r="G1810" s="16" t="str">
        <x:v>审阅或辅助文档</x:v>
      </x:c>
      <x:c r="H1810" s="19" t="n">
        <x:v>9</x:v>
      </x:c>
      <x:c r="I1810" s="19" t="n">
        <x:v>6</x:v>
      </x:c>
      <x:c r="J1810" s="19" t="n">
        <x:v>2</x:v>
      </x:c>
      <x:c r="K1810" s="16" t="str">
        <x:v>3. Minor deterioration</x:v>
      </x:c>
      <x:c r="L1810" s="16" t="str">
        <x:v>Unlikely</x:v>
      </x:c>
      <x:c r="M1810" s="16" t="str">
        <x:v>Minor</x:v>
      </x:c>
      <x:c r="N1810" s="16" t="str">
        <x:v>Low</x:v>
      </x:c>
    </x:row>
    <x:row r="1811" ht="41" customHeight="1">
      <x:c r="A1811" s="16" t="str">
        <x:v>RAW-01805</x:v>
      </x:c>
      <x:c r="B1811" s="16" t="str">
        <x:v>Observation</x:v>
      </x:c>
      <x:c r="C1811" s="16" t="str">
        <x:v>– Salt staining at corner showing signs of water flow. Investigate whether drainage holes in roof are blocked.</x:v>
      </x:c>
      <x:c r="D1811" s="16" t="str">
        <x:v>Drainage holes</x:v>
      </x:c>
      <x:c r="E1811" s="16" t="str">
        <x:v>SRC-097</x:v>
      </x:c>
      <x:c r="F1811" s="16" t="str">
        <x:v>OBS-0547</x:v>
      </x:c>
      <x:c r="G1811" s="16" t="str">
        <x:v>审阅或辅助文档</x:v>
      </x:c>
      <x:c r="H1811" s="19" t="n">
        <x:v>9</x:v>
      </x:c>
      <x:c r="I1811" s="19" t="n">
        <x:v>8</x:v>
      </x:c>
      <x:c r="J1811" s="19" t="n">
        <x:v>1</x:v>
      </x:c>
      <x:c r="K1811" s="16" t="str">
        <x:v>3. Minor deterioration</x:v>
      </x:c>
      <x:c r="L1811" s="16" t="str">
        <x:v>Unlikely</x:v>
      </x:c>
      <x:c r="M1811" s="16" t="str">
        <x:v>Minor</x:v>
      </x:c>
      <x:c r="N1811" s="16" t="str">
        <x:v>Low</x:v>
      </x:c>
    </x:row>
    <x:row r="1812" ht="37" customHeight="1">
      <x:c r="A1812" s="16" t="str">
        <x:v>RAW-01806</x:v>
      </x:c>
      <x:c r="B1812" s="16" t="str">
        <x:v>Observation</x:v>
      </x:c>
      <x:c r="C1812" s="16" t="str">
        <x:v>– Overview of purple steel shell.</x:v>
      </x:c>
      <x:c r="D1812" s="16" t="str">
        <x:v>Purple steel shell</x:v>
      </x:c>
      <x:c r="E1812" s="16" t="str">
        <x:v>SRC-098</x:v>
      </x:c>
      <x:c r="F1812" s="16" t="str">
        <x:v>OBS-0075</x:v>
      </x:c>
      <x:c r="G1812" s="16" t="str">
        <x:v>正式报告</x:v>
      </x:c>
      <x:c r="H1812" s="19" t="n">
        <x:v>3</x:v>
      </x:c>
      <x:c r="I1812" s="19" t="n">
        <x:v>6</x:v>
      </x:c>
      <x:c r="J1812" s="19" t="n">
        <x:v>4</x:v>
      </x:c>
      <x:c r="K1812" s="16" t="str">
        <x:v>3. Minor deterioration</x:v>
      </x:c>
      <x:c r="L1812" s="16" t="str">
        <x:v>Unlikely</x:v>
      </x:c>
      <x:c r="M1812" s="16" t="str">
        <x:v>Negligible</x:v>
      </x:c>
      <x:c r="N1812" s="16" t="str">
        <x:v>Low</x:v>
      </x:c>
    </x:row>
    <x:row r="1813" ht="37" customHeight="1">
      <x:c r="A1813" s="16" t="str">
        <x:v>RAW-01807</x:v>
      </x:c>
      <x:c r="B1813" s="16" t="str">
        <x:v>Recommendation</x:v>
      </x:c>
      <x:c r="C1813" s="16" t="str">
        <x:v>– Clean, wire brush and repaint.</x:v>
      </x:c>
      <x:c r="D1813" s="16" t="str">
        <x:v>Purple steel shell</x:v>
      </x:c>
      <x:c r="E1813" s="16" t="str">
        <x:v>SRC-098</x:v>
      </x:c>
      <x:c r="F1813" s="16" t="str">
        <x:v>REC-0001</x:v>
      </x:c>
      <x:c r="G1813" s="16" t="str">
        <x:v>正式报告</x:v>
      </x:c>
      <x:c r="H1813" s="19" t="n">
        <x:v>3</x:v>
      </x:c>
      <x:c r="I1813" s="19" t="n">
        <x:v>6</x:v>
      </x:c>
      <x:c r="J1813" s="19" t="n">
        <x:v>4</x:v>
      </x:c>
      <x:c r="K1813" s="16" t="str">
        <x:v>3. Minor deterioration</x:v>
      </x:c>
      <x:c r="L1813" s="16" t="str">
        <x:v>Unlikely</x:v>
      </x:c>
      <x:c r="M1813" s="16" t="str">
        <x:v>Negligible</x:v>
      </x:c>
      <x:c r="N1813" s="16" t="str">
        <x:v>Low</x:v>
      </x:c>
    </x:row>
    <x:row r="1814" ht="41" customHeight="1">
      <x:c r="A1814" s="16" t="str">
        <x:v>RAW-01808</x:v>
      </x:c>
      <x:c r="B1814" s="16" t="str">
        <x:v>Observation</x:v>
      </x:c>
      <x:c r="C1814" s="16" t="str">
        <x:v>– Overview of circular steel retaining structure.</x:v>
      </x:c>
      <x:c r="D1814" s="16" t="str">
        <x:v>circular steel retaining structure</x:v>
      </x:c>
      <x:c r="E1814" s="16" t="str">
        <x:v>SRC-098</x:v>
      </x:c>
      <x:c r="F1814" s="16" t="str">
        <x:v>OBS-0073</x:v>
      </x:c>
      <x:c r="G1814" s="16" t="str">
        <x:v>正式报告</x:v>
      </x:c>
      <x:c r="H1814" s="19" t="n">
        <x:v>4</x:v>
      </x:c>
      <x:c r="I1814" s="19" t="n">
        <x:v>6</x:v>
      </x:c>
      <x:c r="J1814" s="19" t="n">
        <x:v>1</x:v>
      </x:c>
      <x:c r="K1814" s="16" t="str">
        <x:v>1. New with no visible defects/damage</x:v>
      </x:c>
      <x:c r="L1814" s="16" t="str">
        <x:v>Very unlikely</x:v>
      </x:c>
      <x:c r="M1814" s="16" t="str">
        <x:v>Negligible</x:v>
      </x:c>
      <x:c r="N1814" s="16" t="str">
        <x:v>Low</x:v>
      </x:c>
    </x:row>
    <x:row r="1815" ht="41" customHeight="1">
      <x:c r="A1815" s="16" t="str">
        <x:v>RAW-01809</x:v>
      </x:c>
      <x:c r="B1815" s="16" t="str">
        <x:v>Observation</x:v>
      </x:c>
      <x:c r="C1815" s="16" t="str">
        <x:v>– Good condition.</x:v>
      </x:c>
      <x:c r="D1815" s="16" t="str">
        <x:v>circular steel retaining structure</x:v>
      </x:c>
      <x:c r="E1815" s="16" t="str">
        <x:v>SRC-098</x:v>
      </x:c>
      <x:c r="F1815" s="16" t="str">
        <x:v>OBS-0319</x:v>
      </x:c>
      <x:c r="G1815" s="16" t="str">
        <x:v>正式报告</x:v>
      </x:c>
      <x:c r="H1815" s="19" t="n">
        <x:v>4</x:v>
      </x:c>
      <x:c r="I1815" s="19" t="n">
        <x:v>7</x:v>
      </x:c>
      <x:c r="J1815" s="19" t="n">
        <x:v>3</x:v>
      </x:c>
      <x:c r="K1815" s="16" t="str">
        <x:v>1. New with no visible defects/damage</x:v>
      </x:c>
      <x:c r="L1815" s="16" t="str">
        <x:v>Very unlikely</x:v>
      </x:c>
      <x:c r="M1815" s="16" t="str">
        <x:v>Negligible</x:v>
      </x:c>
      <x:c r="N1815" s="16" t="str">
        <x:v>Low</x:v>
      </x:c>
    </x:row>
    <x:row r="1816" ht="41" customHeight="1">
      <x:c r="A1816" s="16" t="str">
        <x:v>RAW-01810</x:v>
      </x:c>
      <x:c r="B1816" s="16" t="str">
        <x:v>Recommendation</x:v>
      </x:c>
      <x:c r="C1816" s="16" t="str">
        <x:v>– None.</x:v>
      </x:c>
      <x:c r="D1816" s="16" t="str">
        <x:v>circular steel retaining structure</x:v>
      </x:c>
      <x:c r="E1816" s="16" t="str">
        <x:v>SRC-098</x:v>
      </x:c>
      <x:c r="F1816" s="16" t="str">
        <x:v>REC-0003</x:v>
      </x:c>
      <x:c r="G1816" s="16" t="str">
        <x:v>正式报告</x:v>
      </x:c>
      <x:c r="H1816" s="19" t="n">
        <x:v>4</x:v>
      </x:c>
      <x:c r="I1816" s="19" t="n">
        <x:v>7</x:v>
      </x:c>
      <x:c r="J1816" s="19" t="n">
        <x:v>3</x:v>
      </x:c>
      <x:c r="K1816" s="16" t="str">
        <x:v>1. New with no visible defects/damage</x:v>
      </x:c>
      <x:c r="L1816" s="16" t="str">
        <x:v>Very unlikely</x:v>
      </x:c>
      <x:c r="M1816" s="16" t="str">
        <x:v>Negligible</x:v>
      </x:c>
      <x:c r="N1816" s="16" t="str">
        <x:v>Low</x:v>
      </x:c>
    </x:row>
    <x:row r="1817" ht="41" customHeight="1">
      <x:c r="A1817" s="16" t="str">
        <x:v>RAW-01811</x:v>
      </x:c>
      <x:c r="B1817" s="16" t="str">
        <x:v>Observation</x:v>
      </x:c>
      <x:c r="C1817" s="16" t="str">
        <x:v>– Overview of purple steel shell.</x:v>
      </x:c>
      <x:c r="D1817" s="16" t="str">
        <x:v>Purple steel shell and circular retaining structure</x:v>
      </x:c>
      <x:c r="E1817" s="16" t="str">
        <x:v>SRC-099</x:v>
      </x:c>
      <x:c r="F1817" s="16" t="str">
        <x:v>OBS-0075</x:v>
      </x:c>
      <x:c r="G1817" s="16" t="str">
        <x:v>正式报告</x:v>
      </x:c>
      <x:c r="H1817" s="19" t="n">
        <x:v>3</x:v>
      </x:c>
      <x:c r="I1817" s="19" t="n">
        <x:v>6</x:v>
      </x:c>
      <x:c r="J1817" s="19" t="n">
        <x:v>1</x:v>
      </x:c>
      <x:c r="K1817" s="16" t="str">
        <x:v>2. New with slight deterioration</x:v>
      </x:c>
      <x:c r="L1817" s="16" t="str">
        <x:v>Unlikely</x:v>
      </x:c>
      <x:c r="M1817" s="16" t="str">
        <x:v>Negligible</x:v>
      </x:c>
      <x:c r="N1817" s="16" t="str">
        <x:v>Low</x:v>
      </x:c>
    </x:row>
    <x:row r="1818" ht="41" customHeight="1">
      <x:c r="A1818" s="16" t="str">
        <x:v>RAW-01812</x:v>
      </x:c>
      <x:c r="B1818" s="16" t="str">
        <x:v>Observation</x:v>
      </x:c>
      <x:c r="C1818" s="16" t="str">
        <x:v>– Surface corrosion at top edge of circular retaining structure</x:v>
      </x:c>
      <x:c r="D1818" s="16" t="str">
        <x:v>Purple steel shell and circular retaining structure</x:v>
      </x:c>
      <x:c r="E1818" s="16" t="str">
        <x:v>SRC-099</x:v>
      </x:c>
      <x:c r="F1818" s="16" t="str">
        <x:v>OBS-0581</x:v>
      </x:c>
      <x:c r="G1818" s="16" t="str">
        <x:v>正式报告</x:v>
      </x:c>
      <x:c r="H1818" s="19" t="n">
        <x:v>3</x:v>
      </x:c>
      <x:c r="I1818" s="19" t="n">
        <x:v>7</x:v>
      </x:c>
      <x:c r="J1818" s="19" t="n">
        <x:v>1</x:v>
      </x:c>
      <x:c r="K1818" s="16" t="str">
        <x:v>2. New with slight deterioration</x:v>
      </x:c>
      <x:c r="L1818" s="16" t="str">
        <x:v>Unlikely</x:v>
      </x:c>
      <x:c r="M1818" s="16" t="str">
        <x:v>Negligible</x:v>
      </x:c>
      <x:c r="N1818" s="16" t="str">
        <x:v>Low</x:v>
      </x:c>
    </x:row>
    <x:row r="1819" ht="41" customHeight="1">
      <x:c r="A1819" s="16" t="str">
        <x:v>RAW-01813</x:v>
      </x:c>
      <x:c r="B1819" s="16" t="str">
        <x:v>Observation</x:v>
      </x:c>
      <x:c r="C1819" s="16" t="str">
        <x:v>– Minor corrosion and paint deterioration on purple shell.</x:v>
      </x:c>
      <x:c r="D1819" s="16" t="str">
        <x:v>Purple steel shell and circular retaining structure</x:v>
      </x:c>
      <x:c r="E1819" s="16" t="str">
        <x:v>SRC-099</x:v>
      </x:c>
      <x:c r="F1819" s="16" t="str">
        <x:v>OBS-0378</x:v>
      </x:c>
      <x:c r="G1819" s="16" t="str">
        <x:v>正式报告</x:v>
      </x:c>
      <x:c r="H1819" s="19" t="n">
        <x:v>3</x:v>
      </x:c>
      <x:c r="I1819" s="19" t="n">
        <x:v>8</x:v>
      </x:c>
      <x:c r="J1819" s="19" t="n">
        <x:v>2</x:v>
      </x:c>
      <x:c r="K1819" s="16" t="str">
        <x:v>2. New with slight deterioration</x:v>
      </x:c>
      <x:c r="L1819" s="16" t="str">
        <x:v>Unlikely</x:v>
      </x:c>
      <x:c r="M1819" s="16" t="str">
        <x:v>Negligible</x:v>
      </x:c>
      <x:c r="N1819" s="16" t="str">
        <x:v>Low</x:v>
      </x:c>
    </x:row>
    <x:row r="1820" ht="41" customHeight="1">
      <x:c r="A1820" s="16" t="str">
        <x:v>RAW-01814</x:v>
      </x:c>
      <x:c r="B1820" s="16" t="str">
        <x:v>Recommendation</x:v>
      </x:c>
      <x:c r="C1820" s="16" t="str">
        <x:v>– Clean, wire brush and repaint.</x:v>
      </x:c>
      <x:c r="D1820" s="16" t="str">
        <x:v>Purple steel shell and circular retaining structure</x:v>
      </x:c>
      <x:c r="E1820" s="16" t="str">
        <x:v>SRC-099</x:v>
      </x:c>
      <x:c r="F1820" s="16" t="str">
        <x:v>REC-0001</x:v>
      </x:c>
      <x:c r="G1820" s="16" t="str">
        <x:v>正式报告</x:v>
      </x:c>
      <x:c r="H1820" s="19" t="n">
        <x:v>3</x:v>
      </x:c>
      <x:c r="I1820" s="19" t="n">
        <x:v>8</x:v>
      </x:c>
      <x:c r="J1820" s="19" t="n">
        <x:v>2</x:v>
      </x:c>
      <x:c r="K1820" s="16" t="str">
        <x:v>2. New with slight deterioration</x:v>
      </x:c>
      <x:c r="L1820" s="16" t="str">
        <x:v>Unlikely</x:v>
      </x:c>
      <x:c r="M1820" s="16" t="str">
        <x:v>Negligible</x:v>
      </x:c>
      <x:c r="N1820" s="16" t="str">
        <x:v>Low</x:v>
      </x:c>
    </x:row>
    <x:row r="1821" ht="41" customHeight="1">
      <x:c r="A1821" s="16" t="str">
        <x:v>RAW-01815</x:v>
      </x:c>
      <x:c r="B1821" s="16" t="str">
        <x:v>Observation</x:v>
      </x:c>
      <x:c r="C1821" s="16" t="str">
        <x:v>– Overview of circular steel retaining structure.</x:v>
      </x:c>
      <x:c r="D1821" s="16" t="str">
        <x:v>Rectangular steel retaining structures</x:v>
      </x:c>
      <x:c r="E1821" s="16" t="str">
        <x:v>SRC-099</x:v>
      </x:c>
      <x:c r="F1821" s="16" t="str">
        <x:v>OBS-0073</x:v>
      </x:c>
      <x:c r="G1821" s="16" t="str">
        <x:v>正式报告</x:v>
      </x:c>
      <x:c r="H1821" s="19" t="n">
        <x:v>4</x:v>
      </x:c>
      <x:c r="I1821" s="19" t="n">
        <x:v>6</x:v>
      </x:c>
      <x:c r="J1821" s="19" t="n">
        <x:v>1</x:v>
      </x:c>
      <x:c r="K1821" s="16" t="str">
        <x:v>2. New with slight deterioration</x:v>
      </x:c>
      <x:c r="L1821" s="16" t="str">
        <x:v>Unlikely</x:v>
      </x:c>
      <x:c r="M1821" s="16" t="str">
        <x:v>Negligible</x:v>
      </x:c>
      <x:c r="N1821" s="16" t="str">
        <x:v>Low</x:v>
      </x:c>
    </x:row>
    <x:row r="1822" ht="41" customHeight="1">
      <x:c r="A1822" s="16" t="str">
        <x:v>RAW-01816</x:v>
      </x:c>
      <x:c r="B1822" s="16" t="str">
        <x:v>Observation</x:v>
      </x:c>
      <x:c r="C1822" s="16" t="str">
        <x:v>– Staining.</x:v>
      </x:c>
      <x:c r="D1822" s="16" t="str">
        <x:v>Rectangular steel retaining structures</x:v>
      </x:c>
      <x:c r="E1822" s="16" t="str">
        <x:v>SRC-099</x:v>
      </x:c>
      <x:c r="F1822" s="16" t="str">
        <x:v>OBS-0085</x:v>
      </x:c>
      <x:c r="G1822" s="16" t="str">
        <x:v>正式报告</x:v>
      </x:c>
      <x:c r="H1822" s="19" t="n">
        <x:v>4</x:v>
      </x:c>
      <x:c r="I1822" s="19" t="n">
        <x:v>7</x:v>
      </x:c>
      <x:c r="J1822" s="19" t="n">
        <x:v>1</x:v>
      </x:c>
      <x:c r="K1822" s="16" t="str">
        <x:v>2. New with slight deterioration</x:v>
      </x:c>
      <x:c r="L1822" s="16" t="str">
        <x:v>Unlikely</x:v>
      </x:c>
      <x:c r="M1822" s="16" t="str">
        <x:v>Negligible</x:v>
      </x:c>
      <x:c r="N1822" s="16" t="str">
        <x:v>Low</x:v>
      </x:c>
    </x:row>
    <x:row r="1823" ht="41" customHeight="1">
      <x:c r="A1823" s="16" t="str">
        <x:v>RAW-01817</x:v>
      </x:c>
      <x:c r="B1823" s="16" t="str">
        <x:v>Observation</x:v>
      </x:c>
      <x:c r="C1823" s="16" t="str">
        <x:v>– Localised minor corrosion.</x:v>
      </x:c>
      <x:c r="D1823" s="16" t="str">
        <x:v>Rectangular steel retaining structures</x:v>
      </x:c>
      <x:c r="E1823" s="16" t="str">
        <x:v>SRC-099</x:v>
      </x:c>
      <x:c r="F1823" s="16" t="str">
        <x:v>OBS-0369</x:v>
      </x:c>
      <x:c r="G1823" s="16" t="str">
        <x:v>正式报告</x:v>
      </x:c>
      <x:c r="H1823" s="19" t="n">
        <x:v>4</x:v>
      </x:c>
      <x:c r="I1823" s="19" t="n">
        <x:v>8</x:v>
      </x:c>
      <x:c r="J1823" s="19" t="n">
        <x:v>2</x:v>
      </x:c>
      <x:c r="K1823" s="16" t="str">
        <x:v>2. New with slight deterioration</x:v>
      </x:c>
      <x:c r="L1823" s="16" t="str">
        <x:v>Unlikely</x:v>
      </x:c>
      <x:c r="M1823" s="16" t="str">
        <x:v>Negligible</x:v>
      </x:c>
      <x:c r="N1823" s="16" t="str">
        <x:v>Low</x:v>
      </x:c>
    </x:row>
    <x:row r="1824" ht="41" customHeight="1">
      <x:c r="A1824" s="16" t="str">
        <x:v>RAW-01818</x:v>
      </x:c>
      <x:c r="B1824" s="16" t="str">
        <x:v>Recommendation</x:v>
      </x:c>
      <x:c r="C1824" s="16" t="str">
        <x:v>– Clean, wire brush and repaint.</x:v>
      </x:c>
      <x:c r="D1824" s="16" t="str">
        <x:v>Rectangular steel retaining structures</x:v>
      </x:c>
      <x:c r="E1824" s="16" t="str">
        <x:v>SRC-099</x:v>
      </x:c>
      <x:c r="F1824" s="16" t="str">
        <x:v>REC-0001</x:v>
      </x:c>
      <x:c r="G1824" s="16" t="str">
        <x:v>正式报告</x:v>
      </x:c>
      <x:c r="H1824" s="19" t="n">
        <x:v>4</x:v>
      </x:c>
      <x:c r="I1824" s="19" t="n">
        <x:v>8</x:v>
      </x:c>
      <x:c r="J1824" s="19" t="n">
        <x:v>2</x:v>
      </x:c>
      <x:c r="K1824" s="16" t="str">
        <x:v>2. New with slight deterioration</x:v>
      </x:c>
      <x:c r="L1824" s="16" t="str">
        <x:v>Unlikely</x:v>
      </x:c>
      <x:c r="M1824" s="16" t="str">
        <x:v>Negligible</x:v>
      </x:c>
      <x:c r="N1824" s="16" t="str">
        <x:v>Low</x:v>
      </x:c>
    </x:row>
    <x:row r="1825" ht="37" customHeight="1">
      <x:c r="A1825" s="16" t="str">
        <x:v>RAW-01819</x:v>
      </x:c>
      <x:c r="B1825" s="16" t="str">
        <x:v>Observation</x:v>
      </x:c>
      <x:c r="C1825" s="16" t="str">
        <x:v>– Row numbers increasing with the length of the walkway. Columns numbered left to right</x:v>
      </x:c>
      <x:c r="D1825" s="16" t="str">
        <x:v>Steel frame columns</x:v>
      </x:c>
      <x:c r="E1825" s="16" t="str">
        <x:v>SRC-100</x:v>
      </x:c>
      <x:c r="F1825" s="16" t="str">
        <x:v>OBS-0544</x:v>
      </x:c>
      <x:c r="G1825" s="16" t="str">
        <x:v>正式报告</x:v>
      </x:c>
      <x:c r="H1825" s="19" t="n">
        <x:v>3</x:v>
      </x:c>
      <x:c r="I1825" s="19" t="n">
        <x:v>6</x:v>
      </x:c>
      <x:c r="J1825" s="19" t="n">
        <x:v>1</x:v>
      </x:c>
      <x:c r="K1825" s="16" t="str">
        <x:v>7. Very severe deterioration</x:v>
      </x:c>
      <x:c r="L1825" s="16" t="str">
        <x:v>Very likely</x:v>
      </x:c>
      <x:c r="M1825" s="16" t="str">
        <x:v>Significant</x:v>
      </x:c>
      <x:c r="N1825" s="16" t="str">
        <x:v>Urgent</x:v>
      </x:c>
    </x:row>
    <x:row r="1826" ht="41" customHeight="1">
      <x:c r="A1826" s="16" t="str">
        <x:v>RAW-01820</x:v>
      </x:c>
      <x:c r="B1826" s="16" t="str">
        <x:v>Observation</x:v>
      </x:c>
      <x:c r="C1826" s="16" t="str">
        <x:v>– Row 1 column 2. Most significant corrosion when compared to other columns. Multiple holes through the column from the bottom to the top.</x:v>
      </x:c>
      <x:c r="D1826" s="16" t="str">
        <x:v>Steel frame columns</x:v>
      </x:c>
      <x:c r="E1826" s="16" t="str">
        <x:v>SRC-100</x:v>
      </x:c>
      <x:c r="F1826" s="16" t="str">
        <x:v>OBS-0526</x:v>
      </x:c>
      <x:c r="G1826" s="16" t="str">
        <x:v>正式报告</x:v>
      </x:c>
      <x:c r="H1826" s="19" t="n">
        <x:v>3</x:v>
      </x:c>
      <x:c r="I1826" s="19" t="n">
        <x:v>7</x:v>
      </x:c>
      <x:c r="J1826" s="19" t="n">
        <x:v>2</x:v>
      </x:c>
      <x:c r="K1826" s="16" t="str">
        <x:v>7. Very severe deterioration</x:v>
      </x:c>
      <x:c r="L1826" s="16" t="str">
        <x:v>Very likely</x:v>
      </x:c>
      <x:c r="M1826" s="16" t="str">
        <x:v>Significant</x:v>
      </x:c>
      <x:c r="N1826" s="16" t="str">
        <x:v>Urgent</x:v>
      </x:c>
    </x:row>
    <x:row r="1827" ht="37" customHeight="1">
      <x:c r="A1827" s="16" t="str">
        <x:v>RAW-01821</x:v>
      </x:c>
      <x:c r="B1827" s="16" t="str">
        <x:v>Recommendation</x:v>
      </x:c>
      <x:c r="C1827" s="16" t="str">
        <x:v>– Replace column.</x:v>
      </x:c>
      <x:c r="D1827" s="16" t="str">
        <x:v>Steel frame columns</x:v>
      </x:c>
      <x:c r="E1827" s="16" t="str">
        <x:v>SRC-100</x:v>
      </x:c>
      <x:c r="F1827" s="16" t="str">
        <x:v>REC-0007</x:v>
      </x:c>
      <x:c r="G1827" s="16" t="str">
        <x:v>正式报告</x:v>
      </x:c>
      <x:c r="H1827" s="19" t="n">
        <x:v>3</x:v>
      </x:c>
      <x:c r="I1827" s="19" t="n">
        <x:v>7</x:v>
      </x:c>
      <x:c r="J1827" s="19" t="n">
        <x:v>2</x:v>
      </x:c>
      <x:c r="K1827" s="16" t="str">
        <x:v>7. Very severe deterioration</x:v>
      </x:c>
      <x:c r="L1827" s="16" t="str">
        <x:v>Very likely</x:v>
      </x:c>
      <x:c r="M1827" s="16" t="str">
        <x:v>Significant</x:v>
      </x:c>
      <x:c r="N1827" s="16" t="str">
        <x:v>Urgent</x:v>
      </x:c>
    </x:row>
    <x:row r="1828" ht="37" customHeight="1">
      <x:c r="A1828" s="16" t="str">
        <x:v>RAW-01822</x:v>
      </x:c>
      <x:c r="B1828" s="16" t="str">
        <x:v>Observation</x:v>
      </x:c>
      <x:c r="C1828" s="16" t="str">
        <x:v>– Row 2 column 3. Corrosion and small holes.</x:v>
      </x:c>
      <x:c r="D1828" s="16" t="str">
        <x:v>Steel frame columns</x:v>
      </x:c>
      <x:c r="E1828" s="16" t="str">
        <x:v>SRC-100</x:v>
      </x:c>
      <x:c r="F1828" s="16" t="str">
        <x:v>OBS-0533</x:v>
      </x:c>
      <x:c r="G1828" s="16" t="str">
        <x:v>正式报告</x:v>
      </x:c>
      <x:c r="H1828" s="19" t="n">
        <x:v>3</x:v>
      </x:c>
      <x:c r="I1828" s="19" t="n">
        <x:v>8</x:v>
      </x:c>
      <x:c r="J1828" s="19" t="n">
        <x:v>1</x:v>
      </x:c>
      <x:c r="K1828" s="16" t="str">
        <x:v>7. Very severe deterioration</x:v>
      </x:c>
      <x:c r="L1828" s="16" t="str">
        <x:v>Very likely</x:v>
      </x:c>
      <x:c r="M1828" s="16" t="str">
        <x:v>Significant</x:v>
      </x:c>
      <x:c r="N1828" s="16" t="str">
        <x:v>Urgent</x:v>
      </x:c>
    </x:row>
    <x:row r="1829" ht="37" customHeight="1">
      <x:c r="A1829" s="16" t="str">
        <x:v>RAW-01823</x:v>
      </x:c>
      <x:c r="B1829" s="16" t="str">
        <x:v>Recommendation</x:v>
      </x:c>
      <x:c r="C1829" s="16" t="str">
        <x:v>– Replace column.</x:v>
      </x:c>
      <x:c r="D1829" s="16" t="str">
        <x:v>Steel frame columns</x:v>
      </x:c>
      <x:c r="E1829" s="16" t="str">
        <x:v>SRC-100</x:v>
      </x:c>
      <x:c r="F1829" s="16" t="str">
        <x:v>REC-0007</x:v>
      </x:c>
      <x:c r="G1829" s="16" t="str">
        <x:v>正式报告</x:v>
      </x:c>
      <x:c r="H1829" s="19" t="n">
        <x:v>3</x:v>
      </x:c>
      <x:c r="I1829" s="19" t="n">
        <x:v>8</x:v>
      </x:c>
      <x:c r="J1829" s="19" t="n">
        <x:v>1</x:v>
      </x:c>
      <x:c r="K1829" s="16" t="str">
        <x:v>7. Very severe deterioration</x:v>
      </x:c>
      <x:c r="L1829" s="16" t="str">
        <x:v>Very likely</x:v>
      </x:c>
      <x:c r="M1829" s="16" t="str">
        <x:v>Significant</x:v>
      </x:c>
      <x:c r="N1829" s="16" t="str">
        <x:v>Urgent</x:v>
      </x:c>
    </x:row>
    <x:row r="1830" ht="37" customHeight="1">
      <x:c r="A1830" s="16" t="str">
        <x:v>RAW-01824</x:v>
      </x:c>
      <x:c r="B1830" s="16" t="str">
        <x:v>Observation</x:v>
      </x:c>
      <x:c r="C1830" s="16" t="str">
        <x:v>– Row 2 column 1. Blistering corrosion and small holes towards the lower section.</x:v>
      </x:c>
      <x:c r="D1830" s="16" t="str">
        <x:v>Steel frame columns</x:v>
      </x:c>
      <x:c r="E1830" s="16" t="str">
        <x:v>SRC-100</x:v>
      </x:c>
      <x:c r="F1830" s="16" t="str">
        <x:v>OBS-0532</x:v>
      </x:c>
      <x:c r="G1830" s="16" t="str">
        <x:v>正式报告</x:v>
      </x:c>
      <x:c r="H1830" s="19" t="n">
        <x:v>3</x:v>
      </x:c>
      <x:c r="I1830" s="19" t="n">
        <x:v>9</x:v>
      </x:c>
      <x:c r="J1830" s="19" t="n">
        <x:v>1</x:v>
      </x:c>
      <x:c r="K1830" s="16" t="str">
        <x:v>7. Very severe deterioration</x:v>
      </x:c>
      <x:c r="L1830" s="16" t="str">
        <x:v>Very likely</x:v>
      </x:c>
      <x:c r="M1830" s="16" t="str">
        <x:v>Significant</x:v>
      </x:c>
      <x:c r="N1830" s="16" t="str">
        <x:v>Urgent</x:v>
      </x:c>
    </x:row>
    <x:row r="1831" ht="37" customHeight="1">
      <x:c r="A1831" s="16" t="str">
        <x:v>RAW-01825</x:v>
      </x:c>
      <x:c r="B1831" s="16" t="str">
        <x:v>Recommendation</x:v>
      </x:c>
      <x:c r="C1831" s="16" t="str">
        <x:v>– Replace column</x:v>
      </x:c>
      <x:c r="D1831" s="16" t="str">
        <x:v>Steel frame columns</x:v>
      </x:c>
      <x:c r="E1831" s="16" t="str">
        <x:v>SRC-100</x:v>
      </x:c>
      <x:c r="F1831" s="16" t="str">
        <x:v>REC-0007</x:v>
      </x:c>
      <x:c r="G1831" s="16" t="str">
        <x:v>正式报告</x:v>
      </x:c>
      <x:c r="H1831" s="19" t="n">
        <x:v>3</x:v>
      </x:c>
      <x:c r="I1831" s="19" t="n">
        <x:v>9</x:v>
      </x:c>
      <x:c r="J1831" s="19" t="n">
        <x:v>1</x:v>
      </x:c>
      <x:c r="K1831" s="16" t="str">
        <x:v>7. Very severe deterioration</x:v>
      </x:c>
      <x:c r="L1831" s="16" t="str">
        <x:v>Very likely</x:v>
      </x:c>
      <x:c r="M1831" s="16" t="str">
        <x:v>Significant</x:v>
      </x:c>
      <x:c r="N1831" s="16" t="str">
        <x:v>Urgent</x:v>
      </x:c>
    </x:row>
    <x:row r="1832" ht="37" customHeight="1">
      <x:c r="A1832" s="16" t="str">
        <x:v>RAW-01826</x:v>
      </x:c>
      <x:c r="B1832" s="16" t="str">
        <x:v>Observation</x:v>
      </x:c>
      <x:c r="C1832" s="16" t="str">
        <x:v>– Row 3 Column 1. Blistering corrosion and holes.</x:v>
      </x:c>
      <x:c r="D1832" s="16" t="str">
        <x:v>Steel frame columns</x:v>
      </x:c>
      <x:c r="E1832" s="16" t="str">
        <x:v>SRC-100</x:v>
      </x:c>
      <x:c r="F1832" s="16" t="str">
        <x:v>OBS-0534</x:v>
      </x:c>
      <x:c r="G1832" s="16" t="str">
        <x:v>正式报告</x:v>
      </x:c>
      <x:c r="H1832" s="19" t="n">
        <x:v>3</x:v>
      </x:c>
      <x:c r="I1832" s="19" t="n">
        <x:v>10</x:v>
      </x:c>
      <x:c r="J1832" s="19" t="n">
        <x:v>2</x:v>
      </x:c>
      <x:c r="K1832" s="16" t="str">
        <x:v>7. Very severe deterioration</x:v>
      </x:c>
      <x:c r="L1832" s="16" t="str">
        <x:v>Very likely</x:v>
      </x:c>
      <x:c r="M1832" s="16" t="str">
        <x:v>Significant</x:v>
      </x:c>
      <x:c r="N1832" s="16" t="str">
        <x:v>Urgent</x:v>
      </x:c>
    </x:row>
    <x:row r="1833" ht="37" customHeight="1">
      <x:c r="A1833" s="16" t="str">
        <x:v>RAW-01827</x:v>
      </x:c>
      <x:c r="B1833" s="16" t="str">
        <x:v>Recommendation</x:v>
      </x:c>
      <x:c r="C1833" s="16" t="str">
        <x:v>– Replace column.</x:v>
      </x:c>
      <x:c r="D1833" s="16" t="str">
        <x:v>Steel frame columns</x:v>
      </x:c>
      <x:c r="E1833" s="16" t="str">
        <x:v>SRC-100</x:v>
      </x:c>
      <x:c r="F1833" s="16" t="str">
        <x:v>REC-0007</x:v>
      </x:c>
      <x:c r="G1833" s="16" t="str">
        <x:v>正式报告</x:v>
      </x:c>
      <x:c r="H1833" s="19" t="n">
        <x:v>3</x:v>
      </x:c>
      <x:c r="I1833" s="19" t="n">
        <x:v>10</x:v>
      </x:c>
      <x:c r="J1833" s="19" t="n">
        <x:v>2</x:v>
      </x:c>
      <x:c r="K1833" s="16" t="str">
        <x:v>7. Very severe deterioration</x:v>
      </x:c>
      <x:c r="L1833" s="16" t="str">
        <x:v>Very likely</x:v>
      </x:c>
      <x:c r="M1833" s="16" t="str">
        <x:v>Significant</x:v>
      </x:c>
      <x:c r="N1833" s="16" t="str">
        <x:v>Urgent</x:v>
      </x:c>
    </x:row>
    <x:row r="1834" ht="37" customHeight="1">
      <x:c r="A1834" s="16" t="str">
        <x:v>RAW-01828</x:v>
      </x:c>
      <x:c r="B1834" s="16" t="str">
        <x:v>Observation</x:v>
      </x:c>
      <x:c r="C1834" s="16" t="str">
        <x:v>– Row 3 to row 8</x:v>
      </x:c>
      <x:c r="D1834" s="16" t="str">
        <x:v>Steel frame columns</x:v>
      </x:c>
      <x:c r="E1834" s="16" t="str">
        <x:v>SRC-100</x:v>
      </x:c>
      <x:c r="F1834" s="16" t="str">
        <x:v>OBS-0538</x:v>
      </x:c>
      <x:c r="G1834" s="16" t="str">
        <x:v>正式报告</x:v>
      </x:c>
      <x:c r="H1834" s="19" t="n">
        <x:v>3</x:v>
      </x:c>
      <x:c r="I1834" s="19" t="n">
        <x:v>11</x:v>
      </x:c>
      <x:c r="J1834" s="19" t="n">
        <x:v>1</x:v>
      </x:c>
      <x:c r="K1834" s="16" t="str">
        <x:v>7. Very severe deterioration</x:v>
      </x:c>
      <x:c r="L1834" s="16" t="str">
        <x:v>Very likely</x:v>
      </x:c>
      <x:c r="M1834" s="16" t="str">
        <x:v>Significant</x:v>
      </x:c>
      <x:c r="N1834" s="16" t="str">
        <x:v>Urgent</x:v>
      </x:c>
    </x:row>
    <x:row r="1835" ht="37" customHeight="1">
      <x:c r="A1835" s="16" t="str">
        <x:v>RAW-01829</x:v>
      </x:c>
      <x:c r="B1835" s="16" t="str">
        <x:v>Observation</x:v>
      </x:c>
      <x:c r="C1835" s="16" t="str">
        <x:v>– Row 4 Column 2. Blistering corrosion and holes.</x:v>
      </x:c>
      <x:c r="D1835" s="16" t="str">
        <x:v>Steel frame columns</x:v>
      </x:c>
      <x:c r="E1835" s="16" t="str">
        <x:v>SRC-100</x:v>
      </x:c>
      <x:c r="F1835" s="16" t="str">
        <x:v>OBS-0540</x:v>
      </x:c>
      <x:c r="G1835" s="16" t="str">
        <x:v>正式报告</x:v>
      </x:c>
      <x:c r="H1835" s="19" t="n">
        <x:v>3</x:v>
      </x:c>
      <x:c r="I1835" s="19" t="n">
        <x:v>12</x:v>
      </x:c>
      <x:c r="J1835" s="19" t="n">
        <x:v>1</x:v>
      </x:c>
      <x:c r="K1835" s="16" t="str">
        <x:v>7. Very severe deterioration</x:v>
      </x:c>
      <x:c r="L1835" s="16" t="str">
        <x:v>Very likely</x:v>
      </x:c>
      <x:c r="M1835" s="16" t="str">
        <x:v>Significant</x:v>
      </x:c>
      <x:c r="N1835" s="16" t="str">
        <x:v>Urgent</x:v>
      </x:c>
    </x:row>
    <x:row r="1836" ht="37" customHeight="1">
      <x:c r="A1836" s="16" t="str">
        <x:v>RAW-01830</x:v>
      </x:c>
      <x:c r="B1836" s="16" t="str">
        <x:v>Recommendation</x:v>
      </x:c>
      <x:c r="C1836" s="16" t="str">
        <x:v>– Remove the paint, clear the corrosion, seal the holes and reinstate the paint.</x:v>
      </x:c>
      <x:c r="D1836" s="16" t="str">
        <x:v>Steel frame columns</x:v>
      </x:c>
      <x:c r="E1836" s="16" t="str">
        <x:v>SRC-100</x:v>
      </x:c>
      <x:c r="F1836" s="16" t="str">
        <x:v>REC-0036</x:v>
      </x:c>
      <x:c r="G1836" s="16" t="str">
        <x:v>正式报告</x:v>
      </x:c>
      <x:c r="H1836" s="19" t="n">
        <x:v>3</x:v>
      </x:c>
      <x:c r="I1836" s="19" t="n">
        <x:v>12</x:v>
      </x:c>
      <x:c r="J1836" s="19" t="n">
        <x:v>1</x:v>
      </x:c>
      <x:c r="K1836" s="16" t="str">
        <x:v>7. Very severe deterioration</x:v>
      </x:c>
      <x:c r="L1836" s="16" t="str">
        <x:v>Very likely</x:v>
      </x:c>
      <x:c r="M1836" s="16" t="str">
        <x:v>Significant</x:v>
      </x:c>
      <x:c r="N1836" s="16" t="str">
        <x:v>Urgent</x:v>
      </x:c>
    </x:row>
    <x:row r="1837" ht="37" customHeight="1">
      <x:c r="A1837" s="16" t="str">
        <x:v>RAW-01831</x:v>
      </x:c>
      <x:c r="B1837" s="16" t="str">
        <x:v>Observation</x:v>
      </x:c>
      <x:c r="C1837" s="16" t="str">
        <x:v>– Row 5 Column 2. Blistering corrosion and holes.</x:v>
      </x:c>
      <x:c r="D1837" s="16" t="str">
        <x:v>Steel frame columns</x:v>
      </x:c>
      <x:c r="E1837" s="16" t="str">
        <x:v>SRC-100</x:v>
      </x:c>
      <x:c r="F1837" s="16" t="str">
        <x:v>OBS-0542</x:v>
      </x:c>
      <x:c r="G1837" s="16" t="str">
        <x:v>正式报告</x:v>
      </x:c>
      <x:c r="H1837" s="19" t="n">
        <x:v>3</x:v>
      </x:c>
      <x:c r="I1837" s="19" t="n">
        <x:v>13</x:v>
      </x:c>
      <x:c r="J1837" s="19" t="n">
        <x:v>1</x:v>
      </x:c>
      <x:c r="K1837" s="16" t="str">
        <x:v>7. Very severe deterioration</x:v>
      </x:c>
      <x:c r="L1837" s="16" t="str">
        <x:v>Very likely</x:v>
      </x:c>
      <x:c r="M1837" s="16" t="str">
        <x:v>Significant</x:v>
      </x:c>
      <x:c r="N1837" s="16" t="str">
        <x:v>Urgent</x:v>
      </x:c>
    </x:row>
    <x:row r="1838" ht="37" customHeight="1">
      <x:c r="A1838" s="16" t="str">
        <x:v>RAW-01832</x:v>
      </x:c>
      <x:c r="B1838" s="16" t="str">
        <x:v>Recommendation</x:v>
      </x:c>
      <x:c r="C1838" s="16" t="str">
        <x:v>– Remove the paint, clear the corrosion, seal the holes and reinstate the paint.</x:v>
      </x:c>
      <x:c r="D1838" s="16" t="str">
        <x:v>Steel frame columns</x:v>
      </x:c>
      <x:c r="E1838" s="16" t="str">
        <x:v>SRC-100</x:v>
      </x:c>
      <x:c r="F1838" s="16" t="str">
        <x:v>REC-0036</x:v>
      </x:c>
      <x:c r="G1838" s="16" t="str">
        <x:v>正式报告</x:v>
      </x:c>
      <x:c r="H1838" s="19" t="n">
        <x:v>3</x:v>
      </x:c>
      <x:c r="I1838" s="19" t="n">
        <x:v>13</x:v>
      </x:c>
      <x:c r="J1838" s="19" t="n">
        <x:v>1</x:v>
      </x:c>
      <x:c r="K1838" s="16" t="str">
        <x:v>7. Very severe deterioration</x:v>
      </x:c>
      <x:c r="L1838" s="16" t="str">
        <x:v>Very likely</x:v>
      </x:c>
      <x:c r="M1838" s="16" t="str">
        <x:v>Significant</x:v>
      </x:c>
      <x:c r="N1838" s="16" t="str">
        <x:v>Urgent</x:v>
      </x:c>
    </x:row>
    <x:row r="1839" ht="37" customHeight="1">
      <x:c r="A1839" s="16" t="str">
        <x:v>RAW-01833</x:v>
      </x:c>
      <x:c r="B1839" s="16" t="str">
        <x:v>Observation</x:v>
      </x:c>
      <x:c r="C1839" s="16" t="str">
        <x:v>– Row 5 Column 2.</x:v>
      </x:c>
      <x:c r="D1839" s="16" t="str">
        <x:v>Steel frame columns</x:v>
      </x:c>
      <x:c r="E1839" s="16" t="str">
        <x:v>SRC-100</x:v>
      </x:c>
      <x:c r="F1839" s="16" t="str">
        <x:v>OBS-0541</x:v>
      </x:c>
      <x:c r="G1839" s="16" t="str">
        <x:v>正式报告</x:v>
      </x:c>
      <x:c r="H1839" s="19" t="n">
        <x:v>3</x:v>
      </x:c>
      <x:c r="I1839" s="19" t="n">
        <x:v>14</x:v>
      </x:c>
      <x:c r="J1839" s="19" t="n">
        <x:v>1</x:v>
      </x:c>
      <x:c r="K1839" s="16" t="str">
        <x:v>7. Very severe deterioration</x:v>
      </x:c>
      <x:c r="L1839" s="16" t="str">
        <x:v>Very likely</x:v>
      </x:c>
      <x:c r="M1839" s="16" t="str">
        <x:v>Significant</x:v>
      </x:c>
      <x:c r="N1839" s="16" t="str">
        <x:v>Urgent</x:v>
      </x:c>
    </x:row>
    <x:row r="1840" ht="37" customHeight="1">
      <x:c r="A1840" s="16" t="str">
        <x:v>RAW-01834</x:v>
      </x:c>
      <x:c r="B1840" s="16" t="str">
        <x:v>Recommendation</x:v>
      </x:c>
      <x:c r="C1840" s="16" t="str">
        <x:v>– Replace column.</x:v>
      </x:c>
      <x:c r="D1840" s="16" t="str">
        <x:v>Steel frame columns</x:v>
      </x:c>
      <x:c r="E1840" s="16" t="str">
        <x:v>SRC-100</x:v>
      </x:c>
      <x:c r="F1840" s="16" t="str">
        <x:v>REC-0007</x:v>
      </x:c>
      <x:c r="G1840" s="16" t="str">
        <x:v>正式报告</x:v>
      </x:c>
      <x:c r="H1840" s="19" t="n">
        <x:v>3</x:v>
      </x:c>
      <x:c r="I1840" s="19" t="n">
        <x:v>14</x:v>
      </x:c>
      <x:c r="J1840" s="19" t="n">
        <x:v>1</x:v>
      </x:c>
      <x:c r="K1840" s="16" t="str">
        <x:v>7. Very severe deterioration</x:v>
      </x:c>
      <x:c r="L1840" s="16" t="str">
        <x:v>Very likely</x:v>
      </x:c>
      <x:c r="M1840" s="16" t="str">
        <x:v>Significant</x:v>
      </x:c>
      <x:c r="N1840" s="16" t="str">
        <x:v>Urgent</x:v>
      </x:c>
    </x:row>
    <x:row r="1841" ht="37" customHeight="1">
      <x:c r="A1841" s="16" t="str">
        <x:v>RAW-01835</x:v>
      </x:c>
      <x:c r="B1841" s="16" t="str">
        <x:v>Observation</x:v>
      </x:c>
      <x:c r="C1841" s="16" t="str">
        <x:v>– Row 6 Column 2.</x:v>
      </x:c>
      <x:c r="D1841" s="16" t="str">
        <x:v>Steel frame columns</x:v>
      </x:c>
      <x:c r="E1841" s="16" t="str">
        <x:v>SRC-100</x:v>
      </x:c>
      <x:c r="F1841" s="16" t="str">
        <x:v>OBS-0079</x:v>
      </x:c>
      <x:c r="G1841" s="16" t="str">
        <x:v>正式报告</x:v>
      </x:c>
      <x:c r="H1841" s="19" t="n">
        <x:v>3</x:v>
      </x:c>
      <x:c r="I1841" s="19" t="n">
        <x:v>15</x:v>
      </x:c>
      <x:c r="J1841" s="19" t="n">
        <x:v>1</x:v>
      </x:c>
      <x:c r="K1841" s="16" t="str">
        <x:v>7. Very severe deterioration</x:v>
      </x:c>
      <x:c r="L1841" s="16" t="str">
        <x:v>Very likely</x:v>
      </x:c>
      <x:c r="M1841" s="16" t="str">
        <x:v>Significant</x:v>
      </x:c>
      <x:c r="N1841" s="16" t="str">
        <x:v>Urgent</x:v>
      </x:c>
    </x:row>
    <x:row r="1842" ht="37" customHeight="1">
      <x:c r="A1842" s="16" t="str">
        <x:v>RAW-01836</x:v>
      </x:c>
      <x:c r="B1842" s="16" t="str">
        <x:v>Recommendation</x:v>
      </x:c>
      <x:c r="C1842" s="16" t="str">
        <x:v>– Replace column.</x:v>
      </x:c>
      <x:c r="D1842" s="16" t="str">
        <x:v>Steel frame columns</x:v>
      </x:c>
      <x:c r="E1842" s="16" t="str">
        <x:v>SRC-100</x:v>
      </x:c>
      <x:c r="F1842" s="16" t="str">
        <x:v>REC-0007</x:v>
      </x:c>
      <x:c r="G1842" s="16" t="str">
        <x:v>正式报告</x:v>
      </x:c>
      <x:c r="H1842" s="19" t="n">
        <x:v>3</x:v>
      </x:c>
      <x:c r="I1842" s="19" t="n">
        <x:v>15</x:v>
      </x:c>
      <x:c r="J1842" s="19" t="n">
        <x:v>1</x:v>
      </x:c>
      <x:c r="K1842" s="16" t="str">
        <x:v>7. Very severe deterioration</x:v>
      </x:c>
      <x:c r="L1842" s="16" t="str">
        <x:v>Very likely</x:v>
      </x:c>
      <x:c r="M1842" s="16" t="str">
        <x:v>Significant</x:v>
      </x:c>
      <x:c r="N1842" s="16" t="str">
        <x:v>Urgent</x:v>
      </x:c>
    </x:row>
    <x:row r="1843" ht="37" customHeight="1">
      <x:c r="A1843" s="16" t="str">
        <x:v>RAW-01837</x:v>
      </x:c>
      <x:c r="B1843" s="16" t="str">
        <x:v>Observation</x:v>
      </x:c>
      <x:c r="C1843" s="16" t="str">
        <x:v>– Row 6 Column 2.</x:v>
      </x:c>
      <x:c r="D1843" s="16" t="str">
        <x:v>Steel frame columns</x:v>
      </x:c>
      <x:c r="E1843" s="16" t="str">
        <x:v>SRC-100</x:v>
      </x:c>
      <x:c r="F1843" s="16" t="str">
        <x:v>OBS-0079</x:v>
      </x:c>
      <x:c r="G1843" s="16" t="str">
        <x:v>正式报告</x:v>
      </x:c>
      <x:c r="H1843" s="19" t="n">
        <x:v>3</x:v>
      </x:c>
      <x:c r="I1843" s="19" t="n">
        <x:v>16</x:v>
      </x:c>
      <x:c r="J1843" s="19" t="n">
        <x:v>1</x:v>
      </x:c>
      <x:c r="K1843" s="16" t="str">
        <x:v>7. Very severe deterioration</x:v>
      </x:c>
      <x:c r="L1843" s="16" t="str">
        <x:v>Very likely</x:v>
      </x:c>
      <x:c r="M1843" s="16" t="str">
        <x:v>Significant</x:v>
      </x:c>
      <x:c r="N1843" s="16" t="str">
        <x:v>Urgent</x:v>
      </x:c>
    </x:row>
    <x:row r="1844" ht="37" customHeight="1">
      <x:c r="A1844" s="16" t="str">
        <x:v>RAW-01838</x:v>
      </x:c>
      <x:c r="B1844" s="16" t="str">
        <x:v>Recommendation</x:v>
      </x:c>
      <x:c r="C1844" s="16" t="str">
        <x:v>– Replace column.</x:v>
      </x:c>
      <x:c r="D1844" s="16" t="str">
        <x:v>Steel frame columns</x:v>
      </x:c>
      <x:c r="E1844" s="16" t="str">
        <x:v>SRC-100</x:v>
      </x:c>
      <x:c r="F1844" s="16" t="str">
        <x:v>REC-0007</x:v>
      </x:c>
      <x:c r="G1844" s="16" t="str">
        <x:v>正式报告</x:v>
      </x:c>
      <x:c r="H1844" s="19" t="n">
        <x:v>3</x:v>
      </x:c>
      <x:c r="I1844" s="19" t="n">
        <x:v>16</x:v>
      </x:c>
      <x:c r="J1844" s="19" t="n">
        <x:v>1</x:v>
      </x:c>
      <x:c r="K1844" s="16" t="str">
        <x:v>7. Very severe deterioration</x:v>
      </x:c>
      <x:c r="L1844" s="16" t="str">
        <x:v>Very likely</x:v>
      </x:c>
      <x:c r="M1844" s="16" t="str">
        <x:v>Significant</x:v>
      </x:c>
      <x:c r="N1844" s="16" t="str">
        <x:v>Urgent</x:v>
      </x:c>
    </x:row>
    <x:row r="1845" ht="37" customHeight="1">
      <x:c r="A1845" s="16" t="str">
        <x:v>RAW-01839</x:v>
      </x:c>
      <x:c r="B1845" s="16" t="str">
        <x:v>Observation</x:v>
      </x:c>
      <x:c r="C1845" s="16" t="str">
        <x:v>– Row 7 Column 2.</x:v>
      </x:c>
      <x:c r="D1845" s="16" t="str">
        <x:v>Steel frame columns</x:v>
      </x:c>
      <x:c r="E1845" s="16" t="str">
        <x:v>SRC-100</x:v>
      </x:c>
      <x:c r="F1845" s="16" t="str">
        <x:v>OBS-0543</x:v>
      </x:c>
      <x:c r="G1845" s="16" t="str">
        <x:v>正式报告</x:v>
      </x:c>
      <x:c r="H1845" s="19" t="n">
        <x:v>3</x:v>
      </x:c>
      <x:c r="I1845" s="19" t="n">
        <x:v>17</x:v>
      </x:c>
      <x:c r="J1845" s="19" t="n">
        <x:v>1</x:v>
      </x:c>
      <x:c r="K1845" s="16" t="str">
        <x:v>7. Very severe deterioration</x:v>
      </x:c>
      <x:c r="L1845" s="16" t="str">
        <x:v>Very likely</x:v>
      </x:c>
      <x:c r="M1845" s="16" t="str">
        <x:v>Significant</x:v>
      </x:c>
      <x:c r="N1845" s="16" t="str">
        <x:v>Urgent</x:v>
      </x:c>
    </x:row>
    <x:row r="1846" ht="37" customHeight="1">
      <x:c r="A1846" s="16" t="str">
        <x:v>RAW-01840</x:v>
      </x:c>
      <x:c r="B1846" s="16" t="str">
        <x:v>Recommendation</x:v>
      </x:c>
      <x:c r="C1846" s="16" t="str">
        <x:v>– Clean, remove corrosion and repaint.</x:v>
      </x:c>
      <x:c r="D1846" s="16" t="str">
        <x:v>Steel frame columns</x:v>
      </x:c>
      <x:c r="E1846" s="16" t="str">
        <x:v>SRC-100</x:v>
      </x:c>
      <x:c r="F1846" s="16" t="str">
        <x:v>REC-0002</x:v>
      </x:c>
      <x:c r="G1846" s="16" t="str">
        <x:v>正式报告</x:v>
      </x:c>
      <x:c r="H1846" s="19" t="n">
        <x:v>3</x:v>
      </x:c>
      <x:c r="I1846" s="19" t="n">
        <x:v>17</x:v>
      </x:c>
      <x:c r="J1846" s="19" t="n">
        <x:v>1</x:v>
      </x:c>
      <x:c r="K1846" s="16" t="str">
        <x:v>7. Very severe deterioration</x:v>
      </x:c>
      <x:c r="L1846" s="16" t="str">
        <x:v>Very likely</x:v>
      </x:c>
      <x:c r="M1846" s="16" t="str">
        <x:v>Significant</x:v>
      </x:c>
      <x:c r="N1846" s="16" t="str">
        <x:v>Urgent</x:v>
      </x:c>
    </x:row>
    <x:row r="1847" ht="37" customHeight="1">
      <x:c r="A1847" s="16" t="str">
        <x:v>RAW-01841</x:v>
      </x:c>
      <x:c r="B1847" s="16" t="str">
        <x:v>Observation</x:v>
      </x:c>
      <x:c r="C1847" s="16" t="str">
        <x:v>– Blistering corrosion on all independent columns.</x:v>
      </x:c>
      <x:c r="D1847" s="16" t="str">
        <x:v>Steel frame columns</x:v>
      </x:c>
      <x:c r="E1847" s="16" t="str">
        <x:v>SRC-100</x:v>
      </x:c>
      <x:c r="F1847" s="16" t="str">
        <x:v>OBS-0143</x:v>
      </x:c>
      <x:c r="G1847" s="16" t="str">
        <x:v>正式报告</x:v>
      </x:c>
      <x:c r="H1847" s="19" t="n">
        <x:v>3</x:v>
      </x:c>
      <x:c r="I1847" s="19" t="n">
        <x:v>18</x:v>
      </x:c>
      <x:c r="J1847" s="19" t="n">
        <x:v>1</x:v>
      </x:c>
      <x:c r="K1847" s="16" t="str">
        <x:v>7. Very severe deterioration</x:v>
      </x:c>
      <x:c r="L1847" s="16" t="str">
        <x:v>Very likely</x:v>
      </x:c>
      <x:c r="M1847" s="16" t="str">
        <x:v>Significant</x:v>
      </x:c>
      <x:c r="N1847" s="16" t="str">
        <x:v>Urgent</x:v>
      </x:c>
    </x:row>
    <x:row r="1848" ht="37" customHeight="1">
      <x:c r="A1848" s="16" t="str">
        <x:v>RAW-01842</x:v>
      </x:c>
      <x:c r="B1848" s="16" t="str">
        <x:v>Recommendation</x:v>
      </x:c>
      <x:c r="C1848" s="16" t="str">
        <x:v>– Clean, remove corrosion and repaint.</x:v>
      </x:c>
      <x:c r="D1848" s="16" t="str">
        <x:v>Steel frame columns</x:v>
      </x:c>
      <x:c r="E1848" s="16" t="str">
        <x:v>SRC-100</x:v>
      </x:c>
      <x:c r="F1848" s="16" t="str">
        <x:v>REC-0002</x:v>
      </x:c>
      <x:c r="G1848" s="16" t="str">
        <x:v>正式报告</x:v>
      </x:c>
      <x:c r="H1848" s="19" t="n">
        <x:v>3</x:v>
      </x:c>
      <x:c r="I1848" s="19" t="n">
        <x:v>18</x:v>
      </x:c>
      <x:c r="J1848" s="19" t="n">
        <x:v>1</x:v>
      </x:c>
      <x:c r="K1848" s="16" t="str">
        <x:v>7. Very severe deterioration</x:v>
      </x:c>
      <x:c r="L1848" s="16" t="str">
        <x:v>Very likely</x:v>
      </x:c>
      <x:c r="M1848" s="16" t="str">
        <x:v>Significant</x:v>
      </x:c>
      <x:c r="N1848" s="16" t="str">
        <x:v>Urgent</x:v>
      </x:c>
    </x:row>
    <x:row r="1849" ht="37" customHeight="1">
      <x:c r="A1849" s="16" t="str">
        <x:v>RAW-01843</x:v>
      </x:c>
      <x:c r="B1849" s="16" t="str">
        <x:v>Observation</x:v>
      </x:c>
      <x:c r="C1849" s="16" t="str">
        <x:v>– Row 1 Column 1,2 and 3. Corrosion delamination at connections.</x:v>
      </x:c>
      <x:c r="D1849" s="16" t="str">
        <x:v>Frame connections</x:v>
      </x:c>
      <x:c r="E1849" s="16" t="str">
        <x:v>SRC-100</x:v>
      </x:c>
      <x:c r="F1849" s="16" t="str">
        <x:v>OBS-0518</x:v>
      </x:c>
      <x:c r="G1849" s="16" t="str">
        <x:v>正式报告</x:v>
      </x:c>
      <x:c r="H1849" s="19" t="n">
        <x:v>4</x:v>
      </x:c>
      <x:c r="I1849" s="19" t="n">
        <x:v>6</x:v>
      </x:c>
      <x:c r="J1849" s="19" t="n">
        <x:v>2</x:v>
      </x:c>
      <x:c r="K1849" s="16" t="str">
        <x:v>7. Very severe deterioration</x:v>
      </x:c>
      <x:c r="L1849" s="16" t="str">
        <x:v>Very likely</x:v>
      </x:c>
      <x:c r="M1849" s="16" t="str">
        <x:v>Significant</x:v>
      </x:c>
      <x:c r="N1849" s="16" t="str">
        <x:v>Urgent</x:v>
      </x:c>
    </x:row>
    <x:row r="1850" ht="37" customHeight="1">
      <x:c r="A1850" s="16" t="str">
        <x:v>RAW-01844</x:v>
      </x:c>
      <x:c r="B1850" s="16" t="str">
        <x:v>Recommendation</x:v>
      </x:c>
      <x:c r="C1850" s="16" t="str">
        <x:v>– Remove the rust and investigate steel interface.</x:v>
      </x:c>
      <x:c r="D1850" s="16" t="str">
        <x:v>Frame connections</x:v>
      </x:c>
      <x:c r="E1850" s="16" t="str">
        <x:v>SRC-100</x:v>
      </x:c>
      <x:c r="F1850" s="16" t="str">
        <x:v>REC-0037</x:v>
      </x:c>
      <x:c r="G1850" s="16" t="str">
        <x:v>正式报告</x:v>
      </x:c>
      <x:c r="H1850" s="19" t="n">
        <x:v>4</x:v>
      </x:c>
      <x:c r="I1850" s="19" t="n">
        <x:v>6</x:v>
      </x:c>
      <x:c r="J1850" s="19" t="n">
        <x:v>2</x:v>
      </x:c>
      <x:c r="K1850" s="16" t="str">
        <x:v>7. Very severe deterioration</x:v>
      </x:c>
      <x:c r="L1850" s="16" t="str">
        <x:v>Very likely</x:v>
      </x:c>
      <x:c r="M1850" s="16" t="str">
        <x:v>Significant</x:v>
      </x:c>
      <x:c r="N1850" s="16" t="str">
        <x:v>Urgent</x:v>
      </x:c>
    </x:row>
    <x:row r="1851" ht="37" customHeight="1">
      <x:c r="A1851" s="16" t="str">
        <x:v>RAW-01845</x:v>
      </x:c>
      <x:c r="B1851" s="16" t="str">
        <x:v>Observation</x:v>
      </x:c>
      <x:c r="C1851" s="16" t="str">
        <x:v>– Row 2 Columns 1 and 2.</x:v>
      </x:c>
      <x:c r="D1851" s="16" t="str">
        <x:v>Frame connections</x:v>
      </x:c>
      <x:c r="E1851" s="16" t="str">
        <x:v>SRC-100</x:v>
      </x:c>
      <x:c r="F1851" s="16" t="str">
        <x:v>OBS-0531</x:v>
      </x:c>
      <x:c r="G1851" s="16" t="str">
        <x:v>正式报告</x:v>
      </x:c>
      <x:c r="H1851" s="19" t="n">
        <x:v>4</x:v>
      </x:c>
      <x:c r="I1851" s="19" t="n">
        <x:v>7</x:v>
      </x:c>
      <x:c r="J1851" s="19" t="n">
        <x:v>1</x:v>
      </x:c>
      <x:c r="K1851" s="16" t="str">
        <x:v>7. Very severe deterioration</x:v>
      </x:c>
      <x:c r="L1851" s="16" t="str">
        <x:v>Very likely</x:v>
      </x:c>
      <x:c r="M1851" s="16" t="str">
        <x:v>Significant</x:v>
      </x:c>
      <x:c r="N1851" s="16" t="str">
        <x:v>Urgent</x:v>
      </x:c>
    </x:row>
    <x:row r="1852" ht="37" customHeight="1">
      <x:c r="A1852" s="16" t="str">
        <x:v>RAW-01846</x:v>
      </x:c>
      <x:c r="B1852" s="16" t="str">
        <x:v>Recommendation</x:v>
      </x:c>
      <x:c r="C1852" s="16" t="str">
        <x:v>– Investigate steel interface.</x:v>
      </x:c>
      <x:c r="D1852" s="16" t="str">
        <x:v>Frame connections</x:v>
      </x:c>
      <x:c r="E1852" s="16" t="str">
        <x:v>SRC-100</x:v>
      </x:c>
      <x:c r="F1852" s="16" t="str">
        <x:v>REC-0106</x:v>
      </x:c>
      <x:c r="G1852" s="16" t="str">
        <x:v>正式报告</x:v>
      </x:c>
      <x:c r="H1852" s="19" t="n">
        <x:v>4</x:v>
      </x:c>
      <x:c r="I1852" s="19" t="n">
        <x:v>7</x:v>
      </x:c>
      <x:c r="J1852" s="19" t="n">
        <x:v>1</x:v>
      </x:c>
      <x:c r="K1852" s="16" t="str">
        <x:v>7. Very severe deterioration</x:v>
      </x:c>
      <x:c r="L1852" s="16" t="str">
        <x:v>Very likely</x:v>
      </x:c>
      <x:c r="M1852" s="16" t="str">
        <x:v>Significant</x:v>
      </x:c>
      <x:c r="N1852" s="16" t="str">
        <x:v>Urgent</x:v>
      </x:c>
    </x:row>
    <x:row r="1853" ht="37" customHeight="1">
      <x:c r="A1853" s="16" t="str">
        <x:v>RAW-01847</x:v>
      </x:c>
      <x:c r="B1853" s="16" t="str">
        <x:v>Observation</x:v>
      </x:c>
      <x:c r="C1853" s="16" t="str">
        <x:v>– Row 3 Column 2 and 3. Flaking corrosion at connection.</x:v>
      </x:c>
      <x:c r="D1853" s="16" t="str">
        <x:v>Frame connections</x:v>
      </x:c>
      <x:c r="E1853" s="16" t="str">
        <x:v>SRC-100</x:v>
      </x:c>
      <x:c r="F1853" s="16" t="str">
        <x:v>OBS-0537</x:v>
      </x:c>
      <x:c r="G1853" s="16" t="str">
        <x:v>正式报告</x:v>
      </x:c>
      <x:c r="H1853" s="19" t="n">
        <x:v>4</x:v>
      </x:c>
      <x:c r="I1853" s="19" t="n">
        <x:v>8</x:v>
      </x:c>
      <x:c r="J1853" s="19" t="n">
        <x:v>1</x:v>
      </x:c>
      <x:c r="K1853" s="16" t="str">
        <x:v>7. Very severe deterioration</x:v>
      </x:c>
      <x:c r="L1853" s="16" t="str">
        <x:v>Very likely</x:v>
      </x:c>
      <x:c r="M1853" s="16" t="str">
        <x:v>Significant</x:v>
      </x:c>
      <x:c r="N1853" s="16" t="str">
        <x:v>Urgent</x:v>
      </x:c>
    </x:row>
    <x:row r="1854" ht="37" customHeight="1">
      <x:c r="A1854" s="16" t="str">
        <x:v>RAW-01848</x:v>
      </x:c>
      <x:c r="B1854" s="16" t="str">
        <x:v>Recommendation</x:v>
      </x:c>
      <x:c r="C1854" s="16" t="str">
        <x:v>– Remove the rust and investigate steel interface.</x:v>
      </x:c>
      <x:c r="D1854" s="16" t="str">
        <x:v>Frame connections</x:v>
      </x:c>
      <x:c r="E1854" s="16" t="str">
        <x:v>SRC-100</x:v>
      </x:c>
      <x:c r="F1854" s="16" t="str">
        <x:v>REC-0037</x:v>
      </x:c>
      <x:c r="G1854" s="16" t="str">
        <x:v>正式报告</x:v>
      </x:c>
      <x:c r="H1854" s="19" t="n">
        <x:v>4</x:v>
      </x:c>
      <x:c r="I1854" s="19" t="n">
        <x:v>8</x:v>
      </x:c>
      <x:c r="J1854" s="19" t="n">
        <x:v>1</x:v>
      </x:c>
      <x:c r="K1854" s="16" t="str">
        <x:v>7. Very severe deterioration</x:v>
      </x:c>
      <x:c r="L1854" s="16" t="str">
        <x:v>Very likely</x:v>
      </x:c>
      <x:c r="M1854" s="16" t="str">
        <x:v>Significant</x:v>
      </x:c>
      <x:c r="N1854" s="16" t="str">
        <x:v>Urgent</x:v>
      </x:c>
    </x:row>
    <x:row r="1855" ht="37" customHeight="1">
      <x:c r="A1855" s="16" t="str">
        <x:v>RAW-01849</x:v>
      </x:c>
      <x:c r="B1855" s="16" t="str">
        <x:v>Observation</x:v>
      </x:c>
      <x:c r="C1855" s="16" t="str">
        <x:v>–Corrosion delamination on all purlins.</x:v>
      </x:c>
      <x:c r="D1855" s="16" t="str">
        <x:v>Purlins and rafters</x:v>
      </x:c>
      <x:c r="E1855" s="16" t="str">
        <x:v>SRC-100</x:v>
      </x:c>
      <x:c r="F1855" s="16" t="str">
        <x:v>OBS-0226</x:v>
      </x:c>
      <x:c r="G1855" s="16" t="str">
        <x:v>正式报告</x:v>
      </x:c>
      <x:c r="H1855" s="19" t="n">
        <x:v>5</x:v>
      </x:c>
      <x:c r="I1855" s="19" t="n">
        <x:v>6</x:v>
      </x:c>
      <x:c r="J1855" s="19" t="n">
        <x:v>3</x:v>
      </x:c>
      <x:c r="K1855" s="16" t="str">
        <x:v>5. Major deterioration</x:v>
      </x:c>
      <x:c r="L1855" s="16" t="str">
        <x:v>Likely</x:v>
      </x:c>
      <x:c r="M1855" s="16" t="str">
        <x:v>Significant</x:v>
      </x:c>
      <x:c r="N1855" s="16" t="str">
        <x:v>Critical</x:v>
      </x:c>
    </x:row>
    <x:row r="1856" ht="37" customHeight="1">
      <x:c r="A1856" s="16" t="str">
        <x:v>RAW-01850</x:v>
      </x:c>
      <x:c r="B1856" s="16" t="str">
        <x:v>Recommendation</x:v>
      </x:c>
      <x:c r="C1856" s="16" t="str">
        <x:v>– Clean, remove corrosion and repaint.</x:v>
      </x:c>
      <x:c r="D1856" s="16" t="str">
        <x:v>Purlins and rafters</x:v>
      </x:c>
      <x:c r="E1856" s="16" t="str">
        <x:v>SRC-100</x:v>
      </x:c>
      <x:c r="F1856" s="16" t="str">
        <x:v>REC-0002</x:v>
      </x:c>
      <x:c r="G1856" s="16" t="str">
        <x:v>正式报告</x:v>
      </x:c>
      <x:c r="H1856" s="19" t="n">
        <x:v>5</x:v>
      </x:c>
      <x:c r="I1856" s="19" t="n">
        <x:v>6</x:v>
      </x:c>
      <x:c r="J1856" s="19" t="n">
        <x:v>3</x:v>
      </x:c>
      <x:c r="K1856" s="16" t="str">
        <x:v>5. Major deterioration</x:v>
      </x:c>
      <x:c r="L1856" s="16" t="str">
        <x:v>Likely</x:v>
      </x:c>
      <x:c r="M1856" s="16" t="str">
        <x:v>Significant</x:v>
      </x:c>
      <x:c r="N1856" s="16" t="str">
        <x:v>Critical</x:v>
      </x:c>
    </x:row>
    <x:row r="1857" ht="37" customHeight="1">
      <x:c r="A1857" s="16" t="str">
        <x:v>RAW-01851</x:v>
      </x:c>
      <x:c r="B1857" s="16" t="str">
        <x:v>Observation</x:v>
      </x:c>
      <x:c r="C1857" s="16" t="str">
        <x:v>– Sign support frame.</x:v>
      </x:c>
      <x:c r="D1857" s="16" t="str">
        <x:v>Sign steel frame</x:v>
      </x:c>
      <x:c r="E1857" s="16" t="str">
        <x:v>SRC-100</x:v>
      </x:c>
      <x:c r="F1857" s="16" t="str">
        <x:v>OBS-0572</x:v>
      </x:c>
      <x:c r="G1857" s="16" t="str">
        <x:v>正式报告</x:v>
      </x:c>
      <x:c r="H1857" s="19" t="n">
        <x:v>6</x:v>
      </x:c>
      <x:c r="I1857" s="19" t="n">
        <x:v>6</x:v>
      </x:c>
      <x:c r="J1857" s="19" t="n">
        <x:v>1</x:v>
      </x:c>
      <x:c r="K1857" s="16" t="str">
        <x:v>3. Minor deterioration</x:v>
      </x:c>
      <x:c r="L1857" s="16" t="str">
        <x:v>Unlikely</x:v>
      </x:c>
      <x:c r="M1857" s="16" t="str">
        <x:v>Moderate</x:v>
      </x:c>
      <x:c r="N1857" s="16" t="str">
        <x:v>Moderate</x:v>
      </x:c>
    </x:row>
    <x:row r="1858" ht="37" customHeight="1">
      <x:c r="A1858" s="16" t="str">
        <x:v>RAW-01852</x:v>
      </x:c>
      <x:c r="B1858" s="16" t="str">
        <x:v>Observation</x:v>
      </x:c>
      <x:c r="C1858" s="16" t="str">
        <x:v>– Minor corrosion towards lower section of column.</x:v>
      </x:c>
      <x:c r="D1858" s="16" t="str">
        <x:v>Sign steel frame</x:v>
      </x:c>
      <x:c r="E1858" s="16" t="str">
        <x:v>SRC-100</x:v>
      </x:c>
      <x:c r="F1858" s="16" t="str">
        <x:v>OBS-0067</x:v>
      </x:c>
      <x:c r="G1858" s="16" t="str">
        <x:v>正式报告</x:v>
      </x:c>
      <x:c r="H1858" s="19" t="n">
        <x:v>6</x:v>
      </x:c>
      <x:c r="I1858" s="19" t="n">
        <x:v>7</x:v>
      </x:c>
      <x:c r="J1858" s="19" t="n">
        <x:v>1</x:v>
      </x:c>
      <x:c r="K1858" s="16" t="str">
        <x:v>3. Minor deterioration</x:v>
      </x:c>
      <x:c r="L1858" s="16" t="str">
        <x:v>Unlikely</x:v>
      </x:c>
      <x:c r="M1858" s="16" t="str">
        <x:v>Moderate</x:v>
      </x:c>
      <x:c r="N1858" s="16" t="str">
        <x:v>Moderate</x:v>
      </x:c>
    </x:row>
    <x:row r="1859" ht="37" customHeight="1">
      <x:c r="A1859" s="16" t="str">
        <x:v>RAW-01853</x:v>
      </x:c>
      <x:c r="B1859" s="16" t="str">
        <x:v>Recommendation</x:v>
      </x:c>
      <x:c r="C1859" s="16" t="str">
        <x:v>– Clean, remove corrosion and repaint. If most of the steel has rusted, then replacement is required.</x:v>
      </x:c>
      <x:c r="D1859" s="16" t="str">
        <x:v>Sign steel frame</x:v>
      </x:c>
      <x:c r="E1859" s="16" t="str">
        <x:v>SRC-100</x:v>
      </x:c>
      <x:c r="F1859" s="16" t="str">
        <x:v>REC-0066</x:v>
      </x:c>
      <x:c r="G1859" s="16" t="str">
        <x:v>正式报告</x:v>
      </x:c>
      <x:c r="H1859" s="19" t="n">
        <x:v>6</x:v>
      </x:c>
      <x:c r="I1859" s="19" t="n">
        <x:v>7</x:v>
      </x:c>
      <x:c r="J1859" s="19" t="n">
        <x:v>1</x:v>
      </x:c>
      <x:c r="K1859" s="16" t="str">
        <x:v>3. Minor deterioration</x:v>
      </x:c>
      <x:c r="L1859" s="16" t="str">
        <x:v>Unlikely</x:v>
      </x:c>
      <x:c r="M1859" s="16" t="str">
        <x:v>Moderate</x:v>
      </x:c>
      <x:c r="N1859" s="16" t="str">
        <x:v>Moderate</x:v>
      </x:c>
    </x:row>
    <x:row r="1860" ht="37" customHeight="1">
      <x:c r="A1860" s="16" t="str">
        <x:v>RAW-01854</x:v>
      </x:c>
      <x:c r="B1860" s="16" t="str">
        <x:v>Observation</x:v>
      </x:c>
      <x:c r="C1860" s="16" t="str">
        <x:v>– Minor corrosion towards lower section of column.</x:v>
      </x:c>
      <x:c r="D1860" s="16" t="str">
        <x:v>Sign steel frame</x:v>
      </x:c>
      <x:c r="E1860" s="16" t="str">
        <x:v>SRC-100</x:v>
      </x:c>
      <x:c r="F1860" s="16" t="str">
        <x:v>OBS-0067</x:v>
      </x:c>
      <x:c r="G1860" s="16" t="str">
        <x:v>正式报告</x:v>
      </x:c>
      <x:c r="H1860" s="19" t="n">
        <x:v>6</x:v>
      </x:c>
      <x:c r="I1860" s="19" t="n">
        <x:v>8</x:v>
      </x:c>
      <x:c r="J1860" s="19" t="n">
        <x:v>1</x:v>
      </x:c>
      <x:c r="K1860" s="16" t="str">
        <x:v>3. Minor deterioration</x:v>
      </x:c>
      <x:c r="L1860" s="16" t="str">
        <x:v>Unlikely</x:v>
      </x:c>
      <x:c r="M1860" s="16" t="str">
        <x:v>Moderate</x:v>
      </x:c>
      <x:c r="N1860" s="16" t="str">
        <x:v>Moderate</x:v>
      </x:c>
    </x:row>
    <x:row r="1861" ht="37" customHeight="1">
      <x:c r="A1861" s="16" t="str">
        <x:v>RAW-01855</x:v>
      </x:c>
      <x:c r="B1861" s="16" t="str">
        <x:v>Recommendation</x:v>
      </x:c>
      <x:c r="C1861" s="16" t="str">
        <x:v>– Clean, remove corrosion and repaint.</x:v>
      </x:c>
      <x:c r="D1861" s="16" t="str">
        <x:v>Sign steel frame</x:v>
      </x:c>
      <x:c r="E1861" s="16" t="str">
        <x:v>SRC-100</x:v>
      </x:c>
      <x:c r="F1861" s="16" t="str">
        <x:v>REC-0002</x:v>
      </x:c>
      <x:c r="G1861" s="16" t="str">
        <x:v>正式报告</x:v>
      </x:c>
      <x:c r="H1861" s="19" t="n">
        <x:v>6</x:v>
      </x:c>
      <x:c r="I1861" s="19" t="n">
        <x:v>8</x:v>
      </x:c>
      <x:c r="J1861" s="19" t="n">
        <x:v>1</x:v>
      </x:c>
      <x:c r="K1861" s="16" t="str">
        <x:v>3. Minor deterioration</x:v>
      </x:c>
      <x:c r="L1861" s="16" t="str">
        <x:v>Unlikely</x:v>
      </x:c>
      <x:c r="M1861" s="16" t="str">
        <x:v>Moderate</x:v>
      </x:c>
      <x:c r="N1861" s="16" t="str">
        <x:v>Moderate</x:v>
      </x:c>
    </x:row>
    <x:row r="1862" ht="37" customHeight="1">
      <x:c r="A1862" s="16" t="str">
        <x:v>RAW-01856</x:v>
      </x:c>
      <x:c r="B1862" s="16" t="str">
        <x:v>Observation</x:v>
      </x:c>
      <x:c r="C1862" s="16" t="str">
        <x:v>– Photo frame secured to steel frame.</x:v>
      </x:c>
      <x:c r="D1862" s="16" t="str">
        <x:v>Photo frame support</x:v>
      </x:c>
      <x:c r="E1862" s="16" t="str">
        <x:v>SRC-100</x:v>
      </x:c>
      <x:c r="F1862" s="16" t="str">
        <x:v>OBS-0451</x:v>
      </x:c>
      <x:c r="G1862" s="16" t="str">
        <x:v>正式报告</x:v>
      </x:c>
      <x:c r="H1862" s="19" t="n">
        <x:v>7</x:v>
      </x:c>
      <x:c r="I1862" s="19" t="n">
        <x:v>6</x:v>
      </x:c>
      <x:c r="J1862" s="19" t="n">
        <x:v>1</x:v>
      </x:c>
      <x:c r="K1862" s="16" t="str">
        <x:v>3. Minor deterioration</x:v>
      </x:c>
      <x:c r="L1862" s="16" t="str">
        <x:v>Unlikely</x:v>
      </x:c>
      <x:c r="M1862" s="16" t="str">
        <x:v>Minor</x:v>
      </x:c>
      <x:c r="N1862" s="16" t="str">
        <x:v>Low</x:v>
      </x:c>
    </x:row>
    <x:row r="1863" ht="37" customHeight="1">
      <x:c r="A1863" s="16" t="str">
        <x:v>RAW-01857</x:v>
      </x:c>
      <x:c r="B1863" s="16" t="str">
        <x:v>Recommendation</x:v>
      </x:c>
      <x:c r="C1863" s="16" t="str">
        <x:v>– Clean, remove corrosion and repaint.</x:v>
      </x:c>
      <x:c r="D1863" s="16" t="str">
        <x:v>Photo frame support</x:v>
      </x:c>
      <x:c r="E1863" s="16" t="str">
        <x:v>SRC-100</x:v>
      </x:c>
      <x:c r="F1863" s="16" t="str">
        <x:v>REC-0002</x:v>
      </x:c>
      <x:c r="G1863" s="16" t="str">
        <x:v>正式报告</x:v>
      </x:c>
      <x:c r="H1863" s="19" t="n">
        <x:v>7</x:v>
      </x:c>
      <x:c r="I1863" s="19" t="n">
        <x:v>6</x:v>
      </x:c>
      <x:c r="J1863" s="19" t="n">
        <x:v>1</x:v>
      </x:c>
      <x:c r="K1863" s="16" t="str">
        <x:v>3. Minor deterioration</x:v>
      </x:c>
      <x:c r="L1863" s="16" t="str">
        <x:v>Unlikely</x:v>
      </x:c>
      <x:c r="M1863" s="16" t="str">
        <x:v>Minor</x:v>
      </x:c>
      <x:c r="N1863" s="16" t="str">
        <x:v>Low</x:v>
      </x:c>
    </x:row>
    <x:row r="1864" ht="37" customHeight="1">
      <x:c r="A1864" s="16" t="str">
        <x:v>RAW-01858</x:v>
      </x:c>
      <x:c r="B1864" s="16" t="str">
        <x:v>Observation</x:v>
      </x:c>
      <x:c r="C1864" s="16" t="str">
        <x:v>– Minor and severe corrosion at end plate connections.</x:v>
      </x:c>
      <x:c r="D1864" s="16" t="str">
        <x:v>Photo frame support</x:v>
      </x:c>
      <x:c r="E1864" s="16" t="str">
        <x:v>SRC-100</x:v>
      </x:c>
      <x:c r="F1864" s="16" t="str">
        <x:v>OBS-0376</x:v>
      </x:c>
      <x:c r="G1864" s="16" t="str">
        <x:v>正式报告</x:v>
      </x:c>
      <x:c r="H1864" s="19" t="n">
        <x:v>7</x:v>
      </x:c>
      <x:c r="I1864" s="19" t="n">
        <x:v>7</x:v>
      </x:c>
      <x:c r="J1864" s="19" t="n">
        <x:v>2</x:v>
      </x:c>
      <x:c r="K1864" s="16" t="str">
        <x:v>3. Minor deterioration</x:v>
      </x:c>
      <x:c r="L1864" s="16" t="str">
        <x:v>Unlikely</x:v>
      </x:c>
      <x:c r="M1864" s="16" t="str">
        <x:v>Minor</x:v>
      </x:c>
      <x:c r="N1864" s="16" t="str">
        <x:v>Low</x:v>
      </x:c>
    </x:row>
    <x:row r="1865" ht="41" customHeight="1">
      <x:c r="A1865" s="16" t="str">
        <x:v>RAW-01859</x:v>
      </x:c>
      <x:c r="B1865" s="16" t="str">
        <x:v>Recommendation</x:v>
      </x:c>
      <x:c r="C1865" s="16" t="str">
        <x:v>– Clean, remove corrosion and repaint for those with minor corrosion. Replace the connection plate and bolts for those with severe corrosion.</x:v>
      </x:c>
      <x:c r="D1865" s="16" t="str">
        <x:v>Photo frame support</x:v>
      </x:c>
      <x:c r="E1865" s="16" t="str">
        <x:v>SRC-100</x:v>
      </x:c>
      <x:c r="F1865" s="16" t="str">
        <x:v>REC-0063</x:v>
      </x:c>
      <x:c r="G1865" s="16" t="str">
        <x:v>正式报告</x:v>
      </x:c>
      <x:c r="H1865" s="19" t="n">
        <x:v>7</x:v>
      </x:c>
      <x:c r="I1865" s="19" t="n">
        <x:v>7</x:v>
      </x:c>
      <x:c r="J1865" s="19" t="n">
        <x:v>2</x:v>
      </x:c>
      <x:c r="K1865" s="16" t="str">
        <x:v>3. Minor deterioration</x:v>
      </x:c>
      <x:c r="L1865" s="16" t="str">
        <x:v>Unlikely</x:v>
      </x:c>
      <x:c r="M1865" s="16" t="str">
        <x:v>Minor</x:v>
      </x:c>
      <x:c r="N1865" s="16" t="str">
        <x:v>Low</x:v>
      </x:c>
    </x:row>
    <x:row r="1866" ht="37" customHeight="1">
      <x:c r="A1866" s="16" t="str">
        <x:v>RAW-01860</x:v>
      </x:c>
      <x:c r="B1866" s="16" t="str">
        <x:v>Observation</x:v>
      </x:c>
      <x:c r="C1866" s="16" t="str">
        <x:v>– Walkway in good condition with local minor corrosion.</x:v>
      </x:c>
      <x:c r="D1866" s="16" t="str">
        <x:v>Walkway</x:v>
      </x:c>
      <x:c r="E1866" s="16" t="str">
        <x:v>SRC-100</x:v>
      </x:c>
      <x:c r="F1866" s="16" t="str">
        <x:v>OBS-0018</x:v>
      </x:c>
      <x:c r="G1866" s="16" t="str">
        <x:v>正式报告</x:v>
      </x:c>
      <x:c r="H1866" s="19" t="n">
        <x:v>8</x:v>
      </x:c>
      <x:c r="I1866" s="19" t="n">
        <x:v>6</x:v>
      </x:c>
      <x:c r="J1866" s="19" t="n">
        <x:v>1</x:v>
      </x:c>
      <x:c r="K1866" s="16" t="str">
        <x:v>2. New with slight deterioration</x:v>
      </x:c>
      <x:c r="L1866" s="16" t="str">
        <x:v>Unlikely</x:v>
      </x:c>
      <x:c r="M1866" s="16" t="str">
        <x:v>Moderate</x:v>
      </x:c>
      <x:c r="N1866" s="16" t="str">
        <x:v>Low</x:v>
      </x:c>
    </x:row>
    <x:row r="1867" ht="37" customHeight="1">
      <x:c r="A1867" s="16" t="str">
        <x:v>RAW-01861</x:v>
      </x:c>
      <x:c r="B1867" s="16" t="str">
        <x:v>Recommendation</x:v>
      </x:c>
      <x:c r="C1867" s="16" t="str">
        <x:v>– Clean, remove corrosion and repaint.</x:v>
      </x:c>
      <x:c r="D1867" s="16" t="str">
        <x:v>Walkway</x:v>
      </x:c>
      <x:c r="E1867" s="16" t="str">
        <x:v>SRC-100</x:v>
      </x:c>
      <x:c r="F1867" s="16" t="str">
        <x:v>REC-0002</x:v>
      </x:c>
      <x:c r="G1867" s="16" t="str">
        <x:v>正式报告</x:v>
      </x:c>
      <x:c r="H1867" s="19" t="n">
        <x:v>8</x:v>
      </x:c>
      <x:c r="I1867" s="19" t="n">
        <x:v>6</x:v>
      </x:c>
      <x:c r="J1867" s="19" t="n">
        <x:v>1</x:v>
      </x:c>
      <x:c r="K1867" s="16" t="str">
        <x:v>2. New with slight deterioration</x:v>
      </x:c>
      <x:c r="L1867" s="16" t="str">
        <x:v>Unlikely</x:v>
      </x:c>
      <x:c r="M1867" s="16" t="str">
        <x:v>Moderate</x:v>
      </x:c>
      <x:c r="N1867" s="16" t="str">
        <x:v>Low</x:v>
      </x:c>
    </x:row>
    <x:row r="1868" ht="37" customHeight="1">
      <x:c r="A1868" s="16" t="str">
        <x:v>RAW-01862</x:v>
      </x:c>
      <x:c r="B1868" s="16" t="str">
        <x:v>Observation</x:v>
      </x:c>
      <x:c r="C1868" s="16" t="str">
        <x:v>– Walkway in good condition with local minor corrosion.</x:v>
      </x:c>
      <x:c r="D1868" s="16" t="str">
        <x:v>Walkway</x:v>
      </x:c>
      <x:c r="E1868" s="16" t="str">
        <x:v>SRC-100</x:v>
      </x:c>
      <x:c r="F1868" s="16" t="str">
        <x:v>OBS-0018</x:v>
      </x:c>
      <x:c r="G1868" s="16" t="str">
        <x:v>正式报告</x:v>
      </x:c>
      <x:c r="H1868" s="19" t="n">
        <x:v>8</x:v>
      </x:c>
      <x:c r="I1868" s="19" t="n">
        <x:v>7</x:v>
      </x:c>
      <x:c r="J1868" s="19" t="n">
        <x:v>1</x:v>
      </x:c>
      <x:c r="K1868" s="16" t="str">
        <x:v>2. New with slight deterioration</x:v>
      </x:c>
      <x:c r="L1868" s="16" t="str">
        <x:v>Unlikely</x:v>
      </x:c>
      <x:c r="M1868" s="16" t="str">
        <x:v>Moderate</x:v>
      </x:c>
      <x:c r="N1868" s="16" t="str">
        <x:v>Low</x:v>
      </x:c>
    </x:row>
    <x:row r="1869" ht="37" customHeight="1">
      <x:c r="A1869" s="16" t="str">
        <x:v>RAW-01863</x:v>
      </x:c>
      <x:c r="B1869" s="16" t="str">
        <x:v>Recommendation</x:v>
      </x:c>
      <x:c r="C1869" s="16" t="str">
        <x:v>– Clean, remove corrosion and repaint.</x:v>
      </x:c>
      <x:c r="D1869" s="16" t="str">
        <x:v>Walkway</x:v>
      </x:c>
      <x:c r="E1869" s="16" t="str">
        <x:v>SRC-100</x:v>
      </x:c>
      <x:c r="F1869" s="16" t="str">
        <x:v>REC-0002</x:v>
      </x:c>
      <x:c r="G1869" s="16" t="str">
        <x:v>正式报告</x:v>
      </x:c>
      <x:c r="H1869" s="19" t="n">
        <x:v>8</x:v>
      </x:c>
      <x:c r="I1869" s="19" t="n">
        <x:v>7</x:v>
      </x:c>
      <x:c r="J1869" s="19" t="n">
        <x:v>1</x:v>
      </x:c>
      <x:c r="K1869" s="16" t="str">
        <x:v>2. New with slight deterioration</x:v>
      </x:c>
      <x:c r="L1869" s="16" t="str">
        <x:v>Unlikely</x:v>
      </x:c>
      <x:c r="M1869" s="16" t="str">
        <x:v>Moderate</x:v>
      </x:c>
      <x:c r="N1869" s="16" t="str">
        <x:v>Low</x:v>
      </x:c>
    </x:row>
    <x:row r="1870" ht="37" customHeight="1">
      <x:c r="A1870" s="16" t="str">
        <x:v>RAW-01864</x:v>
      </x:c>
      <x:c r="B1870" s="16" t="str">
        <x:v>Observation</x:v>
      </x:c>
      <x:c r="C1870" s="16" t="str">
        <x:v>– Walkway in good condition with local minor corrosion.</x:v>
      </x:c>
      <x:c r="D1870" s="16" t="str">
        <x:v>Walkway</x:v>
      </x:c>
      <x:c r="E1870" s="16" t="str">
        <x:v>SRC-100</x:v>
      </x:c>
      <x:c r="F1870" s="16" t="str">
        <x:v>OBS-0018</x:v>
      </x:c>
      <x:c r="G1870" s="16" t="str">
        <x:v>正式报告</x:v>
      </x:c>
      <x:c r="H1870" s="19" t="n">
        <x:v>8</x:v>
      </x:c>
      <x:c r="I1870" s="19" t="n">
        <x:v>8</x:v>
      </x:c>
      <x:c r="J1870" s="19" t="n">
        <x:v>1</x:v>
      </x:c>
      <x:c r="K1870" s="16" t="str">
        <x:v>2. New with slight deterioration</x:v>
      </x:c>
      <x:c r="L1870" s="16" t="str">
        <x:v>Unlikely</x:v>
      </x:c>
      <x:c r="M1870" s="16" t="str">
        <x:v>Moderate</x:v>
      </x:c>
      <x:c r="N1870" s="16" t="str">
        <x:v>Low</x:v>
      </x:c>
    </x:row>
    <x:row r="1871" ht="37" customHeight="1">
      <x:c r="A1871" s="16" t="str">
        <x:v>RAW-01865</x:v>
      </x:c>
      <x:c r="B1871" s="16" t="str">
        <x:v>Recommendation</x:v>
      </x:c>
      <x:c r="C1871" s="16" t="str">
        <x:v>– Clean, remove corrosion and repaint.</x:v>
      </x:c>
      <x:c r="D1871" s="16" t="str">
        <x:v>Walkway</x:v>
      </x:c>
      <x:c r="E1871" s="16" t="str">
        <x:v>SRC-100</x:v>
      </x:c>
      <x:c r="F1871" s="16" t="str">
        <x:v>REC-0002</x:v>
      </x:c>
      <x:c r="G1871" s="16" t="str">
        <x:v>正式报告</x:v>
      </x:c>
      <x:c r="H1871" s="19" t="n">
        <x:v>8</x:v>
      </x:c>
      <x:c r="I1871" s="19" t="n">
        <x:v>8</x:v>
      </x:c>
      <x:c r="J1871" s="19" t="n">
        <x:v>1</x:v>
      </x:c>
      <x:c r="K1871" s="16" t="str">
        <x:v>2. New with slight deterioration</x:v>
      </x:c>
      <x:c r="L1871" s="16" t="str">
        <x:v>Unlikely</x:v>
      </x:c>
      <x:c r="M1871" s="16" t="str">
        <x:v>Moderate</x:v>
      </x:c>
      <x:c r="N1871" s="16" t="str">
        <x:v>Low</x:v>
      </x:c>
    </x:row>
    <x:row r="1872" ht="37" customHeight="1">
      <x:c r="A1872" s="16" t="str">
        <x:v>RAW-01866</x:v>
      </x:c>
      <x:c r="B1872" s="16" t="str">
        <x:v>Observation</x:v>
      </x:c>
      <x:c r="C1872" s="16" t="str">
        <x:v>– Walkway in good condition with local minor corrosion.</x:v>
      </x:c>
      <x:c r="D1872" s="16" t="str">
        <x:v>Walkway</x:v>
      </x:c>
      <x:c r="E1872" s="16" t="str">
        <x:v>SRC-100</x:v>
      </x:c>
      <x:c r="F1872" s="16" t="str">
        <x:v>OBS-0018</x:v>
      </x:c>
      <x:c r="G1872" s="16" t="str">
        <x:v>正式报告</x:v>
      </x:c>
      <x:c r="H1872" s="19" t="n">
        <x:v>8</x:v>
      </x:c>
      <x:c r="I1872" s="19" t="n">
        <x:v>9</x:v>
      </x:c>
      <x:c r="J1872" s="19" t="n">
        <x:v>1</x:v>
      </x:c>
      <x:c r="K1872" s="16" t="str">
        <x:v>2. New with slight deterioration</x:v>
      </x:c>
      <x:c r="L1872" s="16" t="str">
        <x:v>Unlikely</x:v>
      </x:c>
      <x:c r="M1872" s="16" t="str">
        <x:v>Moderate</x:v>
      </x:c>
      <x:c r="N1872" s="16" t="str">
        <x:v>Low</x:v>
      </x:c>
    </x:row>
    <x:row r="1873" ht="37" customHeight="1">
      <x:c r="A1873" s="16" t="str">
        <x:v>RAW-01867</x:v>
      </x:c>
      <x:c r="B1873" s="16" t="str">
        <x:v>Recommendation</x:v>
      </x:c>
      <x:c r="C1873" s="16" t="str">
        <x:v>– Clean, remove corrosion and repaint.</x:v>
      </x:c>
      <x:c r="D1873" s="16" t="str">
        <x:v>Walkway</x:v>
      </x:c>
      <x:c r="E1873" s="16" t="str">
        <x:v>SRC-100</x:v>
      </x:c>
      <x:c r="F1873" s="16" t="str">
        <x:v>REC-0002</x:v>
      </x:c>
      <x:c r="G1873" s="16" t="str">
        <x:v>正式报告</x:v>
      </x:c>
      <x:c r="H1873" s="19" t="n">
        <x:v>8</x:v>
      </x:c>
      <x:c r="I1873" s="19" t="n">
        <x:v>9</x:v>
      </x:c>
      <x:c r="J1873" s="19" t="n">
        <x:v>1</x:v>
      </x:c>
      <x:c r="K1873" s="16" t="str">
        <x:v>2. New with slight deterioration</x:v>
      </x:c>
      <x:c r="L1873" s="16" t="str">
        <x:v>Unlikely</x:v>
      </x:c>
      <x:c r="M1873" s="16" t="str">
        <x:v>Moderate</x:v>
      </x:c>
      <x:c r="N1873" s="16" t="str">
        <x:v>Low</x:v>
      </x:c>
    </x:row>
    <x:row r="1874" ht="37" customHeight="1">
      <x:c r="A1874" s="16" t="str">
        <x:v>RAW-01868</x:v>
      </x:c>
      <x:c r="B1874" s="16" t="str">
        <x:v>Observation</x:v>
      </x:c>
      <x:c r="C1874" s="16" t="str">
        <x:v>– Row numbers increasing with the length of the walkway. Columns numbered left to right</x:v>
      </x:c>
      <x:c r="D1874" s="16" t="str">
        <x:v>Steel frame columns</x:v>
      </x:c>
      <x:c r="E1874" s="16" t="str">
        <x:v>SRC-101</x:v>
      </x:c>
      <x:c r="F1874" s="16" t="str">
        <x:v>OBS-0544</x:v>
      </x:c>
      <x:c r="G1874" s="16" t="str">
        <x:v>审阅或辅助文档</x:v>
      </x:c>
      <x:c r="H1874" s="19" t="n">
        <x:v>3</x:v>
      </x:c>
      <x:c r="I1874" s="19" t="n">
        <x:v>6</x:v>
      </x:c>
      <x:c r="J1874" s="19" t="n">
        <x:v>1</x:v>
      </x:c>
      <x:c r="K1874" s="16" t="str">
        <x:v>7. Very severe deterioration</x:v>
      </x:c>
      <x:c r="L1874" s="16" t="str">
        <x:v>Very likely</x:v>
      </x:c>
      <x:c r="M1874" s="16" t="str">
        <x:v>Significant</x:v>
      </x:c>
      <x:c r="N1874" s="16" t="str">
        <x:v>Urgent</x:v>
      </x:c>
    </x:row>
    <x:row r="1875" ht="37" customHeight="1">
      <x:c r="A1875" s="16" t="str">
        <x:v>RAW-01869</x:v>
      </x:c>
      <x:c r="B1875" s="16" t="str">
        <x:v>Recommendation</x:v>
      </x:c>
      <x:c r="C1875" s="16" t="str">
        <x:v>– Replace column.</x:v>
      </x:c>
      <x:c r="D1875" s="16" t="str">
        <x:v>Steel frame columns</x:v>
      </x:c>
      <x:c r="E1875" s="16" t="str">
        <x:v>SRC-101</x:v>
      </x:c>
      <x:c r="F1875" s="16" t="str">
        <x:v>REC-0007</x:v>
      </x:c>
      <x:c r="G1875" s="16" t="str">
        <x:v>审阅或辅助文档</x:v>
      </x:c>
      <x:c r="H1875" s="19" t="n">
        <x:v>3</x:v>
      </x:c>
      <x:c r="I1875" s="19" t="n">
        <x:v>6</x:v>
      </x:c>
      <x:c r="J1875" s="19" t="n">
        <x:v>1</x:v>
      </x:c>
      <x:c r="K1875" s="16" t="str">
        <x:v>7. Very severe deterioration</x:v>
      </x:c>
      <x:c r="L1875" s="16" t="str">
        <x:v>Very likely</x:v>
      </x:c>
      <x:c r="M1875" s="16" t="str">
        <x:v>Significant</x:v>
      </x:c>
      <x:c r="N1875" s="16" t="str">
        <x:v>Urgent</x:v>
      </x:c>
    </x:row>
    <x:row r="1876" ht="41" customHeight="1">
      <x:c r="A1876" s="16" t="str">
        <x:v>RAW-01870</x:v>
      </x:c>
      <x:c r="B1876" s="16" t="str">
        <x:v>Observation</x:v>
      </x:c>
      <x:c r="C1876" s="16" t="str">
        <x:v>– Row 1 column 2. Most significant corrosion when compared to other columns. Multiple holes through the column. Column has failed.</x:v>
      </x:c>
      <x:c r="D1876" s="16" t="str">
        <x:v>Steel frame columns</x:v>
      </x:c>
      <x:c r="E1876" s="16" t="str">
        <x:v>SRC-101</x:v>
      </x:c>
      <x:c r="F1876" s="16" t="str"/>
      <x:c r="G1876" s="16" t="str">
        <x:v>审阅或辅助文档</x:v>
      </x:c>
      <x:c r="H1876" s="19" t="n">
        <x:v>3</x:v>
      </x:c>
      <x:c r="I1876" s="19" t="n">
        <x:v>7</x:v>
      </x:c>
      <x:c r="J1876" s="19" t="n">
        <x:v>1</x:v>
      </x:c>
      <x:c r="K1876" s="16" t="str">
        <x:v>7. Very severe deterioration</x:v>
      </x:c>
      <x:c r="L1876" s="16" t="str">
        <x:v>Very likely</x:v>
      </x:c>
      <x:c r="M1876" s="16" t="str">
        <x:v>Significant</x:v>
      </x:c>
      <x:c r="N1876" s="16" t="str">
        <x:v>Urgent</x:v>
      </x:c>
    </x:row>
    <x:row r="1877" ht="37" customHeight="1">
      <x:c r="A1877" s="16" t="str">
        <x:v>RAW-01871</x:v>
      </x:c>
      <x:c r="B1877" s="16" t="str">
        <x:v>Recommendation</x:v>
      </x:c>
      <x:c r="C1877" s="16" t="str">
        <x:v>– Replace column.</x:v>
      </x:c>
      <x:c r="D1877" s="16" t="str">
        <x:v>Steel frame columns</x:v>
      </x:c>
      <x:c r="E1877" s="16" t="str">
        <x:v>SRC-101</x:v>
      </x:c>
      <x:c r="F1877" s="16" t="str">
        <x:v>REC-0007</x:v>
      </x:c>
      <x:c r="G1877" s="16" t="str">
        <x:v>审阅或辅助文档</x:v>
      </x:c>
      <x:c r="H1877" s="19" t="n">
        <x:v>3</x:v>
      </x:c>
      <x:c r="I1877" s="19" t="n">
        <x:v>7</x:v>
      </x:c>
      <x:c r="J1877" s="19" t="n">
        <x:v>1</x:v>
      </x:c>
      <x:c r="K1877" s="16" t="str">
        <x:v>7. Very severe deterioration</x:v>
      </x:c>
      <x:c r="L1877" s="16" t="str">
        <x:v>Very likely</x:v>
      </x:c>
      <x:c r="M1877" s="16" t="str">
        <x:v>Significant</x:v>
      </x:c>
      <x:c r="N1877" s="16" t="str">
        <x:v>Urgent</x:v>
      </x:c>
    </x:row>
    <x:row r="1878" ht="41" customHeight="1">
      <x:c r="A1878" s="16" t="str">
        <x:v>RAW-01872</x:v>
      </x:c>
      <x:c r="B1878" s="16" t="str">
        <x:v>Observation</x:v>
      </x:c>
      <x:c r="C1878" s="16" t="str">
        <x:v>– Row 1 column 2. Most significant corrosion when compared to other columns. Multiple holes through the column. Column has failed.</x:v>
      </x:c>
      <x:c r="D1878" s="16" t="str">
        <x:v>Steel frame columns</x:v>
      </x:c>
      <x:c r="E1878" s="16" t="str">
        <x:v>SRC-101</x:v>
      </x:c>
      <x:c r="F1878" s="16" t="str"/>
      <x:c r="G1878" s="16" t="str">
        <x:v>审阅或辅助文档</x:v>
      </x:c>
      <x:c r="H1878" s="19" t="n">
        <x:v>3</x:v>
      </x:c>
      <x:c r="I1878" s="19" t="n">
        <x:v>8</x:v>
      </x:c>
      <x:c r="J1878" s="19" t="n">
        <x:v>1</x:v>
      </x:c>
      <x:c r="K1878" s="16" t="str">
        <x:v>7. Very severe deterioration</x:v>
      </x:c>
      <x:c r="L1878" s="16" t="str">
        <x:v>Very likely</x:v>
      </x:c>
      <x:c r="M1878" s="16" t="str">
        <x:v>Significant</x:v>
      </x:c>
      <x:c r="N1878" s="16" t="str">
        <x:v>Urgent</x:v>
      </x:c>
    </x:row>
    <x:row r="1879" ht="37" customHeight="1">
      <x:c r="A1879" s="16" t="str">
        <x:v>RAW-01873</x:v>
      </x:c>
      <x:c r="B1879" s="16" t="str">
        <x:v>Recommendation</x:v>
      </x:c>
      <x:c r="C1879" s="16" t="str">
        <x:v>– Replace column.</x:v>
      </x:c>
      <x:c r="D1879" s="16" t="str">
        <x:v>Steel frame columns</x:v>
      </x:c>
      <x:c r="E1879" s="16" t="str">
        <x:v>SRC-101</x:v>
      </x:c>
      <x:c r="F1879" s="16" t="str">
        <x:v>REC-0007</x:v>
      </x:c>
      <x:c r="G1879" s="16" t="str">
        <x:v>审阅或辅助文档</x:v>
      </x:c>
      <x:c r="H1879" s="19" t="n">
        <x:v>3</x:v>
      </x:c>
      <x:c r="I1879" s="19" t="n">
        <x:v>8</x:v>
      </x:c>
      <x:c r="J1879" s="19" t="n">
        <x:v>1</x:v>
      </x:c>
      <x:c r="K1879" s="16" t="str">
        <x:v>7. Very severe deterioration</x:v>
      </x:c>
      <x:c r="L1879" s="16" t="str">
        <x:v>Very likely</x:v>
      </x:c>
      <x:c r="M1879" s="16" t="str">
        <x:v>Significant</x:v>
      </x:c>
      <x:c r="N1879" s="16" t="str">
        <x:v>Urgent</x:v>
      </x:c>
    </x:row>
    <x:row r="1880" ht="37" customHeight="1">
      <x:c r="A1880" s="16" t="str">
        <x:v>RAW-01874</x:v>
      </x:c>
      <x:c r="B1880" s="16" t="str">
        <x:v>Observation</x:v>
      </x:c>
      <x:c r="C1880" s="16" t="str">
        <x:v>– Row 2 column 3. Blistering corrosion and small holes.</x:v>
      </x:c>
      <x:c r="D1880" s="16" t="str">
        <x:v>Steel frame columns</x:v>
      </x:c>
      <x:c r="E1880" s="16" t="str">
        <x:v>SRC-101</x:v>
      </x:c>
      <x:c r="F1880" s="16" t="str"/>
      <x:c r="G1880" s="16" t="str">
        <x:v>审阅或辅助文档</x:v>
      </x:c>
      <x:c r="H1880" s="19" t="n">
        <x:v>3</x:v>
      </x:c>
      <x:c r="I1880" s="19" t="n">
        <x:v>9</x:v>
      </x:c>
      <x:c r="J1880" s="19" t="n">
        <x:v>1</x:v>
      </x:c>
      <x:c r="K1880" s="16" t="str">
        <x:v>7. Very severe deterioration</x:v>
      </x:c>
      <x:c r="L1880" s="16" t="str">
        <x:v>Very likely</x:v>
      </x:c>
      <x:c r="M1880" s="16" t="str">
        <x:v>Significant</x:v>
      </x:c>
      <x:c r="N1880" s="16" t="str">
        <x:v>Urgent</x:v>
      </x:c>
    </x:row>
    <x:row r="1881" ht="37" customHeight="1">
      <x:c r="A1881" s="16" t="str">
        <x:v>RAW-01875</x:v>
      </x:c>
      <x:c r="B1881" s="16" t="str">
        <x:v>Recommendation</x:v>
      </x:c>
      <x:c r="C1881" s="16" t="str">
        <x:v>– Replace column.</x:v>
      </x:c>
      <x:c r="D1881" s="16" t="str">
        <x:v>Steel frame columns</x:v>
      </x:c>
      <x:c r="E1881" s="16" t="str">
        <x:v>SRC-101</x:v>
      </x:c>
      <x:c r="F1881" s="16" t="str">
        <x:v>REC-0007</x:v>
      </x:c>
      <x:c r="G1881" s="16" t="str">
        <x:v>审阅或辅助文档</x:v>
      </x:c>
      <x:c r="H1881" s="19" t="n">
        <x:v>3</x:v>
      </x:c>
      <x:c r="I1881" s="19" t="n">
        <x:v>9</x:v>
      </x:c>
      <x:c r="J1881" s="19" t="n">
        <x:v>1</x:v>
      </x:c>
      <x:c r="K1881" s="16" t="str">
        <x:v>7. Very severe deterioration</x:v>
      </x:c>
      <x:c r="L1881" s="16" t="str">
        <x:v>Very likely</x:v>
      </x:c>
      <x:c r="M1881" s="16" t="str">
        <x:v>Significant</x:v>
      </x:c>
      <x:c r="N1881" s="16" t="str">
        <x:v>Urgent</x:v>
      </x:c>
    </x:row>
    <x:row r="1882" ht="37" customHeight="1">
      <x:c r="A1882" s="16" t="str">
        <x:v>RAW-01876</x:v>
      </x:c>
      <x:c r="B1882" s="16" t="str">
        <x:v>Observation</x:v>
      </x:c>
      <x:c r="C1882" s="16" t="str">
        <x:v>– Row 2 column 1. Blistering corrosion and small holes towards the lower section.</x:v>
      </x:c>
      <x:c r="D1882" s="16" t="str">
        <x:v>Steel frame columns</x:v>
      </x:c>
      <x:c r="E1882" s="16" t="str">
        <x:v>SRC-101</x:v>
      </x:c>
      <x:c r="F1882" s="16" t="str">
        <x:v>OBS-0532</x:v>
      </x:c>
      <x:c r="G1882" s="16" t="str">
        <x:v>审阅或辅助文档</x:v>
      </x:c>
      <x:c r="H1882" s="19" t="n">
        <x:v>3</x:v>
      </x:c>
      <x:c r="I1882" s="19" t="n">
        <x:v>10</x:v>
      </x:c>
      <x:c r="J1882" s="19" t="n">
        <x:v>1</x:v>
      </x:c>
      <x:c r="K1882" s="16" t="str">
        <x:v>7. Very severe deterioration</x:v>
      </x:c>
      <x:c r="L1882" s="16" t="str">
        <x:v>Very likely</x:v>
      </x:c>
      <x:c r="M1882" s="16" t="str">
        <x:v>Significant</x:v>
      </x:c>
      <x:c r="N1882" s="16" t="str">
        <x:v>Urgent</x:v>
      </x:c>
    </x:row>
    <x:row r="1883" ht="37" customHeight="1">
      <x:c r="A1883" s="16" t="str">
        <x:v>RAW-01877</x:v>
      </x:c>
      <x:c r="B1883" s="16" t="str">
        <x:v>Recommendation</x:v>
      </x:c>
      <x:c r="C1883" s="16" t="str">
        <x:v>– Replace column.</x:v>
      </x:c>
      <x:c r="D1883" s="16" t="str">
        <x:v>Steel frame columns</x:v>
      </x:c>
      <x:c r="E1883" s="16" t="str">
        <x:v>SRC-101</x:v>
      </x:c>
      <x:c r="F1883" s="16" t="str">
        <x:v>REC-0007</x:v>
      </x:c>
      <x:c r="G1883" s="16" t="str">
        <x:v>审阅或辅助文档</x:v>
      </x:c>
      <x:c r="H1883" s="19" t="n">
        <x:v>3</x:v>
      </x:c>
      <x:c r="I1883" s="19" t="n">
        <x:v>10</x:v>
      </x:c>
      <x:c r="J1883" s="19" t="n">
        <x:v>1</x:v>
      </x:c>
      <x:c r="K1883" s="16" t="str">
        <x:v>7. Very severe deterioration</x:v>
      </x:c>
      <x:c r="L1883" s="16" t="str">
        <x:v>Very likely</x:v>
      </x:c>
      <x:c r="M1883" s="16" t="str">
        <x:v>Significant</x:v>
      </x:c>
      <x:c r="N1883" s="16" t="str">
        <x:v>Urgent</x:v>
      </x:c>
    </x:row>
    <x:row r="1884" ht="37" customHeight="1">
      <x:c r="A1884" s="16" t="str">
        <x:v>RAW-01878</x:v>
      </x:c>
      <x:c r="B1884" s="16" t="str">
        <x:v>Observation</x:v>
      </x:c>
      <x:c r="C1884" s="16" t="str">
        <x:v>– Row 3 Column 1. Blistering corrosion and holes.</x:v>
      </x:c>
      <x:c r="D1884" s="16" t="str">
        <x:v>Steel frame columns</x:v>
      </x:c>
      <x:c r="E1884" s="16" t="str">
        <x:v>SRC-101</x:v>
      </x:c>
      <x:c r="F1884" s="16" t="str">
        <x:v>OBS-0534</x:v>
      </x:c>
      <x:c r="G1884" s="16" t="str">
        <x:v>审阅或辅助文档</x:v>
      </x:c>
      <x:c r="H1884" s="19" t="n">
        <x:v>3</x:v>
      </x:c>
      <x:c r="I1884" s="19" t="n">
        <x:v>11</x:v>
      </x:c>
      <x:c r="J1884" s="19" t="n">
        <x:v>1</x:v>
      </x:c>
      <x:c r="K1884" s="16" t="str">
        <x:v>7. Very severe deterioration</x:v>
      </x:c>
      <x:c r="L1884" s="16" t="str">
        <x:v>Very likely</x:v>
      </x:c>
      <x:c r="M1884" s="16" t="str">
        <x:v>Significant</x:v>
      </x:c>
      <x:c r="N1884" s="16" t="str">
        <x:v>Urgent</x:v>
      </x:c>
    </x:row>
    <x:row r="1885" ht="37" customHeight="1">
      <x:c r="A1885" s="16" t="str">
        <x:v>RAW-01879</x:v>
      </x:c>
      <x:c r="B1885" s="16" t="str">
        <x:v>Recommendation</x:v>
      </x:c>
      <x:c r="C1885" s="16" t="str">
        <x:v>– Replace column.</x:v>
      </x:c>
      <x:c r="D1885" s="16" t="str">
        <x:v>Steel frame columns</x:v>
      </x:c>
      <x:c r="E1885" s="16" t="str">
        <x:v>SRC-101</x:v>
      </x:c>
      <x:c r="F1885" s="16" t="str">
        <x:v>REC-0007</x:v>
      </x:c>
      <x:c r="G1885" s="16" t="str">
        <x:v>审阅或辅助文档</x:v>
      </x:c>
      <x:c r="H1885" s="19" t="n">
        <x:v>3</x:v>
      </x:c>
      <x:c r="I1885" s="19" t="n">
        <x:v>11</x:v>
      </x:c>
      <x:c r="J1885" s="19" t="n">
        <x:v>1</x:v>
      </x:c>
      <x:c r="K1885" s="16" t="str">
        <x:v>7. Very severe deterioration</x:v>
      </x:c>
      <x:c r="L1885" s="16" t="str">
        <x:v>Very likely</x:v>
      </x:c>
      <x:c r="M1885" s="16" t="str">
        <x:v>Significant</x:v>
      </x:c>
      <x:c r="N1885" s="16" t="str">
        <x:v>Urgent</x:v>
      </x:c>
    </x:row>
    <x:row r="1886" ht="37" customHeight="1">
      <x:c r="A1886" s="16" t="str">
        <x:v>RAW-01880</x:v>
      </x:c>
      <x:c r="B1886" s="16" t="str">
        <x:v>Observation</x:v>
      </x:c>
      <x:c r="C1886" s="16" t="str">
        <x:v>– Row 3 Column 1. Blistering corrosion and holes.</x:v>
      </x:c>
      <x:c r="D1886" s="16" t="str">
        <x:v>Steel frame columns</x:v>
      </x:c>
      <x:c r="E1886" s="16" t="str">
        <x:v>SRC-101</x:v>
      </x:c>
      <x:c r="F1886" s="16" t="str">
        <x:v>OBS-0534</x:v>
      </x:c>
      <x:c r="G1886" s="16" t="str">
        <x:v>审阅或辅助文档</x:v>
      </x:c>
      <x:c r="H1886" s="19" t="n">
        <x:v>3</x:v>
      </x:c>
      <x:c r="I1886" s="19" t="n">
        <x:v>12</x:v>
      </x:c>
      <x:c r="J1886" s="19" t="n">
        <x:v>1</x:v>
      </x:c>
      <x:c r="K1886" s="16" t="str">
        <x:v>7. Very severe deterioration</x:v>
      </x:c>
      <x:c r="L1886" s="16" t="str">
        <x:v>Very likely</x:v>
      </x:c>
      <x:c r="M1886" s="16" t="str">
        <x:v>Significant</x:v>
      </x:c>
      <x:c r="N1886" s="16" t="str">
        <x:v>Urgent</x:v>
      </x:c>
    </x:row>
    <x:row r="1887" ht="37" customHeight="1">
      <x:c r="A1887" s="16" t="str">
        <x:v>RAW-01881</x:v>
      </x:c>
      <x:c r="B1887" s="16" t="str">
        <x:v>Recommendation</x:v>
      </x:c>
      <x:c r="C1887" s="16" t="str">
        <x:v>– Replace column.</x:v>
      </x:c>
      <x:c r="D1887" s="16" t="str">
        <x:v>Steel frame columns</x:v>
      </x:c>
      <x:c r="E1887" s="16" t="str">
        <x:v>SRC-101</x:v>
      </x:c>
      <x:c r="F1887" s="16" t="str">
        <x:v>REC-0007</x:v>
      </x:c>
      <x:c r="G1887" s="16" t="str">
        <x:v>审阅或辅助文档</x:v>
      </x:c>
      <x:c r="H1887" s="19" t="n">
        <x:v>3</x:v>
      </x:c>
      <x:c r="I1887" s="19" t="n">
        <x:v>12</x:v>
      </x:c>
      <x:c r="J1887" s="19" t="n">
        <x:v>1</x:v>
      </x:c>
      <x:c r="K1887" s="16" t="str">
        <x:v>7. Very severe deterioration</x:v>
      </x:c>
      <x:c r="L1887" s="16" t="str">
        <x:v>Very likely</x:v>
      </x:c>
      <x:c r="M1887" s="16" t="str">
        <x:v>Significant</x:v>
      </x:c>
      <x:c r="N1887" s="16" t="str">
        <x:v>Urgent</x:v>
      </x:c>
    </x:row>
    <x:row r="1888" ht="37" customHeight="1">
      <x:c r="A1888" s="16" t="str">
        <x:v>RAW-01882</x:v>
      </x:c>
      <x:c r="B1888" s="16" t="str">
        <x:v>Observation</x:v>
      </x:c>
      <x:c r="C1888" s="16" t="str">
        <x:v>– Row 3 Column 1. Blistering corrosion and holes.</x:v>
      </x:c>
      <x:c r="D1888" s="16" t="str">
        <x:v>Steel frame columns</x:v>
      </x:c>
      <x:c r="E1888" s="16" t="str">
        <x:v>SRC-101</x:v>
      </x:c>
      <x:c r="F1888" s="16" t="str">
        <x:v>OBS-0534</x:v>
      </x:c>
      <x:c r="G1888" s="16" t="str">
        <x:v>审阅或辅助文档</x:v>
      </x:c>
      <x:c r="H1888" s="19" t="n">
        <x:v>3</x:v>
      </x:c>
      <x:c r="I1888" s="19" t="n">
        <x:v>13</x:v>
      </x:c>
      <x:c r="J1888" s="19" t="n">
        <x:v>1</x:v>
      </x:c>
      <x:c r="K1888" s="16" t="str">
        <x:v>7. Very severe deterioration</x:v>
      </x:c>
      <x:c r="L1888" s="16" t="str">
        <x:v>Very likely</x:v>
      </x:c>
      <x:c r="M1888" s="16" t="str">
        <x:v>Significant</x:v>
      </x:c>
      <x:c r="N1888" s="16" t="str">
        <x:v>Urgent</x:v>
      </x:c>
    </x:row>
    <x:row r="1889" ht="37" customHeight="1">
      <x:c r="A1889" s="16" t="str">
        <x:v>RAW-01883</x:v>
      </x:c>
      <x:c r="B1889" s="16" t="str">
        <x:v>Recommendation</x:v>
      </x:c>
      <x:c r="C1889" s="16" t="str">
        <x:v>– Replace column.</x:v>
      </x:c>
      <x:c r="D1889" s="16" t="str">
        <x:v>Steel frame columns</x:v>
      </x:c>
      <x:c r="E1889" s="16" t="str">
        <x:v>SRC-101</x:v>
      </x:c>
      <x:c r="F1889" s="16" t="str">
        <x:v>REC-0007</x:v>
      </x:c>
      <x:c r="G1889" s="16" t="str">
        <x:v>审阅或辅助文档</x:v>
      </x:c>
      <x:c r="H1889" s="19" t="n">
        <x:v>3</x:v>
      </x:c>
      <x:c r="I1889" s="19" t="n">
        <x:v>13</x:v>
      </x:c>
      <x:c r="J1889" s="19" t="n">
        <x:v>1</x:v>
      </x:c>
      <x:c r="K1889" s="16" t="str">
        <x:v>7. Very severe deterioration</x:v>
      </x:c>
      <x:c r="L1889" s="16" t="str">
        <x:v>Very likely</x:v>
      </x:c>
      <x:c r="M1889" s="16" t="str">
        <x:v>Significant</x:v>
      </x:c>
      <x:c r="N1889" s="16" t="str">
        <x:v>Urgent</x:v>
      </x:c>
    </x:row>
    <x:row r="1890" ht="37" customHeight="1">
      <x:c r="A1890" s="16" t="str">
        <x:v>RAW-01884</x:v>
      </x:c>
      <x:c r="B1890" s="16" t="str">
        <x:v>Observation</x:v>
      </x:c>
      <x:c r="C1890" s="16" t="str">
        <x:v>– Row 3 to row 8</x:v>
      </x:c>
      <x:c r="D1890" s="16" t="str">
        <x:v>Steel frame columns</x:v>
      </x:c>
      <x:c r="E1890" s="16" t="str">
        <x:v>SRC-101</x:v>
      </x:c>
      <x:c r="F1890" s="16" t="str">
        <x:v>OBS-0538</x:v>
      </x:c>
      <x:c r="G1890" s="16" t="str">
        <x:v>审阅或辅助文档</x:v>
      </x:c>
      <x:c r="H1890" s="19" t="n">
        <x:v>3</x:v>
      </x:c>
      <x:c r="I1890" s="19" t="n">
        <x:v>14</x:v>
      </x:c>
      <x:c r="J1890" s="19" t="n">
        <x:v>1</x:v>
      </x:c>
      <x:c r="K1890" s="16" t="str">
        <x:v>7. Very severe deterioration</x:v>
      </x:c>
      <x:c r="L1890" s="16" t="str">
        <x:v>Very likely</x:v>
      </x:c>
      <x:c r="M1890" s="16" t="str">
        <x:v>Significant</x:v>
      </x:c>
      <x:c r="N1890" s="16" t="str">
        <x:v>Urgent</x:v>
      </x:c>
    </x:row>
    <x:row r="1891" ht="37" customHeight="1">
      <x:c r="A1891" s="16" t="str">
        <x:v>RAW-01885</x:v>
      </x:c>
      <x:c r="B1891" s="16" t="str">
        <x:v>Observation</x:v>
      </x:c>
      <x:c r="C1891" s="16" t="str">
        <x:v>– Row 4 Column 2.</x:v>
      </x:c>
      <x:c r="D1891" s="16" t="str">
        <x:v>Steel frame columns</x:v>
      </x:c>
      <x:c r="E1891" s="16" t="str">
        <x:v>SRC-101</x:v>
      </x:c>
      <x:c r="F1891" s="16" t="str"/>
      <x:c r="G1891" s="16" t="str">
        <x:v>审阅或辅助文档</x:v>
      </x:c>
      <x:c r="H1891" s="19" t="n">
        <x:v>3</x:v>
      </x:c>
      <x:c r="I1891" s="19" t="n">
        <x:v>15</x:v>
      </x:c>
      <x:c r="J1891" s="19" t="n">
        <x:v>1</x:v>
      </x:c>
      <x:c r="K1891" s="16" t="str">
        <x:v>7. Very severe deterioration</x:v>
      </x:c>
      <x:c r="L1891" s="16" t="str">
        <x:v>Very likely</x:v>
      </x:c>
      <x:c r="M1891" s="16" t="str">
        <x:v>Significant</x:v>
      </x:c>
      <x:c r="N1891" s="16" t="str">
        <x:v>Urgent</x:v>
      </x:c>
    </x:row>
    <x:row r="1892" ht="37" customHeight="1">
      <x:c r="A1892" s="16" t="str">
        <x:v>RAW-01886</x:v>
      </x:c>
      <x:c r="B1892" s="16" t="str">
        <x:v>Recommendation</x:v>
      </x:c>
      <x:c r="C1892" s="16" t="str">
        <x:v>– Replace column.</x:v>
      </x:c>
      <x:c r="D1892" s="16" t="str">
        <x:v>Steel frame columns</x:v>
      </x:c>
      <x:c r="E1892" s="16" t="str">
        <x:v>SRC-101</x:v>
      </x:c>
      <x:c r="F1892" s="16" t="str">
        <x:v>REC-0007</x:v>
      </x:c>
      <x:c r="G1892" s="16" t="str">
        <x:v>审阅或辅助文档</x:v>
      </x:c>
      <x:c r="H1892" s="19" t="n">
        <x:v>3</x:v>
      </x:c>
      <x:c r="I1892" s="19" t="n">
        <x:v>15</x:v>
      </x:c>
      <x:c r="J1892" s="19" t="n">
        <x:v>1</x:v>
      </x:c>
      <x:c r="K1892" s="16" t="str">
        <x:v>7. Very severe deterioration</x:v>
      </x:c>
      <x:c r="L1892" s="16" t="str">
        <x:v>Very likely</x:v>
      </x:c>
      <x:c r="M1892" s="16" t="str">
        <x:v>Significant</x:v>
      </x:c>
      <x:c r="N1892" s="16" t="str">
        <x:v>Urgent</x:v>
      </x:c>
    </x:row>
    <x:row r="1893" ht="37" customHeight="1">
      <x:c r="A1893" s="16" t="str">
        <x:v>RAW-01887</x:v>
      </x:c>
      <x:c r="B1893" s="16" t="str">
        <x:v>Observation</x:v>
      </x:c>
      <x:c r="C1893" s="16" t="str">
        <x:v>– Row 5 Column 2.</x:v>
      </x:c>
      <x:c r="D1893" s="16" t="str">
        <x:v>Steel frame columns</x:v>
      </x:c>
      <x:c r="E1893" s="16" t="str">
        <x:v>SRC-101</x:v>
      </x:c>
      <x:c r="F1893" s="16" t="str">
        <x:v>OBS-0541</x:v>
      </x:c>
      <x:c r="G1893" s="16" t="str">
        <x:v>审阅或辅助文档</x:v>
      </x:c>
      <x:c r="H1893" s="19" t="n">
        <x:v>3</x:v>
      </x:c>
      <x:c r="I1893" s="19" t="n">
        <x:v>16</x:v>
      </x:c>
      <x:c r="J1893" s="19" t="n">
        <x:v>1</x:v>
      </x:c>
      <x:c r="K1893" s="16" t="str">
        <x:v>7. Very severe deterioration</x:v>
      </x:c>
      <x:c r="L1893" s="16" t="str">
        <x:v>Very likely</x:v>
      </x:c>
      <x:c r="M1893" s="16" t="str">
        <x:v>Significant</x:v>
      </x:c>
      <x:c r="N1893" s="16" t="str">
        <x:v>Urgent</x:v>
      </x:c>
    </x:row>
    <x:row r="1894" ht="37" customHeight="1">
      <x:c r="A1894" s="16" t="str">
        <x:v>RAW-01888</x:v>
      </x:c>
      <x:c r="B1894" s="16" t="str">
        <x:v>Recommendation</x:v>
      </x:c>
      <x:c r="C1894" s="16" t="str">
        <x:v>– Replace column.</x:v>
      </x:c>
      <x:c r="D1894" s="16" t="str">
        <x:v>Steel frame columns</x:v>
      </x:c>
      <x:c r="E1894" s="16" t="str">
        <x:v>SRC-101</x:v>
      </x:c>
      <x:c r="F1894" s="16" t="str">
        <x:v>REC-0007</x:v>
      </x:c>
      <x:c r="G1894" s="16" t="str">
        <x:v>审阅或辅助文档</x:v>
      </x:c>
      <x:c r="H1894" s="19" t="n">
        <x:v>3</x:v>
      </x:c>
      <x:c r="I1894" s="19" t="n">
        <x:v>16</x:v>
      </x:c>
      <x:c r="J1894" s="19" t="n">
        <x:v>1</x:v>
      </x:c>
      <x:c r="K1894" s="16" t="str">
        <x:v>7. Very severe deterioration</x:v>
      </x:c>
      <x:c r="L1894" s="16" t="str">
        <x:v>Very likely</x:v>
      </x:c>
      <x:c r="M1894" s="16" t="str">
        <x:v>Significant</x:v>
      </x:c>
      <x:c r="N1894" s="16" t="str">
        <x:v>Urgent</x:v>
      </x:c>
    </x:row>
    <x:row r="1895" ht="37" customHeight="1">
      <x:c r="A1895" s="16" t="str">
        <x:v>RAW-01889</x:v>
      </x:c>
      <x:c r="B1895" s="16" t="str">
        <x:v>Observation</x:v>
      </x:c>
      <x:c r="C1895" s="16" t="str">
        <x:v>– Row 5 Column 2.</x:v>
      </x:c>
      <x:c r="D1895" s="16" t="str">
        <x:v>Steel frame columns</x:v>
      </x:c>
      <x:c r="E1895" s="16" t="str">
        <x:v>SRC-101</x:v>
      </x:c>
      <x:c r="F1895" s="16" t="str">
        <x:v>OBS-0541</x:v>
      </x:c>
      <x:c r="G1895" s="16" t="str">
        <x:v>审阅或辅助文档</x:v>
      </x:c>
      <x:c r="H1895" s="19" t="n">
        <x:v>3</x:v>
      </x:c>
      <x:c r="I1895" s="19" t="n">
        <x:v>17</x:v>
      </x:c>
      <x:c r="J1895" s="19" t="n">
        <x:v>1</x:v>
      </x:c>
      <x:c r="K1895" s="16" t="str">
        <x:v>7. Very severe deterioration</x:v>
      </x:c>
      <x:c r="L1895" s="16" t="str">
        <x:v>Very likely</x:v>
      </x:c>
      <x:c r="M1895" s="16" t="str">
        <x:v>Significant</x:v>
      </x:c>
      <x:c r="N1895" s="16" t="str">
        <x:v>Urgent</x:v>
      </x:c>
    </x:row>
    <x:row r="1896" ht="37" customHeight="1">
      <x:c r="A1896" s="16" t="str">
        <x:v>RAW-01890</x:v>
      </x:c>
      <x:c r="B1896" s="16" t="str">
        <x:v>Recommendation</x:v>
      </x:c>
      <x:c r="C1896" s="16" t="str">
        <x:v>– Replace column.</x:v>
      </x:c>
      <x:c r="D1896" s="16" t="str">
        <x:v>Steel frame columns</x:v>
      </x:c>
      <x:c r="E1896" s="16" t="str">
        <x:v>SRC-101</x:v>
      </x:c>
      <x:c r="F1896" s="16" t="str">
        <x:v>REC-0007</x:v>
      </x:c>
      <x:c r="G1896" s="16" t="str">
        <x:v>审阅或辅助文档</x:v>
      </x:c>
      <x:c r="H1896" s="19" t="n">
        <x:v>3</x:v>
      </x:c>
      <x:c r="I1896" s="19" t="n">
        <x:v>17</x:v>
      </x:c>
      <x:c r="J1896" s="19" t="n">
        <x:v>1</x:v>
      </x:c>
      <x:c r="K1896" s="16" t="str">
        <x:v>7. Very severe deterioration</x:v>
      </x:c>
      <x:c r="L1896" s="16" t="str">
        <x:v>Very likely</x:v>
      </x:c>
      <x:c r="M1896" s="16" t="str">
        <x:v>Significant</x:v>
      </x:c>
      <x:c r="N1896" s="16" t="str">
        <x:v>Urgent</x:v>
      </x:c>
    </x:row>
    <x:row r="1897" ht="37" customHeight="1">
      <x:c r="A1897" s="16" t="str">
        <x:v>RAW-01891</x:v>
      </x:c>
      <x:c r="B1897" s="16" t="str">
        <x:v>Observation</x:v>
      </x:c>
      <x:c r="C1897" s="16" t="str">
        <x:v>– Row 6 Column 2.</x:v>
      </x:c>
      <x:c r="D1897" s="16" t="str">
        <x:v>Steel frame columns</x:v>
      </x:c>
      <x:c r="E1897" s="16" t="str">
        <x:v>SRC-101</x:v>
      </x:c>
      <x:c r="F1897" s="16" t="str">
        <x:v>OBS-0079</x:v>
      </x:c>
      <x:c r="G1897" s="16" t="str">
        <x:v>审阅或辅助文档</x:v>
      </x:c>
      <x:c r="H1897" s="19" t="n">
        <x:v>3</x:v>
      </x:c>
      <x:c r="I1897" s="19" t="n">
        <x:v>18</x:v>
      </x:c>
      <x:c r="J1897" s="19" t="n">
        <x:v>1</x:v>
      </x:c>
      <x:c r="K1897" s="16" t="str">
        <x:v>7. Very severe deterioration</x:v>
      </x:c>
      <x:c r="L1897" s="16" t="str">
        <x:v>Very likely</x:v>
      </x:c>
      <x:c r="M1897" s="16" t="str">
        <x:v>Significant</x:v>
      </x:c>
      <x:c r="N1897" s="16" t="str">
        <x:v>Urgent</x:v>
      </x:c>
    </x:row>
    <x:row r="1898" ht="37" customHeight="1">
      <x:c r="A1898" s="16" t="str">
        <x:v>RAW-01892</x:v>
      </x:c>
      <x:c r="B1898" s="16" t="str">
        <x:v>Recommendation</x:v>
      </x:c>
      <x:c r="C1898" s="16" t="str">
        <x:v>– Replace column.</x:v>
      </x:c>
      <x:c r="D1898" s="16" t="str">
        <x:v>Steel frame columns</x:v>
      </x:c>
      <x:c r="E1898" s="16" t="str">
        <x:v>SRC-101</x:v>
      </x:c>
      <x:c r="F1898" s="16" t="str">
        <x:v>REC-0007</x:v>
      </x:c>
      <x:c r="G1898" s="16" t="str">
        <x:v>审阅或辅助文档</x:v>
      </x:c>
      <x:c r="H1898" s="19" t="n">
        <x:v>3</x:v>
      </x:c>
      <x:c r="I1898" s="19" t="n">
        <x:v>18</x:v>
      </x:c>
      <x:c r="J1898" s="19" t="n">
        <x:v>1</x:v>
      </x:c>
      <x:c r="K1898" s="16" t="str">
        <x:v>7. Very severe deterioration</x:v>
      </x:c>
      <x:c r="L1898" s="16" t="str">
        <x:v>Very likely</x:v>
      </x:c>
      <x:c r="M1898" s="16" t="str">
        <x:v>Significant</x:v>
      </x:c>
      <x:c r="N1898" s="16" t="str">
        <x:v>Urgent</x:v>
      </x:c>
    </x:row>
    <x:row r="1899" ht="37" customHeight="1">
      <x:c r="A1899" s="16" t="str">
        <x:v>RAW-01893</x:v>
      </x:c>
      <x:c r="B1899" s="16" t="str">
        <x:v>Observation</x:v>
      </x:c>
      <x:c r="C1899" s="16" t="str">
        <x:v>– Row 6 Column 2.</x:v>
      </x:c>
      <x:c r="D1899" s="16" t="str">
        <x:v>Steel frame columns</x:v>
      </x:c>
      <x:c r="E1899" s="16" t="str">
        <x:v>SRC-101</x:v>
      </x:c>
      <x:c r="F1899" s="16" t="str">
        <x:v>OBS-0079</x:v>
      </x:c>
      <x:c r="G1899" s="16" t="str">
        <x:v>审阅或辅助文档</x:v>
      </x:c>
      <x:c r="H1899" s="19" t="n">
        <x:v>3</x:v>
      </x:c>
      <x:c r="I1899" s="19" t="n">
        <x:v>19</x:v>
      </x:c>
      <x:c r="J1899" s="19" t="n">
        <x:v>1</x:v>
      </x:c>
      <x:c r="K1899" s="16" t="str">
        <x:v>7. Very severe deterioration</x:v>
      </x:c>
      <x:c r="L1899" s="16" t="str">
        <x:v>Very likely</x:v>
      </x:c>
      <x:c r="M1899" s="16" t="str">
        <x:v>Significant</x:v>
      </x:c>
      <x:c r="N1899" s="16" t="str">
        <x:v>Urgent</x:v>
      </x:c>
    </x:row>
    <x:row r="1900" ht="37" customHeight="1">
      <x:c r="A1900" s="16" t="str">
        <x:v>RAW-01894</x:v>
      </x:c>
      <x:c r="B1900" s="16" t="str">
        <x:v>Recommendation</x:v>
      </x:c>
      <x:c r="C1900" s="16" t="str">
        <x:v>– Replace column.</x:v>
      </x:c>
      <x:c r="D1900" s="16" t="str">
        <x:v>Steel frame columns</x:v>
      </x:c>
      <x:c r="E1900" s="16" t="str">
        <x:v>SRC-101</x:v>
      </x:c>
      <x:c r="F1900" s="16" t="str">
        <x:v>REC-0007</x:v>
      </x:c>
      <x:c r="G1900" s="16" t="str">
        <x:v>审阅或辅助文档</x:v>
      </x:c>
      <x:c r="H1900" s="19" t="n">
        <x:v>3</x:v>
      </x:c>
      <x:c r="I1900" s="19" t="n">
        <x:v>19</x:v>
      </x:c>
      <x:c r="J1900" s="19" t="n">
        <x:v>1</x:v>
      </x:c>
      <x:c r="K1900" s="16" t="str">
        <x:v>7. Very severe deterioration</x:v>
      </x:c>
      <x:c r="L1900" s="16" t="str">
        <x:v>Very likely</x:v>
      </x:c>
      <x:c r="M1900" s="16" t="str">
        <x:v>Significant</x:v>
      </x:c>
      <x:c r="N1900" s="16" t="str">
        <x:v>Urgent</x:v>
      </x:c>
    </x:row>
    <x:row r="1901" ht="37" customHeight="1">
      <x:c r="A1901" s="16" t="str">
        <x:v>RAW-01895</x:v>
      </x:c>
      <x:c r="B1901" s="16" t="str">
        <x:v>Observation</x:v>
      </x:c>
      <x:c r="C1901" s="16" t="str">
        <x:v>– Row 7 Column 2.</x:v>
      </x:c>
      <x:c r="D1901" s="16" t="str">
        <x:v>Steel frame columns</x:v>
      </x:c>
      <x:c r="E1901" s="16" t="str">
        <x:v>SRC-101</x:v>
      </x:c>
      <x:c r="F1901" s="16" t="str">
        <x:v>OBS-0543</x:v>
      </x:c>
      <x:c r="G1901" s="16" t="str">
        <x:v>审阅或辅助文档</x:v>
      </x:c>
      <x:c r="H1901" s="19" t="n">
        <x:v>3</x:v>
      </x:c>
      <x:c r="I1901" s="19" t="n">
        <x:v>20</x:v>
      </x:c>
      <x:c r="J1901" s="19" t="n">
        <x:v>1</x:v>
      </x:c>
      <x:c r="K1901" s="16" t="str">
        <x:v>7. Very severe deterioration</x:v>
      </x:c>
      <x:c r="L1901" s="16" t="str">
        <x:v>Very likely</x:v>
      </x:c>
      <x:c r="M1901" s="16" t="str">
        <x:v>Significant</x:v>
      </x:c>
      <x:c r="N1901" s="16" t="str">
        <x:v>Urgent</x:v>
      </x:c>
    </x:row>
    <x:row r="1902" ht="37" customHeight="1">
      <x:c r="A1902" s="16" t="str">
        <x:v>RAW-01896</x:v>
      </x:c>
      <x:c r="B1902" s="16" t="str">
        <x:v>Recommendation</x:v>
      </x:c>
      <x:c r="C1902" s="16" t="str">
        <x:v>– Clean, remove corrosion and repaint.</x:v>
      </x:c>
      <x:c r="D1902" s="16" t="str">
        <x:v>Steel frame columns</x:v>
      </x:c>
      <x:c r="E1902" s="16" t="str">
        <x:v>SRC-101</x:v>
      </x:c>
      <x:c r="F1902" s="16" t="str">
        <x:v>REC-0002</x:v>
      </x:c>
      <x:c r="G1902" s="16" t="str">
        <x:v>审阅或辅助文档</x:v>
      </x:c>
      <x:c r="H1902" s="19" t="n">
        <x:v>3</x:v>
      </x:c>
      <x:c r="I1902" s="19" t="n">
        <x:v>20</x:v>
      </x:c>
      <x:c r="J1902" s="19" t="n">
        <x:v>1</x:v>
      </x:c>
      <x:c r="K1902" s="16" t="str">
        <x:v>7. Very severe deterioration</x:v>
      </x:c>
      <x:c r="L1902" s="16" t="str">
        <x:v>Very likely</x:v>
      </x:c>
      <x:c r="M1902" s="16" t="str">
        <x:v>Significant</x:v>
      </x:c>
      <x:c r="N1902" s="16" t="str">
        <x:v>Urgent</x:v>
      </x:c>
    </x:row>
    <x:row r="1903" ht="37" customHeight="1">
      <x:c r="A1903" s="16" t="str">
        <x:v>RAW-01897</x:v>
      </x:c>
      <x:c r="B1903" s="16" t="str">
        <x:v>Observation</x:v>
      </x:c>
      <x:c r="C1903" s="16" t="str">
        <x:v>– Blistering corrosion on all independent columns.</x:v>
      </x:c>
      <x:c r="D1903" s="16" t="str">
        <x:v>Steel frame columns</x:v>
      </x:c>
      <x:c r="E1903" s="16" t="str">
        <x:v>SRC-101</x:v>
      </x:c>
      <x:c r="F1903" s="16" t="str">
        <x:v>OBS-0143</x:v>
      </x:c>
      <x:c r="G1903" s="16" t="str">
        <x:v>审阅或辅助文档</x:v>
      </x:c>
      <x:c r="H1903" s="19" t="n">
        <x:v>3</x:v>
      </x:c>
      <x:c r="I1903" s="19" t="n">
        <x:v>21</x:v>
      </x:c>
      <x:c r="J1903" s="19" t="n">
        <x:v>1</x:v>
      </x:c>
      <x:c r="K1903" s="16" t="str">
        <x:v>7. Very severe deterioration</x:v>
      </x:c>
      <x:c r="L1903" s="16" t="str">
        <x:v>Very likely</x:v>
      </x:c>
      <x:c r="M1903" s="16" t="str">
        <x:v>Significant</x:v>
      </x:c>
      <x:c r="N1903" s="16" t="str">
        <x:v>Urgent</x:v>
      </x:c>
    </x:row>
    <x:row r="1904" ht="37" customHeight="1">
      <x:c r="A1904" s="16" t="str">
        <x:v>RAW-01898</x:v>
      </x:c>
      <x:c r="B1904" s="16" t="str">
        <x:v>Recommendation</x:v>
      </x:c>
      <x:c r="C1904" s="16" t="str">
        <x:v>– Clean, remove corrosion and repaint.</x:v>
      </x:c>
      <x:c r="D1904" s="16" t="str">
        <x:v>Steel frame columns</x:v>
      </x:c>
      <x:c r="E1904" s="16" t="str">
        <x:v>SRC-101</x:v>
      </x:c>
      <x:c r="F1904" s="16" t="str">
        <x:v>REC-0002</x:v>
      </x:c>
      <x:c r="G1904" s="16" t="str">
        <x:v>审阅或辅助文档</x:v>
      </x:c>
      <x:c r="H1904" s="19" t="n">
        <x:v>3</x:v>
      </x:c>
      <x:c r="I1904" s="19" t="n">
        <x:v>21</x:v>
      </x:c>
      <x:c r="J1904" s="19" t="n">
        <x:v>1</x:v>
      </x:c>
      <x:c r="K1904" s="16" t="str">
        <x:v>7. Very severe deterioration</x:v>
      </x:c>
      <x:c r="L1904" s="16" t="str">
        <x:v>Very likely</x:v>
      </x:c>
      <x:c r="M1904" s="16" t="str">
        <x:v>Significant</x:v>
      </x:c>
      <x:c r="N1904" s="16" t="str">
        <x:v>Urgent</x:v>
      </x:c>
    </x:row>
    <x:row r="1905" ht="37" customHeight="1">
      <x:c r="A1905" s="16" t="str">
        <x:v>RAW-01899</x:v>
      </x:c>
      <x:c r="B1905" s="16" t="str">
        <x:v>Observation</x:v>
      </x:c>
      <x:c r="C1905" s="16" t="str">
        <x:v>– Row 1 Column 1,2 and 3. Flaking corrosion at connections.</x:v>
      </x:c>
      <x:c r="D1905" s="16" t="str">
        <x:v>Frame connections</x:v>
      </x:c>
      <x:c r="E1905" s="16" t="str">
        <x:v>SRC-101</x:v>
      </x:c>
      <x:c r="F1905" s="16" t="str"/>
      <x:c r="G1905" s="16" t="str">
        <x:v>审阅或辅助文档</x:v>
      </x:c>
      <x:c r="H1905" s="19" t="n">
        <x:v>4</x:v>
      </x:c>
      <x:c r="I1905" s="19" t="n">
        <x:v>6</x:v>
      </x:c>
      <x:c r="J1905" s="19" t="n">
        <x:v>1</x:v>
      </x:c>
      <x:c r="K1905" s="16" t="str">
        <x:v>7. Very severe deterioration</x:v>
      </x:c>
      <x:c r="L1905" s="16" t="str">
        <x:v>Very likely</x:v>
      </x:c>
      <x:c r="M1905" s="16" t="str">
        <x:v>Significant</x:v>
      </x:c>
      <x:c r="N1905" s="16" t="str">
        <x:v>Urgent</x:v>
      </x:c>
    </x:row>
    <x:row r="1906" ht="37" customHeight="1">
      <x:c r="A1906" s="16" t="str">
        <x:v>RAW-01900</x:v>
      </x:c>
      <x:c r="B1906" s="16" t="str">
        <x:v>Recommendation</x:v>
      </x:c>
      <x:c r="C1906" s="16" t="str">
        <x:v>– Investigate steel interface.</x:v>
      </x:c>
      <x:c r="D1906" s="16" t="str">
        <x:v>Frame connections</x:v>
      </x:c>
      <x:c r="E1906" s="16" t="str">
        <x:v>SRC-101</x:v>
      </x:c>
      <x:c r="F1906" s="16" t="str">
        <x:v>REC-0106</x:v>
      </x:c>
      <x:c r="G1906" s="16" t="str">
        <x:v>审阅或辅助文档</x:v>
      </x:c>
      <x:c r="H1906" s="19" t="n">
        <x:v>4</x:v>
      </x:c>
      <x:c r="I1906" s="19" t="n">
        <x:v>6</x:v>
      </x:c>
      <x:c r="J1906" s="19" t="n">
        <x:v>1</x:v>
      </x:c>
      <x:c r="K1906" s="16" t="str">
        <x:v>7. Very severe deterioration</x:v>
      </x:c>
      <x:c r="L1906" s="16" t="str">
        <x:v>Very likely</x:v>
      </x:c>
      <x:c r="M1906" s="16" t="str">
        <x:v>Significant</x:v>
      </x:c>
      <x:c r="N1906" s="16" t="str">
        <x:v>Urgent</x:v>
      </x:c>
    </x:row>
    <x:row r="1907" ht="37" customHeight="1">
      <x:c r="A1907" s="16" t="str">
        <x:v>RAW-01901</x:v>
      </x:c>
      <x:c r="B1907" s="16" t="str">
        <x:v>Observation</x:v>
      </x:c>
      <x:c r="C1907" s="16" t="str">
        <x:v>– Row 1 Column 1. Flaking corrosion.</x:v>
      </x:c>
      <x:c r="D1907" s="16" t="str">
        <x:v>Frame connections</x:v>
      </x:c>
      <x:c r="E1907" s="16" t="str">
        <x:v>SRC-101</x:v>
      </x:c>
      <x:c r="F1907" s="16" t="str"/>
      <x:c r="G1907" s="16" t="str">
        <x:v>审阅或辅助文档</x:v>
      </x:c>
      <x:c r="H1907" s="19" t="n">
        <x:v>4</x:v>
      </x:c>
      <x:c r="I1907" s="19" t="n">
        <x:v>7</x:v>
      </x:c>
      <x:c r="J1907" s="19" t="n">
        <x:v>1</x:v>
      </x:c>
      <x:c r="K1907" s="16" t="str">
        <x:v>7. Very severe deterioration</x:v>
      </x:c>
      <x:c r="L1907" s="16" t="str">
        <x:v>Very likely</x:v>
      </x:c>
      <x:c r="M1907" s="16" t="str">
        <x:v>Significant</x:v>
      </x:c>
      <x:c r="N1907" s="16" t="str">
        <x:v>Urgent</x:v>
      </x:c>
    </x:row>
    <x:row r="1908" ht="37" customHeight="1">
      <x:c r="A1908" s="16" t="str">
        <x:v>RAW-01902</x:v>
      </x:c>
      <x:c r="B1908" s="16" t="str">
        <x:v>Recommendation</x:v>
      </x:c>
      <x:c r="C1908" s="16" t="str">
        <x:v>– Investigate steel interface.</x:v>
      </x:c>
      <x:c r="D1908" s="16" t="str">
        <x:v>Frame connections</x:v>
      </x:c>
      <x:c r="E1908" s="16" t="str">
        <x:v>SRC-101</x:v>
      </x:c>
      <x:c r="F1908" s="16" t="str">
        <x:v>REC-0106</x:v>
      </x:c>
      <x:c r="G1908" s="16" t="str">
        <x:v>审阅或辅助文档</x:v>
      </x:c>
      <x:c r="H1908" s="19" t="n">
        <x:v>4</x:v>
      </x:c>
      <x:c r="I1908" s="19" t="n">
        <x:v>7</x:v>
      </x:c>
      <x:c r="J1908" s="19" t="n">
        <x:v>1</x:v>
      </x:c>
      <x:c r="K1908" s="16" t="str">
        <x:v>7. Very severe deterioration</x:v>
      </x:c>
      <x:c r="L1908" s="16" t="str">
        <x:v>Very likely</x:v>
      </x:c>
      <x:c r="M1908" s="16" t="str">
        <x:v>Significant</x:v>
      </x:c>
      <x:c r="N1908" s="16" t="str">
        <x:v>Urgent</x:v>
      </x:c>
    </x:row>
    <x:row r="1909" ht="37" customHeight="1">
      <x:c r="A1909" s="16" t="str">
        <x:v>RAW-01903</x:v>
      </x:c>
      <x:c r="B1909" s="16" t="str">
        <x:v>Observation</x:v>
      </x:c>
      <x:c r="C1909" s="16" t="str">
        <x:v>– Row 2 Columns 1 and 2.</x:v>
      </x:c>
      <x:c r="D1909" s="16" t="str">
        <x:v>Frame connections</x:v>
      </x:c>
      <x:c r="E1909" s="16" t="str">
        <x:v>SRC-101</x:v>
      </x:c>
      <x:c r="F1909" s="16" t="str">
        <x:v>OBS-0531</x:v>
      </x:c>
      <x:c r="G1909" s="16" t="str">
        <x:v>审阅或辅助文档</x:v>
      </x:c>
      <x:c r="H1909" s="19" t="n">
        <x:v>4</x:v>
      </x:c>
      <x:c r="I1909" s="19" t="n">
        <x:v>8</x:v>
      </x:c>
      <x:c r="J1909" s="19" t="n">
        <x:v>1</x:v>
      </x:c>
      <x:c r="K1909" s="16" t="str">
        <x:v>7. Very severe deterioration</x:v>
      </x:c>
      <x:c r="L1909" s="16" t="str">
        <x:v>Very likely</x:v>
      </x:c>
      <x:c r="M1909" s="16" t="str">
        <x:v>Significant</x:v>
      </x:c>
      <x:c r="N1909" s="16" t="str">
        <x:v>Urgent</x:v>
      </x:c>
    </x:row>
    <x:row r="1910" ht="37" customHeight="1">
      <x:c r="A1910" s="16" t="str">
        <x:v>RAW-01904</x:v>
      </x:c>
      <x:c r="B1910" s="16" t="str">
        <x:v>Recommendation</x:v>
      </x:c>
      <x:c r="C1910" s="16" t="str">
        <x:v>– Investigate steel interface.</x:v>
      </x:c>
      <x:c r="D1910" s="16" t="str">
        <x:v>Frame connections</x:v>
      </x:c>
      <x:c r="E1910" s="16" t="str">
        <x:v>SRC-101</x:v>
      </x:c>
      <x:c r="F1910" s="16" t="str">
        <x:v>REC-0106</x:v>
      </x:c>
      <x:c r="G1910" s="16" t="str">
        <x:v>审阅或辅助文档</x:v>
      </x:c>
      <x:c r="H1910" s="19" t="n">
        <x:v>4</x:v>
      </x:c>
      <x:c r="I1910" s="19" t="n">
        <x:v>8</x:v>
      </x:c>
      <x:c r="J1910" s="19" t="n">
        <x:v>1</x:v>
      </x:c>
      <x:c r="K1910" s="16" t="str">
        <x:v>7. Very severe deterioration</x:v>
      </x:c>
      <x:c r="L1910" s="16" t="str">
        <x:v>Very likely</x:v>
      </x:c>
      <x:c r="M1910" s="16" t="str">
        <x:v>Significant</x:v>
      </x:c>
      <x:c r="N1910" s="16" t="str">
        <x:v>Urgent</x:v>
      </x:c>
    </x:row>
    <x:row r="1911" ht="37" customHeight="1">
      <x:c r="A1911" s="16" t="str">
        <x:v>RAW-01905</x:v>
      </x:c>
      <x:c r="B1911" s="16" t="str">
        <x:v>Observation</x:v>
      </x:c>
      <x:c r="C1911" s="16" t="str">
        <x:v>– Row 3 Column 2 and 3. Flaking corrosion at connection.</x:v>
      </x:c>
      <x:c r="D1911" s="16" t="str">
        <x:v>Frame connections</x:v>
      </x:c>
      <x:c r="E1911" s="16" t="str">
        <x:v>SRC-101</x:v>
      </x:c>
      <x:c r="F1911" s="16" t="str">
        <x:v>OBS-0537</x:v>
      </x:c>
      <x:c r="G1911" s="16" t="str">
        <x:v>审阅或辅助文档</x:v>
      </x:c>
      <x:c r="H1911" s="19" t="n">
        <x:v>4</x:v>
      </x:c>
      <x:c r="I1911" s="19" t="n">
        <x:v>9</x:v>
      </x:c>
      <x:c r="J1911" s="19" t="n">
        <x:v>1</x:v>
      </x:c>
      <x:c r="K1911" s="16" t="str">
        <x:v>7. Very severe deterioration</x:v>
      </x:c>
      <x:c r="L1911" s="16" t="str">
        <x:v>Very likely</x:v>
      </x:c>
      <x:c r="M1911" s="16" t="str">
        <x:v>Significant</x:v>
      </x:c>
      <x:c r="N1911" s="16" t="str">
        <x:v>Urgent</x:v>
      </x:c>
    </x:row>
    <x:row r="1912" ht="37" customHeight="1">
      <x:c r="A1912" s="16" t="str">
        <x:v>RAW-01906</x:v>
      </x:c>
      <x:c r="B1912" s="16" t="str">
        <x:v>Recommendation</x:v>
      </x:c>
      <x:c r="C1912" s="16" t="str">
        <x:v>– Investigate steel interface.</x:v>
      </x:c>
      <x:c r="D1912" s="16" t="str">
        <x:v>Frame connections</x:v>
      </x:c>
      <x:c r="E1912" s="16" t="str">
        <x:v>SRC-101</x:v>
      </x:c>
      <x:c r="F1912" s="16" t="str">
        <x:v>REC-0106</x:v>
      </x:c>
      <x:c r="G1912" s="16" t="str">
        <x:v>审阅或辅助文档</x:v>
      </x:c>
      <x:c r="H1912" s="19" t="n">
        <x:v>4</x:v>
      </x:c>
      <x:c r="I1912" s="19" t="n">
        <x:v>9</x:v>
      </x:c>
      <x:c r="J1912" s="19" t="n">
        <x:v>1</x:v>
      </x:c>
      <x:c r="K1912" s="16" t="str">
        <x:v>7. Very severe deterioration</x:v>
      </x:c>
      <x:c r="L1912" s="16" t="str">
        <x:v>Very likely</x:v>
      </x:c>
      <x:c r="M1912" s="16" t="str">
        <x:v>Significant</x:v>
      </x:c>
      <x:c r="N1912" s="16" t="str">
        <x:v>Urgent</x:v>
      </x:c>
    </x:row>
    <x:row r="1913" ht="37" customHeight="1">
      <x:c r="A1913" s="16" t="str">
        <x:v>RAW-01907</x:v>
      </x:c>
      <x:c r="B1913" s="16" t="str">
        <x:v>Observation</x:v>
      </x:c>
      <x:c r="C1913" s="16" t="str">
        <x:v>– Blistering corrosion on all purlins.</x:v>
      </x:c>
      <x:c r="D1913" s="16" t="str">
        <x:v>Purlins and rafters</x:v>
      </x:c>
      <x:c r="E1913" s="16" t="str">
        <x:v>SRC-101</x:v>
      </x:c>
      <x:c r="F1913" s="16" t="str"/>
      <x:c r="G1913" s="16" t="str">
        <x:v>审阅或辅助文档</x:v>
      </x:c>
      <x:c r="H1913" s="19" t="n">
        <x:v>5</x:v>
      </x:c>
      <x:c r="I1913" s="19" t="n">
        <x:v>6</x:v>
      </x:c>
      <x:c r="J1913" s="19" t="n">
        <x:v>1</x:v>
      </x:c>
      <x:c r="K1913" s="16" t="str">
        <x:v>5. Major deterioration</x:v>
      </x:c>
      <x:c r="L1913" s="16" t="str">
        <x:v>Likely</x:v>
      </x:c>
      <x:c r="M1913" s="16" t="str">
        <x:v>Significant</x:v>
      </x:c>
      <x:c r="N1913" s="16" t="str">
        <x:v>Critical</x:v>
      </x:c>
    </x:row>
    <x:row r="1914" ht="37" customHeight="1">
      <x:c r="A1914" s="16" t="str">
        <x:v>RAW-01908</x:v>
      </x:c>
      <x:c r="B1914" s="16" t="str">
        <x:v>Recommendation</x:v>
      </x:c>
      <x:c r="C1914" s="16" t="str">
        <x:v>– Clean, remove corrosion and repaint.</x:v>
      </x:c>
      <x:c r="D1914" s="16" t="str">
        <x:v>Purlins and rafters</x:v>
      </x:c>
      <x:c r="E1914" s="16" t="str">
        <x:v>SRC-101</x:v>
      </x:c>
      <x:c r="F1914" s="16" t="str">
        <x:v>REC-0002</x:v>
      </x:c>
      <x:c r="G1914" s="16" t="str">
        <x:v>审阅或辅助文档</x:v>
      </x:c>
      <x:c r="H1914" s="19" t="n">
        <x:v>5</x:v>
      </x:c>
      <x:c r="I1914" s="19" t="n">
        <x:v>6</x:v>
      </x:c>
      <x:c r="J1914" s="19" t="n">
        <x:v>1</x:v>
      </x:c>
      <x:c r="K1914" s="16" t="str">
        <x:v>5. Major deterioration</x:v>
      </x:c>
      <x:c r="L1914" s="16" t="str">
        <x:v>Likely</x:v>
      </x:c>
      <x:c r="M1914" s="16" t="str">
        <x:v>Significant</x:v>
      </x:c>
      <x:c r="N1914" s="16" t="str">
        <x:v>Critical</x:v>
      </x:c>
    </x:row>
    <x:row r="1915" ht="37" customHeight="1">
      <x:c r="A1915" s="16" t="str">
        <x:v>RAW-01909</x:v>
      </x:c>
      <x:c r="B1915" s="16" t="str">
        <x:v>Observation</x:v>
      </x:c>
      <x:c r="C1915" s="16" t="str">
        <x:v>– Blistering corrosion on all purlins.</x:v>
      </x:c>
      <x:c r="D1915" s="16" t="str">
        <x:v>Purlins and rafters</x:v>
      </x:c>
      <x:c r="E1915" s="16" t="str">
        <x:v>SRC-101</x:v>
      </x:c>
      <x:c r="F1915" s="16" t="str"/>
      <x:c r="G1915" s="16" t="str">
        <x:v>审阅或辅助文档</x:v>
      </x:c>
      <x:c r="H1915" s="19" t="n">
        <x:v>5</x:v>
      </x:c>
      <x:c r="I1915" s="19" t="n">
        <x:v>7</x:v>
      </x:c>
      <x:c r="J1915" s="19" t="n">
        <x:v>1</x:v>
      </x:c>
      <x:c r="K1915" s="16" t="str">
        <x:v>5. Major deterioration</x:v>
      </x:c>
      <x:c r="L1915" s="16" t="str">
        <x:v>Likely</x:v>
      </x:c>
      <x:c r="M1915" s="16" t="str">
        <x:v>Significant</x:v>
      </x:c>
      <x:c r="N1915" s="16" t="str">
        <x:v>Critical</x:v>
      </x:c>
    </x:row>
    <x:row r="1916" ht="37" customHeight="1">
      <x:c r="A1916" s="16" t="str">
        <x:v>RAW-01910</x:v>
      </x:c>
      <x:c r="B1916" s="16" t="str">
        <x:v>Recommendation</x:v>
      </x:c>
      <x:c r="C1916" s="16" t="str">
        <x:v>– Clean, remove corrosion and repaint.</x:v>
      </x:c>
      <x:c r="D1916" s="16" t="str">
        <x:v>Purlins and rafters</x:v>
      </x:c>
      <x:c r="E1916" s="16" t="str">
        <x:v>SRC-101</x:v>
      </x:c>
      <x:c r="F1916" s="16" t="str">
        <x:v>REC-0002</x:v>
      </x:c>
      <x:c r="G1916" s="16" t="str">
        <x:v>审阅或辅助文档</x:v>
      </x:c>
      <x:c r="H1916" s="19" t="n">
        <x:v>5</x:v>
      </x:c>
      <x:c r="I1916" s="19" t="n">
        <x:v>7</x:v>
      </x:c>
      <x:c r="J1916" s="19" t="n">
        <x:v>1</x:v>
      </x:c>
      <x:c r="K1916" s="16" t="str">
        <x:v>5. Major deterioration</x:v>
      </x:c>
      <x:c r="L1916" s="16" t="str">
        <x:v>Likely</x:v>
      </x:c>
      <x:c r="M1916" s="16" t="str">
        <x:v>Significant</x:v>
      </x:c>
      <x:c r="N1916" s="16" t="str">
        <x:v>Critical</x:v>
      </x:c>
    </x:row>
    <x:row r="1917" ht="37" customHeight="1">
      <x:c r="A1917" s="16" t="str">
        <x:v>RAW-01911</x:v>
      </x:c>
      <x:c r="B1917" s="16" t="str">
        <x:v>Observation</x:v>
      </x:c>
      <x:c r="C1917" s="16" t="str">
        <x:v>– Blistering corrosion on all purlins.</x:v>
      </x:c>
      <x:c r="D1917" s="16" t="str">
        <x:v>Purlins and rafters</x:v>
      </x:c>
      <x:c r="E1917" s="16" t="str">
        <x:v>SRC-101</x:v>
      </x:c>
      <x:c r="F1917" s="16" t="str"/>
      <x:c r="G1917" s="16" t="str">
        <x:v>审阅或辅助文档</x:v>
      </x:c>
      <x:c r="H1917" s="19" t="n">
        <x:v>5</x:v>
      </x:c>
      <x:c r="I1917" s="19" t="n">
        <x:v>8</x:v>
      </x:c>
      <x:c r="J1917" s="19" t="n">
        <x:v>1</x:v>
      </x:c>
      <x:c r="K1917" s="16" t="str">
        <x:v>5. Major deterioration</x:v>
      </x:c>
      <x:c r="L1917" s="16" t="str">
        <x:v>Likely</x:v>
      </x:c>
      <x:c r="M1917" s="16" t="str">
        <x:v>Significant</x:v>
      </x:c>
      <x:c r="N1917" s="16" t="str">
        <x:v>Critical</x:v>
      </x:c>
    </x:row>
    <x:row r="1918" ht="37" customHeight="1">
      <x:c r="A1918" s="16" t="str">
        <x:v>RAW-01912</x:v>
      </x:c>
      <x:c r="B1918" s="16" t="str">
        <x:v>Recommendation</x:v>
      </x:c>
      <x:c r="C1918" s="16" t="str">
        <x:v>– Clean, remove corrosion and repaint.</x:v>
      </x:c>
      <x:c r="D1918" s="16" t="str">
        <x:v>Purlins and rafters</x:v>
      </x:c>
      <x:c r="E1918" s="16" t="str">
        <x:v>SRC-101</x:v>
      </x:c>
      <x:c r="F1918" s="16" t="str">
        <x:v>REC-0002</x:v>
      </x:c>
      <x:c r="G1918" s="16" t="str">
        <x:v>审阅或辅助文档</x:v>
      </x:c>
      <x:c r="H1918" s="19" t="n">
        <x:v>5</x:v>
      </x:c>
      <x:c r="I1918" s="19" t="n">
        <x:v>8</x:v>
      </x:c>
      <x:c r="J1918" s="19" t="n">
        <x:v>1</x:v>
      </x:c>
      <x:c r="K1918" s="16" t="str">
        <x:v>5. Major deterioration</x:v>
      </x:c>
      <x:c r="L1918" s="16" t="str">
        <x:v>Likely</x:v>
      </x:c>
      <x:c r="M1918" s="16" t="str">
        <x:v>Significant</x:v>
      </x:c>
      <x:c r="N1918" s="16" t="str">
        <x:v>Critical</x:v>
      </x:c>
    </x:row>
    <x:row r="1919" ht="37" customHeight="1">
      <x:c r="A1919" s="16" t="str">
        <x:v>RAW-01913</x:v>
      </x:c>
      <x:c r="B1919" s="16" t="str">
        <x:v>Observation</x:v>
      </x:c>
      <x:c r="C1919" s="16" t="str">
        <x:v>– Sign support frame.</x:v>
      </x:c>
      <x:c r="D1919" s="16" t="str">
        <x:v>Sign steel frame</x:v>
      </x:c>
      <x:c r="E1919" s="16" t="str">
        <x:v>SRC-101</x:v>
      </x:c>
      <x:c r="F1919" s="16" t="str">
        <x:v>OBS-0572</x:v>
      </x:c>
      <x:c r="G1919" s="16" t="str">
        <x:v>审阅或辅助文档</x:v>
      </x:c>
      <x:c r="H1919" s="19" t="n">
        <x:v>6</x:v>
      </x:c>
      <x:c r="I1919" s="19" t="n">
        <x:v>6</x:v>
      </x:c>
      <x:c r="J1919" s="19" t="n">
        <x:v>1</x:v>
      </x:c>
      <x:c r="K1919" s="16" t="str">
        <x:v>3. Minor deterioration</x:v>
      </x:c>
      <x:c r="L1919" s="16" t="str">
        <x:v>Unlikely</x:v>
      </x:c>
      <x:c r="M1919" s="16" t="str">
        <x:v>Moderate</x:v>
      </x:c>
      <x:c r="N1919" s="16" t="str">
        <x:v>Moderate</x:v>
      </x:c>
    </x:row>
    <x:row r="1920" ht="37" customHeight="1">
      <x:c r="A1920" s="16" t="str">
        <x:v>RAW-01914</x:v>
      </x:c>
      <x:c r="B1920" s="16" t="str">
        <x:v>Observation</x:v>
      </x:c>
      <x:c r="C1920" s="16" t="str">
        <x:v>– Minor corrosion towards lower section of column.</x:v>
      </x:c>
      <x:c r="D1920" s="16" t="str">
        <x:v>Sign steel frame</x:v>
      </x:c>
      <x:c r="E1920" s="16" t="str">
        <x:v>SRC-101</x:v>
      </x:c>
      <x:c r="F1920" s="16" t="str">
        <x:v>OBS-0067</x:v>
      </x:c>
      <x:c r="G1920" s="16" t="str">
        <x:v>审阅或辅助文档</x:v>
      </x:c>
      <x:c r="H1920" s="19" t="n">
        <x:v>6</x:v>
      </x:c>
      <x:c r="I1920" s="19" t="n">
        <x:v>7</x:v>
      </x:c>
      <x:c r="J1920" s="19" t="n">
        <x:v>1</x:v>
      </x:c>
      <x:c r="K1920" s="16" t="str">
        <x:v>3. Minor deterioration</x:v>
      </x:c>
      <x:c r="L1920" s="16" t="str">
        <x:v>Unlikely</x:v>
      </x:c>
      <x:c r="M1920" s="16" t="str">
        <x:v>Moderate</x:v>
      </x:c>
      <x:c r="N1920" s="16" t="str">
        <x:v>Moderate</x:v>
      </x:c>
    </x:row>
    <x:row r="1921" ht="37" customHeight="1">
      <x:c r="A1921" s="16" t="str">
        <x:v>RAW-01915</x:v>
      </x:c>
      <x:c r="B1921" s="16" t="str">
        <x:v>Recommendation</x:v>
      </x:c>
      <x:c r="C1921" s="16" t="str">
        <x:v>– Clean, remove corrosion and repaint.</x:v>
      </x:c>
      <x:c r="D1921" s="16" t="str">
        <x:v>Sign steel frame</x:v>
      </x:c>
      <x:c r="E1921" s="16" t="str">
        <x:v>SRC-101</x:v>
      </x:c>
      <x:c r="F1921" s="16" t="str">
        <x:v>REC-0002</x:v>
      </x:c>
      <x:c r="G1921" s="16" t="str">
        <x:v>审阅或辅助文档</x:v>
      </x:c>
      <x:c r="H1921" s="19" t="n">
        <x:v>6</x:v>
      </x:c>
      <x:c r="I1921" s="19" t="n">
        <x:v>7</x:v>
      </x:c>
      <x:c r="J1921" s="19" t="n">
        <x:v>1</x:v>
      </x:c>
      <x:c r="K1921" s="16" t="str">
        <x:v>3. Minor deterioration</x:v>
      </x:c>
      <x:c r="L1921" s="16" t="str">
        <x:v>Unlikely</x:v>
      </x:c>
      <x:c r="M1921" s="16" t="str">
        <x:v>Moderate</x:v>
      </x:c>
      <x:c r="N1921" s="16" t="str">
        <x:v>Moderate</x:v>
      </x:c>
    </x:row>
    <x:row r="1922" ht="37" customHeight="1">
      <x:c r="A1922" s="16" t="str">
        <x:v>RAW-01916</x:v>
      </x:c>
      <x:c r="B1922" s="16" t="str">
        <x:v>Observation</x:v>
      </x:c>
      <x:c r="C1922" s="16" t="str">
        <x:v>– Minor corrosion towards lower section of column.</x:v>
      </x:c>
      <x:c r="D1922" s="16" t="str">
        <x:v>Sign steel frame</x:v>
      </x:c>
      <x:c r="E1922" s="16" t="str">
        <x:v>SRC-101</x:v>
      </x:c>
      <x:c r="F1922" s="16" t="str">
        <x:v>OBS-0067</x:v>
      </x:c>
      <x:c r="G1922" s="16" t="str">
        <x:v>审阅或辅助文档</x:v>
      </x:c>
      <x:c r="H1922" s="19" t="n">
        <x:v>6</x:v>
      </x:c>
      <x:c r="I1922" s="19" t="n">
        <x:v>8</x:v>
      </x:c>
      <x:c r="J1922" s="19" t="n">
        <x:v>1</x:v>
      </x:c>
      <x:c r="K1922" s="16" t="str">
        <x:v>3. Minor deterioration</x:v>
      </x:c>
      <x:c r="L1922" s="16" t="str">
        <x:v>Unlikely</x:v>
      </x:c>
      <x:c r="M1922" s="16" t="str">
        <x:v>Moderate</x:v>
      </x:c>
      <x:c r="N1922" s="16" t="str">
        <x:v>Moderate</x:v>
      </x:c>
    </x:row>
    <x:row r="1923" ht="37" customHeight="1">
      <x:c r="A1923" s="16" t="str">
        <x:v>RAW-01917</x:v>
      </x:c>
      <x:c r="B1923" s="16" t="str">
        <x:v>Recommendation</x:v>
      </x:c>
      <x:c r="C1923" s="16" t="str">
        <x:v>– Clean, remove corrosion and repaint.</x:v>
      </x:c>
      <x:c r="D1923" s="16" t="str">
        <x:v>Sign steel frame</x:v>
      </x:c>
      <x:c r="E1923" s="16" t="str">
        <x:v>SRC-101</x:v>
      </x:c>
      <x:c r="F1923" s="16" t="str">
        <x:v>REC-0002</x:v>
      </x:c>
      <x:c r="G1923" s="16" t="str">
        <x:v>审阅或辅助文档</x:v>
      </x:c>
      <x:c r="H1923" s="19" t="n">
        <x:v>6</x:v>
      </x:c>
      <x:c r="I1923" s="19" t="n">
        <x:v>8</x:v>
      </x:c>
      <x:c r="J1923" s="19" t="n">
        <x:v>1</x:v>
      </x:c>
      <x:c r="K1923" s="16" t="str">
        <x:v>3. Minor deterioration</x:v>
      </x:c>
      <x:c r="L1923" s="16" t="str">
        <x:v>Unlikely</x:v>
      </x:c>
      <x:c r="M1923" s="16" t="str">
        <x:v>Moderate</x:v>
      </x:c>
      <x:c r="N1923" s="16" t="str">
        <x:v>Moderate</x:v>
      </x:c>
    </x:row>
    <x:row r="1924" ht="37" customHeight="1">
      <x:c r="A1924" s="16" t="str">
        <x:v>RAW-01918</x:v>
      </x:c>
      <x:c r="B1924" s="16" t="str">
        <x:v>Observation</x:v>
      </x:c>
      <x:c r="C1924" s="16" t="str">
        <x:v>– Minor corrosion towards lower section of column.</x:v>
      </x:c>
      <x:c r="D1924" s="16" t="str">
        <x:v>Sign steel frame</x:v>
      </x:c>
      <x:c r="E1924" s="16" t="str">
        <x:v>SRC-101</x:v>
      </x:c>
      <x:c r="F1924" s="16" t="str">
        <x:v>OBS-0067</x:v>
      </x:c>
      <x:c r="G1924" s="16" t="str">
        <x:v>审阅或辅助文档</x:v>
      </x:c>
      <x:c r="H1924" s="19" t="n">
        <x:v>6</x:v>
      </x:c>
      <x:c r="I1924" s="19" t="n">
        <x:v>9</x:v>
      </x:c>
      <x:c r="J1924" s="19" t="n">
        <x:v>1</x:v>
      </x:c>
      <x:c r="K1924" s="16" t="str">
        <x:v>3. Minor deterioration</x:v>
      </x:c>
      <x:c r="L1924" s="16" t="str">
        <x:v>Unlikely</x:v>
      </x:c>
      <x:c r="M1924" s="16" t="str">
        <x:v>Moderate</x:v>
      </x:c>
      <x:c r="N1924" s="16" t="str">
        <x:v>Moderate</x:v>
      </x:c>
    </x:row>
    <x:row r="1925" ht="37" customHeight="1">
      <x:c r="A1925" s="16" t="str">
        <x:v>RAW-01919</x:v>
      </x:c>
      <x:c r="B1925" s="16" t="str">
        <x:v>Recommendation</x:v>
      </x:c>
      <x:c r="C1925" s="16" t="str">
        <x:v>– Clean, remove corrosion and repaint.</x:v>
      </x:c>
      <x:c r="D1925" s="16" t="str">
        <x:v>Sign steel frame</x:v>
      </x:c>
      <x:c r="E1925" s="16" t="str">
        <x:v>SRC-101</x:v>
      </x:c>
      <x:c r="F1925" s="16" t="str">
        <x:v>REC-0002</x:v>
      </x:c>
      <x:c r="G1925" s="16" t="str">
        <x:v>审阅或辅助文档</x:v>
      </x:c>
      <x:c r="H1925" s="19" t="n">
        <x:v>6</x:v>
      </x:c>
      <x:c r="I1925" s="19" t="n">
        <x:v>9</x:v>
      </x:c>
      <x:c r="J1925" s="19" t="n">
        <x:v>1</x:v>
      </x:c>
      <x:c r="K1925" s="16" t="str">
        <x:v>3. Minor deterioration</x:v>
      </x:c>
      <x:c r="L1925" s="16" t="str">
        <x:v>Unlikely</x:v>
      </x:c>
      <x:c r="M1925" s="16" t="str">
        <x:v>Moderate</x:v>
      </x:c>
      <x:c r="N1925" s="16" t="str">
        <x:v>Moderate</x:v>
      </x:c>
    </x:row>
    <x:row r="1926" ht="37" customHeight="1">
      <x:c r="A1926" s="16" t="str">
        <x:v>RAW-01920</x:v>
      </x:c>
      <x:c r="B1926" s="16" t="str">
        <x:v>Observation</x:v>
      </x:c>
      <x:c r="C1926" s="16" t="str">
        <x:v>– Photo frame secured to steel frame.</x:v>
      </x:c>
      <x:c r="D1926" s="16" t="str">
        <x:v>Photo frame support</x:v>
      </x:c>
      <x:c r="E1926" s="16" t="str">
        <x:v>SRC-101</x:v>
      </x:c>
      <x:c r="F1926" s="16" t="str">
        <x:v>OBS-0451</x:v>
      </x:c>
      <x:c r="G1926" s="16" t="str">
        <x:v>审阅或辅助文档</x:v>
      </x:c>
      <x:c r="H1926" s="19" t="n">
        <x:v>7</x:v>
      </x:c>
      <x:c r="I1926" s="19" t="n">
        <x:v>6</x:v>
      </x:c>
      <x:c r="J1926" s="19" t="n">
        <x:v>1</x:v>
      </x:c>
      <x:c r="K1926" s="16" t="str">
        <x:v>3. Minor deterioration</x:v>
      </x:c>
      <x:c r="L1926" s="16" t="str">
        <x:v>Unlikely</x:v>
      </x:c>
      <x:c r="M1926" s="16" t="str">
        <x:v>Minor</x:v>
      </x:c>
      <x:c r="N1926" s="16" t="str">
        <x:v>Low</x:v>
      </x:c>
    </x:row>
    <x:row r="1927" ht="37" customHeight="1">
      <x:c r="A1927" s="16" t="str">
        <x:v>RAW-01921</x:v>
      </x:c>
      <x:c r="B1927" s="16" t="str">
        <x:v>Recommendation</x:v>
      </x:c>
      <x:c r="C1927" s="16" t="str">
        <x:v>– Clean, remove corrosion and repaint.</x:v>
      </x:c>
      <x:c r="D1927" s="16" t="str">
        <x:v>Photo frame support</x:v>
      </x:c>
      <x:c r="E1927" s="16" t="str">
        <x:v>SRC-101</x:v>
      </x:c>
      <x:c r="F1927" s="16" t="str">
        <x:v>REC-0002</x:v>
      </x:c>
      <x:c r="G1927" s="16" t="str">
        <x:v>审阅或辅助文档</x:v>
      </x:c>
      <x:c r="H1927" s="19" t="n">
        <x:v>7</x:v>
      </x:c>
      <x:c r="I1927" s="19" t="n">
        <x:v>6</x:v>
      </x:c>
      <x:c r="J1927" s="19" t="n">
        <x:v>1</x:v>
      </x:c>
      <x:c r="K1927" s="16" t="str">
        <x:v>3. Minor deterioration</x:v>
      </x:c>
      <x:c r="L1927" s="16" t="str">
        <x:v>Unlikely</x:v>
      </x:c>
      <x:c r="M1927" s="16" t="str">
        <x:v>Minor</x:v>
      </x:c>
      <x:c r="N1927" s="16" t="str">
        <x:v>Low</x:v>
      </x:c>
    </x:row>
    <x:row r="1928" ht="37" customHeight="1">
      <x:c r="A1928" s="16" t="str">
        <x:v>RAW-01922</x:v>
      </x:c>
      <x:c r="B1928" s="16" t="str">
        <x:v>Observation</x:v>
      </x:c>
      <x:c r="C1928" s="16" t="str">
        <x:v>– Minor corrosion at end plate connections.</x:v>
      </x:c>
      <x:c r="D1928" s="16" t="str">
        <x:v>Photo frame support</x:v>
      </x:c>
      <x:c r="E1928" s="16" t="str">
        <x:v>SRC-101</x:v>
      </x:c>
      <x:c r="F1928" s="16" t="str"/>
      <x:c r="G1928" s="16" t="str">
        <x:v>审阅或辅助文档</x:v>
      </x:c>
      <x:c r="H1928" s="19" t="n">
        <x:v>7</x:v>
      </x:c>
      <x:c r="I1928" s="19" t="n">
        <x:v>7</x:v>
      </x:c>
      <x:c r="J1928" s="19" t="n">
        <x:v>1</x:v>
      </x:c>
      <x:c r="K1928" s="16" t="str">
        <x:v>3. Minor deterioration</x:v>
      </x:c>
      <x:c r="L1928" s="16" t="str">
        <x:v>Unlikely</x:v>
      </x:c>
      <x:c r="M1928" s="16" t="str">
        <x:v>Minor</x:v>
      </x:c>
      <x:c r="N1928" s="16" t="str">
        <x:v>Low</x:v>
      </x:c>
    </x:row>
    <x:row r="1929" ht="37" customHeight="1">
      <x:c r="A1929" s="16" t="str">
        <x:v>RAW-01923</x:v>
      </x:c>
      <x:c r="B1929" s="16" t="str">
        <x:v>Recommendation</x:v>
      </x:c>
      <x:c r="C1929" s="16" t="str">
        <x:v>– Clean, remove corrosion and repaint.</x:v>
      </x:c>
      <x:c r="D1929" s="16" t="str">
        <x:v>Photo frame support</x:v>
      </x:c>
      <x:c r="E1929" s="16" t="str">
        <x:v>SRC-101</x:v>
      </x:c>
      <x:c r="F1929" s="16" t="str">
        <x:v>REC-0002</x:v>
      </x:c>
      <x:c r="G1929" s="16" t="str">
        <x:v>审阅或辅助文档</x:v>
      </x:c>
      <x:c r="H1929" s="19" t="n">
        <x:v>7</x:v>
      </x:c>
      <x:c r="I1929" s="19" t="n">
        <x:v>7</x:v>
      </x:c>
      <x:c r="J1929" s="19" t="n">
        <x:v>1</x:v>
      </x:c>
      <x:c r="K1929" s="16" t="str">
        <x:v>3. Minor deterioration</x:v>
      </x:c>
      <x:c r="L1929" s="16" t="str">
        <x:v>Unlikely</x:v>
      </x:c>
      <x:c r="M1929" s="16" t="str">
        <x:v>Minor</x:v>
      </x:c>
      <x:c r="N1929" s="16" t="str">
        <x:v>Low</x:v>
      </x:c>
    </x:row>
    <x:row r="1930" ht="37" customHeight="1">
      <x:c r="A1930" s="16" t="str">
        <x:v>RAW-01924</x:v>
      </x:c>
      <x:c r="B1930" s="16" t="str">
        <x:v>Observation</x:v>
      </x:c>
      <x:c r="C1930" s="16" t="str">
        <x:v>– Minor corrosion at end plate connections.</x:v>
      </x:c>
      <x:c r="D1930" s="16" t="str">
        <x:v>Photo frame support</x:v>
      </x:c>
      <x:c r="E1930" s="16" t="str">
        <x:v>SRC-101</x:v>
      </x:c>
      <x:c r="F1930" s="16" t="str"/>
      <x:c r="G1930" s="16" t="str">
        <x:v>审阅或辅助文档</x:v>
      </x:c>
      <x:c r="H1930" s="19" t="n">
        <x:v>7</x:v>
      </x:c>
      <x:c r="I1930" s="19" t="n">
        <x:v>8</x:v>
      </x:c>
      <x:c r="J1930" s="19" t="n">
        <x:v>1</x:v>
      </x:c>
      <x:c r="K1930" s="16" t="str">
        <x:v>3. Minor deterioration</x:v>
      </x:c>
      <x:c r="L1930" s="16" t="str">
        <x:v>Unlikely</x:v>
      </x:c>
      <x:c r="M1930" s="16" t="str">
        <x:v>Minor</x:v>
      </x:c>
      <x:c r="N1930" s="16" t="str">
        <x:v>Low</x:v>
      </x:c>
    </x:row>
    <x:row r="1931" ht="37" customHeight="1">
      <x:c r="A1931" s="16" t="str">
        <x:v>RAW-01925</x:v>
      </x:c>
      <x:c r="B1931" s="16" t="str">
        <x:v>Recommendation</x:v>
      </x:c>
      <x:c r="C1931" s="16" t="str">
        <x:v>– Clean, remove corrosion and repaint.</x:v>
      </x:c>
      <x:c r="D1931" s="16" t="str">
        <x:v>Photo frame support</x:v>
      </x:c>
      <x:c r="E1931" s="16" t="str">
        <x:v>SRC-101</x:v>
      </x:c>
      <x:c r="F1931" s="16" t="str">
        <x:v>REC-0002</x:v>
      </x:c>
      <x:c r="G1931" s="16" t="str">
        <x:v>审阅或辅助文档</x:v>
      </x:c>
      <x:c r="H1931" s="19" t="n">
        <x:v>7</x:v>
      </x:c>
      <x:c r="I1931" s="19" t="n">
        <x:v>8</x:v>
      </x:c>
      <x:c r="J1931" s="19" t="n">
        <x:v>1</x:v>
      </x:c>
      <x:c r="K1931" s="16" t="str">
        <x:v>3. Minor deterioration</x:v>
      </x:c>
      <x:c r="L1931" s="16" t="str">
        <x:v>Unlikely</x:v>
      </x:c>
      <x:c r="M1931" s="16" t="str">
        <x:v>Minor</x:v>
      </x:c>
      <x:c r="N1931" s="16" t="str">
        <x:v>Low</x:v>
      </x:c>
    </x:row>
    <x:row r="1932" ht="37" customHeight="1">
      <x:c r="A1932" s="16" t="str">
        <x:v>RAW-01926</x:v>
      </x:c>
      <x:c r="B1932" s="16" t="str">
        <x:v>Observation</x:v>
      </x:c>
      <x:c r="C1932" s="16" t="str">
        <x:v>– Minor corrosion at end plate connections.</x:v>
      </x:c>
      <x:c r="D1932" s="16" t="str">
        <x:v>Photo frame support</x:v>
      </x:c>
      <x:c r="E1932" s="16" t="str">
        <x:v>SRC-101</x:v>
      </x:c>
      <x:c r="F1932" s="16" t="str"/>
      <x:c r="G1932" s="16" t="str">
        <x:v>审阅或辅助文档</x:v>
      </x:c>
      <x:c r="H1932" s="19" t="n">
        <x:v>7</x:v>
      </x:c>
      <x:c r="I1932" s="19" t="n">
        <x:v>9</x:v>
      </x:c>
      <x:c r="J1932" s="19" t="n">
        <x:v>1</x:v>
      </x:c>
      <x:c r="K1932" s="16" t="str">
        <x:v>3. Minor deterioration</x:v>
      </x:c>
      <x:c r="L1932" s="16" t="str">
        <x:v>Unlikely</x:v>
      </x:c>
      <x:c r="M1932" s="16" t="str">
        <x:v>Minor</x:v>
      </x:c>
      <x:c r="N1932" s="16" t="str">
        <x:v>Low</x:v>
      </x:c>
    </x:row>
    <x:row r="1933" ht="37" customHeight="1">
      <x:c r="A1933" s="16" t="str">
        <x:v>RAW-01927</x:v>
      </x:c>
      <x:c r="B1933" s="16" t="str">
        <x:v>Recommendation</x:v>
      </x:c>
      <x:c r="C1933" s="16" t="str">
        <x:v>– Clean, remove corrosion and repaint.</x:v>
      </x:c>
      <x:c r="D1933" s="16" t="str">
        <x:v>Photo frame support</x:v>
      </x:c>
      <x:c r="E1933" s="16" t="str">
        <x:v>SRC-101</x:v>
      </x:c>
      <x:c r="F1933" s="16" t="str">
        <x:v>REC-0002</x:v>
      </x:c>
      <x:c r="G1933" s="16" t="str">
        <x:v>审阅或辅助文档</x:v>
      </x:c>
      <x:c r="H1933" s="19" t="n">
        <x:v>7</x:v>
      </x:c>
      <x:c r="I1933" s="19" t="n">
        <x:v>9</x:v>
      </x:c>
      <x:c r="J1933" s="19" t="n">
        <x:v>1</x:v>
      </x:c>
      <x:c r="K1933" s="16" t="str">
        <x:v>3. Minor deterioration</x:v>
      </x:c>
      <x:c r="L1933" s="16" t="str">
        <x:v>Unlikely</x:v>
      </x:c>
      <x:c r="M1933" s="16" t="str">
        <x:v>Minor</x:v>
      </x:c>
      <x:c r="N1933" s="16" t="str">
        <x:v>Low</x:v>
      </x:c>
    </x:row>
    <x:row r="1934" ht="37" customHeight="1">
      <x:c r="A1934" s="16" t="str">
        <x:v>RAW-01928</x:v>
      </x:c>
      <x:c r="B1934" s="16" t="str">
        <x:v>Observation</x:v>
      </x:c>
      <x:c r="C1934" s="16" t="str">
        <x:v>– Walkway in good condition with local minor corrosion.</x:v>
      </x:c>
      <x:c r="D1934" s="16" t="str">
        <x:v>Walkway</x:v>
      </x:c>
      <x:c r="E1934" s="16" t="str">
        <x:v>SRC-101</x:v>
      </x:c>
      <x:c r="F1934" s="16" t="str">
        <x:v>OBS-0018</x:v>
      </x:c>
      <x:c r="G1934" s="16" t="str">
        <x:v>审阅或辅助文档</x:v>
      </x:c>
      <x:c r="H1934" s="19" t="n">
        <x:v>8</x:v>
      </x:c>
      <x:c r="I1934" s="19" t="n">
        <x:v>6</x:v>
      </x:c>
      <x:c r="J1934" s="19" t="n">
        <x:v>1</x:v>
      </x:c>
      <x:c r="K1934" s="16" t="str">
        <x:v>2. New with slight deterioration</x:v>
      </x:c>
      <x:c r="L1934" s="16" t="str">
        <x:v>Unlikely</x:v>
      </x:c>
      <x:c r="M1934" s="16" t="str">
        <x:v>Moderate</x:v>
      </x:c>
      <x:c r="N1934" s="16" t="str">
        <x:v>Low</x:v>
      </x:c>
    </x:row>
    <x:row r="1935" ht="37" customHeight="1">
      <x:c r="A1935" s="16" t="str">
        <x:v>RAW-01929</x:v>
      </x:c>
      <x:c r="B1935" s="16" t="str">
        <x:v>Recommendation</x:v>
      </x:c>
      <x:c r="C1935" s="16" t="str">
        <x:v>– Clean, remove corrosion and repaint.</x:v>
      </x:c>
      <x:c r="D1935" s="16" t="str">
        <x:v>Walkway</x:v>
      </x:c>
      <x:c r="E1935" s="16" t="str">
        <x:v>SRC-101</x:v>
      </x:c>
      <x:c r="F1935" s="16" t="str">
        <x:v>REC-0002</x:v>
      </x:c>
      <x:c r="G1935" s="16" t="str">
        <x:v>审阅或辅助文档</x:v>
      </x:c>
      <x:c r="H1935" s="19" t="n">
        <x:v>8</x:v>
      </x:c>
      <x:c r="I1935" s="19" t="n">
        <x:v>6</x:v>
      </x:c>
      <x:c r="J1935" s="19" t="n">
        <x:v>1</x:v>
      </x:c>
      <x:c r="K1935" s="16" t="str">
        <x:v>2. New with slight deterioration</x:v>
      </x:c>
      <x:c r="L1935" s="16" t="str">
        <x:v>Unlikely</x:v>
      </x:c>
      <x:c r="M1935" s="16" t="str">
        <x:v>Moderate</x:v>
      </x:c>
      <x:c r="N1935" s="16" t="str">
        <x:v>Low</x:v>
      </x:c>
    </x:row>
    <x:row r="1936" ht="37" customHeight="1">
      <x:c r="A1936" s="16" t="str">
        <x:v>RAW-01930</x:v>
      </x:c>
      <x:c r="B1936" s="16" t="str">
        <x:v>Observation</x:v>
      </x:c>
      <x:c r="C1936" s="16" t="str">
        <x:v>– Walkway in good condition with local minor corrosion.</x:v>
      </x:c>
      <x:c r="D1936" s="16" t="str">
        <x:v>Walkway</x:v>
      </x:c>
      <x:c r="E1936" s="16" t="str">
        <x:v>SRC-101</x:v>
      </x:c>
      <x:c r="F1936" s="16" t="str">
        <x:v>OBS-0018</x:v>
      </x:c>
      <x:c r="G1936" s="16" t="str">
        <x:v>审阅或辅助文档</x:v>
      </x:c>
      <x:c r="H1936" s="19" t="n">
        <x:v>8</x:v>
      </x:c>
      <x:c r="I1936" s="19" t="n">
        <x:v>7</x:v>
      </x:c>
      <x:c r="J1936" s="19" t="n">
        <x:v>1</x:v>
      </x:c>
      <x:c r="K1936" s="16" t="str">
        <x:v>2. New with slight deterioration</x:v>
      </x:c>
      <x:c r="L1936" s="16" t="str">
        <x:v>Unlikely</x:v>
      </x:c>
      <x:c r="M1936" s="16" t="str">
        <x:v>Moderate</x:v>
      </x:c>
      <x:c r="N1936" s="16" t="str">
        <x:v>Low</x:v>
      </x:c>
    </x:row>
    <x:row r="1937" ht="37" customHeight="1">
      <x:c r="A1937" s="16" t="str">
        <x:v>RAW-01931</x:v>
      </x:c>
      <x:c r="B1937" s="16" t="str">
        <x:v>Recommendation</x:v>
      </x:c>
      <x:c r="C1937" s="16" t="str">
        <x:v>– Clean, remove corrosion and repaint.</x:v>
      </x:c>
      <x:c r="D1937" s="16" t="str">
        <x:v>Walkway</x:v>
      </x:c>
      <x:c r="E1937" s="16" t="str">
        <x:v>SRC-101</x:v>
      </x:c>
      <x:c r="F1937" s="16" t="str">
        <x:v>REC-0002</x:v>
      </x:c>
      <x:c r="G1937" s="16" t="str">
        <x:v>审阅或辅助文档</x:v>
      </x:c>
      <x:c r="H1937" s="19" t="n">
        <x:v>8</x:v>
      </x:c>
      <x:c r="I1937" s="19" t="n">
        <x:v>7</x:v>
      </x:c>
      <x:c r="J1937" s="19" t="n">
        <x:v>1</x:v>
      </x:c>
      <x:c r="K1937" s="16" t="str">
        <x:v>2. New with slight deterioration</x:v>
      </x:c>
      <x:c r="L1937" s="16" t="str">
        <x:v>Unlikely</x:v>
      </x:c>
      <x:c r="M1937" s="16" t="str">
        <x:v>Moderate</x:v>
      </x:c>
      <x:c r="N1937" s="16" t="str">
        <x:v>Low</x:v>
      </x:c>
    </x:row>
    <x:row r="1938" ht="37" customHeight="1">
      <x:c r="A1938" s="16" t="str">
        <x:v>RAW-01932</x:v>
      </x:c>
      <x:c r="B1938" s="16" t="str">
        <x:v>Observation</x:v>
      </x:c>
      <x:c r="C1938" s="16" t="str">
        <x:v>– Walkway in good condition with local minor corrosion.</x:v>
      </x:c>
      <x:c r="D1938" s="16" t="str">
        <x:v>Walkway</x:v>
      </x:c>
      <x:c r="E1938" s="16" t="str">
        <x:v>SRC-101</x:v>
      </x:c>
      <x:c r="F1938" s="16" t="str">
        <x:v>OBS-0018</x:v>
      </x:c>
      <x:c r="G1938" s="16" t="str">
        <x:v>审阅或辅助文档</x:v>
      </x:c>
      <x:c r="H1938" s="19" t="n">
        <x:v>8</x:v>
      </x:c>
      <x:c r="I1938" s="19" t="n">
        <x:v>8</x:v>
      </x:c>
      <x:c r="J1938" s="19" t="n">
        <x:v>1</x:v>
      </x:c>
      <x:c r="K1938" s="16" t="str">
        <x:v>2. New with slight deterioration</x:v>
      </x:c>
      <x:c r="L1938" s="16" t="str">
        <x:v>Unlikely</x:v>
      </x:c>
      <x:c r="M1938" s="16" t="str">
        <x:v>Moderate</x:v>
      </x:c>
      <x:c r="N1938" s="16" t="str">
        <x:v>Low</x:v>
      </x:c>
    </x:row>
    <x:row r="1939" ht="37" customHeight="1">
      <x:c r="A1939" s="16" t="str">
        <x:v>RAW-01933</x:v>
      </x:c>
      <x:c r="B1939" s="16" t="str">
        <x:v>Recommendation</x:v>
      </x:c>
      <x:c r="C1939" s="16" t="str">
        <x:v>– Clean, remove corrosion and repaint.</x:v>
      </x:c>
      <x:c r="D1939" s="16" t="str">
        <x:v>Walkway</x:v>
      </x:c>
      <x:c r="E1939" s="16" t="str">
        <x:v>SRC-101</x:v>
      </x:c>
      <x:c r="F1939" s="16" t="str">
        <x:v>REC-0002</x:v>
      </x:c>
      <x:c r="G1939" s="16" t="str">
        <x:v>审阅或辅助文档</x:v>
      </x:c>
      <x:c r="H1939" s="19" t="n">
        <x:v>8</x:v>
      </x:c>
      <x:c r="I1939" s="19" t="n">
        <x:v>8</x:v>
      </x:c>
      <x:c r="J1939" s="19" t="n">
        <x:v>1</x:v>
      </x:c>
      <x:c r="K1939" s="16" t="str">
        <x:v>2. New with slight deterioration</x:v>
      </x:c>
      <x:c r="L1939" s="16" t="str">
        <x:v>Unlikely</x:v>
      </x:c>
      <x:c r="M1939" s="16" t="str">
        <x:v>Moderate</x:v>
      </x:c>
      <x:c r="N1939" s="16" t="str">
        <x:v>Low</x:v>
      </x:c>
    </x:row>
    <x:row r="1940" ht="37" customHeight="1">
      <x:c r="A1940" s="16" t="str">
        <x:v>RAW-01934</x:v>
      </x:c>
      <x:c r="B1940" s="16" t="str">
        <x:v>Observation</x:v>
      </x:c>
      <x:c r="C1940" s="16" t="str">
        <x:v>– Walkway in good condition with local minor corrosion.</x:v>
      </x:c>
      <x:c r="D1940" s="16" t="str">
        <x:v>Walkway</x:v>
      </x:c>
      <x:c r="E1940" s="16" t="str">
        <x:v>SRC-101</x:v>
      </x:c>
      <x:c r="F1940" s="16" t="str">
        <x:v>OBS-0018</x:v>
      </x:c>
      <x:c r="G1940" s="16" t="str">
        <x:v>审阅或辅助文档</x:v>
      </x:c>
      <x:c r="H1940" s="19" t="n">
        <x:v>8</x:v>
      </x:c>
      <x:c r="I1940" s="19" t="n">
        <x:v>9</x:v>
      </x:c>
      <x:c r="J1940" s="19" t="n">
        <x:v>1</x:v>
      </x:c>
      <x:c r="K1940" s="16" t="str">
        <x:v>2. New with slight deterioration</x:v>
      </x:c>
      <x:c r="L1940" s="16" t="str">
        <x:v>Unlikely</x:v>
      </x:c>
      <x:c r="M1940" s="16" t="str">
        <x:v>Moderate</x:v>
      </x:c>
      <x:c r="N1940" s="16" t="str">
        <x:v>Low</x:v>
      </x:c>
    </x:row>
    <x:row r="1941" ht="37" customHeight="1">
      <x:c r="A1941" s="16" t="str">
        <x:v>RAW-01935</x:v>
      </x:c>
      <x:c r="B1941" s="16" t="str">
        <x:v>Recommendation</x:v>
      </x:c>
      <x:c r="C1941" s="16" t="str">
        <x:v>– Clean, remove corrosion and repaint.</x:v>
      </x:c>
      <x:c r="D1941" s="16" t="str">
        <x:v>Walkway</x:v>
      </x:c>
      <x:c r="E1941" s="16" t="str">
        <x:v>SRC-101</x:v>
      </x:c>
      <x:c r="F1941" s="16" t="str">
        <x:v>REC-0002</x:v>
      </x:c>
      <x:c r="G1941" s="16" t="str">
        <x:v>审阅或辅助文档</x:v>
      </x:c>
      <x:c r="H1941" s="19" t="n">
        <x:v>8</x:v>
      </x:c>
      <x:c r="I1941" s="19" t="n">
        <x:v>9</x:v>
      </x:c>
      <x:c r="J1941" s="19" t="n">
        <x:v>1</x:v>
      </x:c>
      <x:c r="K1941" s="16" t="str">
        <x:v>2. New with slight deterioration</x:v>
      </x:c>
      <x:c r="L1941" s="16" t="str">
        <x:v>Unlikely</x:v>
      </x:c>
      <x:c r="M1941" s="16" t="str">
        <x:v>Moderate</x:v>
      </x:c>
      <x:c r="N1941" s="16" t="str">
        <x:v>Low</x:v>
      </x:c>
    </x:row>
    <x:row r="1942" ht="37" customHeight="1">
      <x:c r="A1942" s="16" t="str">
        <x:v>RAW-01936</x:v>
      </x:c>
      <x:c r="B1942" s="16" t="str">
        <x:v>Observation</x:v>
      </x:c>
      <x:c r="C1942" s="16" t="str">
        <x:v>– Surface corrosion on bolt and nut.</x:v>
      </x:c>
      <x:c r="D1942" s="16" t="str">
        <x:v>Sea Plant</x:v>
      </x:c>
      <x:c r="E1942" s="16" t="str">
        <x:v>SRC-102</x:v>
      </x:c>
      <x:c r="F1942" s="16" t="str">
        <x:v>OBS-0583</x:v>
      </x:c>
      <x:c r="G1942" s="16" t="str">
        <x:v>正式报告</x:v>
      </x:c>
      <x:c r="H1942" s="19" t="n">
        <x:v>3</x:v>
      </x:c>
      <x:c r="I1942" s="19" t="n">
        <x:v>6</x:v>
      </x:c>
      <x:c r="J1942" s="19" t="n">
        <x:v>2</x:v>
      </x:c>
      <x:c r="K1942" s="16" t="str">
        <x:v>2. New with slight deterioration</x:v>
      </x:c>
      <x:c r="L1942" s="16" t="str">
        <x:v>Very unlikely</x:v>
      </x:c>
      <x:c r="M1942" s="16" t="str">
        <x:v>Moderate</x:v>
      </x:c>
      <x:c r="N1942" s="16" t="str">
        <x:v>Low</x:v>
      </x:c>
    </x:row>
    <x:row r="1943" ht="37" customHeight="1">
      <x:c r="A1943" s="16" t="str">
        <x:v>RAW-01937</x:v>
      </x:c>
      <x:c r="B1943" s="16" t="str">
        <x:v>Observation</x:v>
      </x:c>
      <x:c r="C1943" s="16" t="str">
        <x:v>– Green patina forming on surface.</x:v>
      </x:c>
      <x:c r="D1943" s="16" t="str">
        <x:v>Sea Plant</x:v>
      </x:c>
      <x:c r="E1943" s="16" t="str">
        <x:v>SRC-102</x:v>
      </x:c>
      <x:c r="F1943" s="16" t="str">
        <x:v>OBS-0320</x:v>
      </x:c>
      <x:c r="G1943" s="16" t="str">
        <x:v>正式报告</x:v>
      </x:c>
      <x:c r="H1943" s="19" t="n">
        <x:v>3</x:v>
      </x:c>
      <x:c r="I1943" s="19" t="n">
        <x:v>8</x:v>
      </x:c>
      <x:c r="J1943" s="19" t="n">
        <x:v>2</x:v>
      </x:c>
      <x:c r="K1943" s="16" t="str">
        <x:v>2. New with slight deterioration</x:v>
      </x:c>
      <x:c r="L1943" s="16" t="str">
        <x:v>Very unlikely</x:v>
      </x:c>
      <x:c r="M1943" s="16" t="str">
        <x:v>Moderate</x:v>
      </x:c>
      <x:c r="N1943" s="16" t="str">
        <x:v>Low</x:v>
      </x:c>
    </x:row>
    <x:row r="1944" ht="41" customHeight="1">
      <x:c r="A1944" s="16" t="str">
        <x:v>RAW-01938</x:v>
      </x:c>
      <x:c r="B1944" s="16" t="str">
        <x:v>Observation</x:v>
      </x:c>
      <x:c r="C1944" s="16" t="str">
        <x:v>– Corrosion at the lower portion of artwork. No footing was observed. Sprinkler system and rainwater pooling at ground level may be the cause of corrosion. Foot plates also corroded away.</x:v>
      </x:c>
      <x:c r="D1944" s="16" t="str">
        <x:v>Lower portion of the welded couple</x:v>
      </x:c>
      <x:c r="E1944" s="16" t="str">
        <x:v>SRC-103</x:v>
      </x:c>
      <x:c r="F1944" s="16" t="str">
        <x:v>OBS-0224</x:v>
      </x:c>
      <x:c r="G1944" s="16" t="str">
        <x:v>正式报告</x:v>
      </x:c>
      <x:c r="H1944" s="19" t="n">
        <x:v>3</x:v>
      </x:c>
      <x:c r="I1944" s="19" t="n">
        <x:v>6</x:v>
      </x:c>
      <x:c r="J1944" s="19" t="n">
        <x:v>3</x:v>
      </x:c>
      <x:c r="K1944" s="16" t="str">
        <x:v>6. Severe deterioration</x:v>
      </x:c>
      <x:c r="L1944" s="16" t="str">
        <x:v>Possible</x:v>
      </x:c>
      <x:c r="M1944" s="16" t="str">
        <x:v>Moderate</x:v>
      </x:c>
      <x:c r="N1944" s="16" t="str">
        <x:v>Critical</x:v>
      </x:c>
    </x:row>
    <x:row r="1945" ht="37" customHeight="1">
      <x:c r="A1945" s="16" t="str">
        <x:v>RAW-01939</x:v>
      </x:c>
      <x:c r="B1945" s="16" t="str">
        <x:v>Recommendation</x:v>
      </x:c>
      <x:c r="C1945" s="16" t="str">
        <x:v>– Investigate whether connection to footing is structurally sound.</x:v>
      </x:c>
      <x:c r="D1945" s="16" t="str">
        <x:v>Lower portion of the welded couple</x:v>
      </x:c>
      <x:c r="E1945" s="16" t="str">
        <x:v>SRC-103</x:v>
      </x:c>
      <x:c r="F1945" s="16" t="str">
        <x:v>REC-0108</x:v>
      </x:c>
      <x:c r="G1945" s="16" t="str">
        <x:v>正式报告</x:v>
      </x:c>
      <x:c r="H1945" s="19" t="n">
        <x:v>3</x:v>
      </x:c>
      <x:c r="I1945" s="19" t="n">
        <x:v>6</x:v>
      </x:c>
      <x:c r="J1945" s="19" t="n">
        <x:v>3</x:v>
      </x:c>
      <x:c r="K1945" s="16" t="str">
        <x:v>6. Severe deterioration</x:v>
      </x:c>
      <x:c r="L1945" s="16" t="str">
        <x:v>Possible</x:v>
      </x:c>
      <x:c r="M1945" s="16" t="str">
        <x:v>Moderate</x:v>
      </x:c>
      <x:c r="N1945" s="16" t="str">
        <x:v>Critical</x:v>
      </x:c>
    </x:row>
    <x:row r="1946" ht="37" customHeight="1">
      <x:c r="A1946" s="16" t="str">
        <x:v>RAW-01940</x:v>
      </x:c>
      <x:c r="B1946" s="16" t="str">
        <x:v>Observation</x:v>
      </x:c>
      <x:c r="C1946" s="16" t="str">
        <x:v>– Welds have failed causing plate to deform. Sharp edge could cause injury to the public.</x:v>
      </x:c>
      <x:c r="D1946" s="16" t="str">
        <x:v>Turnip</x:v>
      </x:c>
      <x:c r="E1946" s="16" t="str">
        <x:v>SRC-103</x:v>
      </x:c>
      <x:c r="F1946" s="16" t="str">
        <x:v>OBS-0605</x:v>
      </x:c>
      <x:c r="G1946" s="16" t="str">
        <x:v>正式报告</x:v>
      </x:c>
      <x:c r="H1946" s="19" t="n">
        <x:v>4</x:v>
      </x:c>
      <x:c r="I1946" s="19" t="n">
        <x:v>6</x:v>
      </x:c>
      <x:c r="J1946" s="19" t="n">
        <x:v>1</x:v>
      </x:c>
      <x:c r="K1946" s="16" t="str">
        <x:v>4. Moderate deterioration</x:v>
      </x:c>
      <x:c r="L1946" s="16" t="str">
        <x:v>Possible</x:v>
      </x:c>
      <x:c r="M1946" s="16" t="str">
        <x:v>Moderate</x:v>
      </x:c>
      <x:c r="N1946" s="16" t="str">
        <x:v>High</x:v>
      </x:c>
    </x:row>
    <x:row r="1947" ht="37" customHeight="1">
      <x:c r="A1947" s="16" t="str">
        <x:v>RAW-01941</x:v>
      </x:c>
      <x:c r="B1947" s="16" t="str">
        <x:v>Recommendation</x:v>
      </x:c>
      <x:c r="C1947" s="16" t="str">
        <x:v>– Reinstate plate that has deformed with spot weld.</x:v>
      </x:c>
      <x:c r="D1947" s="16" t="str">
        <x:v>Turnip</x:v>
      </x:c>
      <x:c r="E1947" s="16" t="str">
        <x:v>SRC-103</x:v>
      </x:c>
      <x:c r="F1947" s="16" t="str">
        <x:v>REC-0033</x:v>
      </x:c>
      <x:c r="G1947" s="16" t="str">
        <x:v>正式报告</x:v>
      </x:c>
      <x:c r="H1947" s="19" t="n">
        <x:v>4</x:v>
      </x:c>
      <x:c r="I1947" s="19" t="n">
        <x:v>6</x:v>
      </x:c>
      <x:c r="J1947" s="19" t="n">
        <x:v>1</x:v>
      </x:c>
      <x:c r="K1947" s="16" t="str">
        <x:v>4. Moderate deterioration</x:v>
      </x:c>
      <x:c r="L1947" s="16" t="str">
        <x:v>Possible</x:v>
      </x:c>
      <x:c r="M1947" s="16" t="str">
        <x:v>Moderate</x:v>
      </x:c>
      <x:c r="N1947" s="16" t="str">
        <x:v>High</x:v>
      </x:c>
    </x:row>
    <x:row r="1948" ht="37" customHeight="1">
      <x:c r="A1948" s="16" t="str">
        <x:v>RAW-01942</x:v>
      </x:c>
      <x:c r="B1948" s="16" t="str">
        <x:v>Observation</x:v>
      </x:c>
      <x:c r="C1948" s="16" t="str">
        <x:v>– holes in plate.</x:v>
      </x:c>
      <x:c r="D1948" s="16" t="str">
        <x:v>Turnip</x:v>
      </x:c>
      <x:c r="E1948" s="16" t="str">
        <x:v>SRC-103</x:v>
      </x:c>
      <x:c r="F1948" s="16" t="str">
        <x:v>OBS-0617</x:v>
      </x:c>
      <x:c r="G1948" s="16" t="str">
        <x:v>正式报告</x:v>
      </x:c>
      <x:c r="H1948" s="19" t="n">
        <x:v>4</x:v>
      </x:c>
      <x:c r="I1948" s="19" t="n">
        <x:v>7</x:v>
      </x:c>
      <x:c r="J1948" s="19" t="n">
        <x:v>1</x:v>
      </x:c>
      <x:c r="K1948" s="16" t="str">
        <x:v>4. Moderate deterioration</x:v>
      </x:c>
      <x:c r="L1948" s="16" t="str">
        <x:v>Possible</x:v>
      </x:c>
      <x:c r="M1948" s="16" t="str">
        <x:v>Moderate</x:v>
      </x:c>
      <x:c r="N1948" s="16" t="str">
        <x:v>High</x:v>
      </x:c>
    </x:row>
    <x:row r="1949" ht="37" customHeight="1">
      <x:c r="A1949" s="16" t="str">
        <x:v>RAW-01943</x:v>
      </x:c>
      <x:c r="B1949" s="16" t="str">
        <x:v>Recommendation</x:v>
      </x:c>
      <x:c r="C1949" s="16" t="str">
        <x:v>– Reinstate plate that has deformed with spot weld.</x:v>
      </x:c>
      <x:c r="D1949" s="16" t="str">
        <x:v>Turnip</x:v>
      </x:c>
      <x:c r="E1949" s="16" t="str">
        <x:v>SRC-103</x:v>
      </x:c>
      <x:c r="F1949" s="16" t="str">
        <x:v>REC-0033</x:v>
      </x:c>
      <x:c r="G1949" s="16" t="str">
        <x:v>正式报告</x:v>
      </x:c>
      <x:c r="H1949" s="19" t="n">
        <x:v>4</x:v>
      </x:c>
      <x:c r="I1949" s="19" t="n">
        <x:v>7</x:v>
      </x:c>
      <x:c r="J1949" s="19" t="n">
        <x:v>1</x:v>
      </x:c>
      <x:c r="K1949" s="16" t="str">
        <x:v>4. Moderate deterioration</x:v>
      </x:c>
      <x:c r="L1949" s="16" t="str">
        <x:v>Possible</x:v>
      </x:c>
      <x:c r="M1949" s="16" t="str">
        <x:v>Moderate</x:v>
      </x:c>
      <x:c r="N1949" s="16" t="str">
        <x:v>High</x:v>
      </x:c>
    </x:row>
    <x:row r="1950" ht="37" customHeight="1">
      <x:c r="A1950" s="16" t="str">
        <x:v>RAW-01944</x:v>
      </x:c>
      <x:c r="B1950" s="16" t="str">
        <x:v>Observation</x:v>
      </x:c>
      <x:c r="C1950" s="16" t="str">
        <x:v>– Minor surface corrosion on plates. Small holes through plates.</x:v>
      </x:c>
      <x:c r="D1950" s="16" t="str">
        <x:v>Welded couple</x:v>
      </x:c>
      <x:c r="E1950" s="16" t="str">
        <x:v>SRC-103</x:v>
      </x:c>
      <x:c r="F1950" s="16" t="str">
        <x:v>OBS-0410</x:v>
      </x:c>
      <x:c r="G1950" s="16" t="str">
        <x:v>正式报告</x:v>
      </x:c>
      <x:c r="H1950" s="19" t="n">
        <x:v>5</x:v>
      </x:c>
      <x:c r="I1950" s="19" t="n">
        <x:v>6</x:v>
      </x:c>
      <x:c r="J1950" s="19" t="n">
        <x:v>3</x:v>
      </x:c>
      <x:c r="K1950" s="16" t="str">
        <x:v>2. New with slight deterioration</x:v>
      </x:c>
      <x:c r="L1950" s="16" t="str">
        <x:v>Unlikely</x:v>
      </x:c>
      <x:c r="M1950" s="16" t="str">
        <x:v>Negligible</x:v>
      </x:c>
      <x:c r="N1950" s="16" t="str">
        <x:v>Low</x:v>
      </x:c>
    </x:row>
    <x:row r="1951" ht="37" customHeight="1">
      <x:c r="A1951" s="16" t="str">
        <x:v>RAW-01945</x:v>
      </x:c>
      <x:c r="B1951" s="16" t="str">
        <x:v>Recommendation</x:v>
      </x:c>
      <x:c r="C1951" s="16" t="str">
        <x:v>– Clean, wire brush and repaint or leave untreated.</x:v>
      </x:c>
      <x:c r="D1951" s="16" t="str">
        <x:v>Welded couple</x:v>
      </x:c>
      <x:c r="E1951" s="16" t="str">
        <x:v>SRC-103</x:v>
      </x:c>
      <x:c r="F1951" s="16" t="str">
        <x:v>REC-0076</x:v>
      </x:c>
      <x:c r="G1951" s="16" t="str">
        <x:v>正式报告</x:v>
      </x:c>
      <x:c r="H1951" s="19" t="n">
        <x:v>5</x:v>
      </x:c>
      <x:c r="I1951" s="19" t="n">
        <x:v>6</x:v>
      </x:c>
      <x:c r="J1951" s="19" t="n">
        <x:v>3</x:v>
      </x:c>
      <x:c r="K1951" s="16" t="str">
        <x:v>2. New with slight deterioration</x:v>
      </x:c>
      <x:c r="L1951" s="16" t="str">
        <x:v>Unlikely</x:v>
      </x:c>
      <x:c r="M1951" s="16" t="str">
        <x:v>Negligible</x:v>
      </x:c>
      <x:c r="N1951" s="16" t="str">
        <x:v>Low</x:v>
      </x:c>
    </x:row>
    <x:row r="1952" ht="37" customHeight="1">
      <x:c r="A1952" s="16" t="str">
        <x:v>RAW-01946</x:v>
      </x:c>
      <x:c r="B1952" s="16" t="str">
        <x:v>Observation</x:v>
      </x:c>
      <x:c r="C1952" s="16" t="str">
        <x:v>– Surface corrosion at lower portion of the structure.</x:v>
      </x:c>
      <x:c r="D1952" s="16" t="str">
        <x:v>Steel shell</x:v>
      </x:c>
      <x:c r="E1952" s="16" t="str">
        <x:v>SRC-104</x:v>
      </x:c>
      <x:c r="F1952" s="16" t="str">
        <x:v>OBS-0580</x:v>
      </x:c>
      <x:c r="G1952" s="16" t="str">
        <x:v>正式报告</x:v>
      </x:c>
      <x:c r="H1952" s="19" t="n">
        <x:v>3</x:v>
      </x:c>
      <x:c r="I1952" s="19" t="n">
        <x:v>6</x:v>
      </x:c>
      <x:c r="J1952" s="19" t="n">
        <x:v>1</x:v>
      </x:c>
      <x:c r="K1952" s="16" t="str">
        <x:v>7. Very severe deterioration</x:v>
      </x:c>
      <x:c r="L1952" s="16" t="str">
        <x:v>Very likely</x:v>
      </x:c>
      <x:c r="M1952" s="16" t="str">
        <x:v>Minor</x:v>
      </x:c>
      <x:c r="N1952" s="16" t="str">
        <x:v>High</x:v>
      </x:c>
    </x:row>
    <x:row r="1953" ht="37" customHeight="1">
      <x:c r="A1953" s="16" t="str">
        <x:v>RAW-01947</x:v>
      </x:c>
      <x:c r="B1953" s="16" t="str">
        <x:v>Observation</x:v>
      </x:c>
      <x:c r="C1953" s="16" t="str">
        <x:v>– Surface corrosion.</x:v>
      </x:c>
      <x:c r="D1953" s="16" t="str">
        <x:v>Steel shell</x:v>
      </x:c>
      <x:c r="E1953" s="16" t="str">
        <x:v>SRC-104</x:v>
      </x:c>
      <x:c r="F1953" s="16" t="str">
        <x:v>OBS-0587</x:v>
      </x:c>
      <x:c r="G1953" s="16" t="str">
        <x:v>正式报告</x:v>
      </x:c>
      <x:c r="H1953" s="19" t="n">
        <x:v>3</x:v>
      </x:c>
      <x:c r="I1953" s="19" t="n">
        <x:v>7</x:v>
      </x:c>
      <x:c r="J1953" s="19" t="n">
        <x:v>1</x:v>
      </x:c>
      <x:c r="K1953" s="16" t="str">
        <x:v>7. Very severe deterioration</x:v>
      </x:c>
      <x:c r="L1953" s="16" t="str">
        <x:v>Very likely</x:v>
      </x:c>
      <x:c r="M1953" s="16" t="str">
        <x:v>Minor</x:v>
      </x:c>
      <x:c r="N1953" s="16" t="str">
        <x:v>High</x:v>
      </x:c>
    </x:row>
    <x:row r="1954" ht="37" customHeight="1">
      <x:c r="A1954" s="16" t="str">
        <x:v>RAW-01948</x:v>
      </x:c>
      <x:c r="B1954" s="16" t="str">
        <x:v>Observation</x:v>
      </x:c>
      <x:c r="C1954" s="16" t="str">
        <x:v>– Surface corrosion. Shell corroded with holes.</x:v>
      </x:c>
      <x:c r="D1954" s="16" t="str">
        <x:v>Steel shell</x:v>
      </x:c>
      <x:c r="E1954" s="16" t="str">
        <x:v>SRC-104</x:v>
      </x:c>
      <x:c r="F1954" s="16" t="str">
        <x:v>OBS-0588</x:v>
      </x:c>
      <x:c r="G1954" s="16" t="str">
        <x:v>正式报告</x:v>
      </x:c>
      <x:c r="H1954" s="19" t="n">
        <x:v>3</x:v>
      </x:c>
      <x:c r="I1954" s="19" t="n">
        <x:v>8</x:v>
      </x:c>
      <x:c r="J1954" s="19" t="n">
        <x:v>2</x:v>
      </x:c>
      <x:c r="K1954" s="16" t="str">
        <x:v>7. Very severe deterioration</x:v>
      </x:c>
      <x:c r="L1954" s="16" t="str">
        <x:v>Very likely</x:v>
      </x:c>
      <x:c r="M1954" s="16" t="str">
        <x:v>Minor</x:v>
      </x:c>
      <x:c r="N1954" s="16" t="str">
        <x:v>High</x:v>
      </x:c>
    </x:row>
    <x:row r="1955" ht="41" customHeight="1">
      <x:c r="A1955" s="16" t="str">
        <x:v>RAW-01949</x:v>
      </x:c>
      <x:c r="B1955" s="16" t="str">
        <x:v>Recommendation</x:v>
      </x:c>
      <x:c r="C1955" s="16" t="str">
        <x:v>– Clean, wire brush and repaint all surfaces with minor corrosion and paint deterioration. Cover plate to be welded over localised holes, if not possible yellow shell to be replaced.</x:v>
      </x:c>
      <x:c r="D1955" s="16" t="str">
        <x:v>Steel shell</x:v>
      </x:c>
      <x:c r="E1955" s="16" t="str">
        <x:v>SRC-104</x:v>
      </x:c>
      <x:c r="F1955" s="16" t="str">
        <x:v>REC-0073</x:v>
      </x:c>
      <x:c r="G1955" s="16" t="str">
        <x:v>正式报告</x:v>
      </x:c>
      <x:c r="H1955" s="19" t="n">
        <x:v>3</x:v>
      </x:c>
      <x:c r="I1955" s="19" t="n">
        <x:v>8</x:v>
      </x:c>
      <x:c r="J1955" s="19" t="n">
        <x:v>2</x:v>
      </x:c>
      <x:c r="K1955" s="16" t="str">
        <x:v>7. Very severe deterioration</x:v>
      </x:c>
      <x:c r="L1955" s="16" t="str">
        <x:v>Very likely</x:v>
      </x:c>
      <x:c r="M1955" s="16" t="str">
        <x:v>Minor</x:v>
      </x:c>
      <x:c r="N1955" s="16" t="str">
        <x:v>High</x:v>
      </x:c>
    </x:row>
    <x:row r="1956" ht="37" customHeight="1">
      <x:c r="A1956" s="16" t="str">
        <x:v>RAW-01950</x:v>
      </x:c>
      <x:c r="B1956" s="16" t="str">
        <x:v>Observation</x:v>
      </x:c>
      <x:c r="C1956" s="16" t="str">
        <x:v>– Moderate delamination of steel at low potion where contacts with the ground.</x:v>
      </x:c>
      <x:c r="D1956" s="16" t="str">
        <x:v>Steel bird head</x:v>
      </x:c>
      <x:c r="E1956" s="16" t="str">
        <x:v>SRC-104</x:v>
      </x:c>
      <x:c r="F1956" s="16" t="str">
        <x:v>OBS-0418</x:v>
      </x:c>
      <x:c r="G1956" s="16" t="str">
        <x:v>正式报告</x:v>
      </x:c>
      <x:c r="H1956" s="19" t="n">
        <x:v>4</x:v>
      </x:c>
      <x:c r="I1956" s="19" t="n">
        <x:v>6</x:v>
      </x:c>
      <x:c r="J1956" s="19" t="n">
        <x:v>4</x:v>
      </x:c>
      <x:c r="K1956" s="16" t="str">
        <x:v>4. Moderate deterioration</x:v>
      </x:c>
      <x:c r="L1956" s="16" t="str">
        <x:v>Possible</x:v>
      </x:c>
      <x:c r="M1956" s="16" t="str">
        <x:v>Minor</x:v>
      </x:c>
      <x:c r="N1956" s="16" t="str">
        <x:v>Moderate</x:v>
      </x:c>
    </x:row>
    <x:row r="1957" ht="37" customHeight="1">
      <x:c r="A1957" s="16" t="str">
        <x:v>RAW-01951</x:v>
      </x:c>
      <x:c r="B1957" s="16" t="str">
        <x:v>Recommendation</x:v>
      </x:c>
      <x:c r="C1957" s="16" t="str">
        <x:v>– Clean, remove corrosion and repaint all surfaces.</x:v>
      </x:c>
      <x:c r="D1957" s="16" t="str">
        <x:v>Steel bird head</x:v>
      </x:c>
      <x:c r="E1957" s="16" t="str">
        <x:v>SRC-104</x:v>
      </x:c>
      <x:c r="F1957" s="16" t="str">
        <x:v>REC-0062</x:v>
      </x:c>
      <x:c r="G1957" s="16" t="str">
        <x:v>正式报告</x:v>
      </x:c>
      <x:c r="H1957" s="19" t="n">
        <x:v>4</x:v>
      </x:c>
      <x:c r="I1957" s="19" t="n">
        <x:v>6</x:v>
      </x:c>
      <x:c r="J1957" s="19" t="n">
        <x:v>4</x:v>
      </x:c>
      <x:c r="K1957" s="16" t="str">
        <x:v>4. Moderate deterioration</x:v>
      </x:c>
      <x:c r="L1957" s="16" t="str">
        <x:v>Possible</x:v>
      </x:c>
      <x:c r="M1957" s="16" t="str">
        <x:v>Minor</x:v>
      </x:c>
      <x:c r="N1957" s="16" t="str">
        <x:v>Moderate</x:v>
      </x:c>
    </x:row>
  </x:sheetData>
  <x:pageMargins left="0.7" right="0.7" top="0.75" bottom="0.75" header="0.3" footer="0.3"/>
  <x:tableParts count="1">
    <x:tablePart xmlns:r="http://schemas.openxmlformats.org/officeDocument/2006/relationships" r:id="Rbd30e4472dba4f39"/>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4" hidden="0" customWidth="1"/>
    <x:col min="3" max="3" width="88" hidden="0" customWidth="1"/>
    <x:col min="4" max="4" width="115" hidden="0" customWidth="1"/>
    <x:col min="5" max="5" width="19" hidden="0" customWidth="1"/>
  </x:cols>
  <x:sheetData>
    <x:row r="2" ht="27" customHeight="1">
      <x:c r="A2" s="5" t="str">
        <x:v>来源报告索引</x:v>
      </x:c>
      <x:c r="B2" s="2"/>
      <x:c r="C2" s="2"/>
      <x:c r="D2" s="2"/>
      <x:c r="E2" s="2"/>
    </x:row>
    <x:row r="3" ht="23" customHeight="1">
      <x:c r="A3" s="6" t="str">
        <x:v>报告路径相对于本项目的 reference_reports/REVA 文件夹。来源编号可与原始记录和文字库相互查找。</x:v>
      </x:c>
      <x:c r="B3" s="2"/>
      <x:c r="C3" s="2"/>
      <x:c r="D3" s="2"/>
      <x:c r="E3" s="2"/>
    </x:row>
    <x:row r="4" ht="23" customHeight="1">
      <x:c r="A4" s="7"/>
      <x:c r="B4" s="2"/>
      <x:c r="C4" s="2"/>
      <x:c r="D4" s="2"/>
      <x:c r="E4" s="2"/>
    </x:row>
    <x:row r="5" ht="8" customHeight="1">
      <x:c r="A5" s="2"/>
      <x:c r="B5" s="2"/>
      <x:c r="C5" s="2"/>
      <x:c r="D5" s="2"/>
      <x:c r="E5" s="2"/>
    </x:row>
    <x:row r="6" ht="34" customHeight="1">
      <x:c r="A6" s="12" t="str">
        <x:v>来源编号</x:v>
      </x:c>
      <x:c r="B6" s="13" t="str">
        <x:v>文件类别</x:v>
      </x:c>
      <x:c r="C6" s="13" t="str">
        <x:v>报告文件名</x:v>
      </x:c>
      <x:c r="D6" s="13" t="str">
        <x:v>相对路径</x:v>
      </x:c>
      <x:c r="E6" s="14" t="str">
        <x:v>检查构件组数</x:v>
      </x:c>
    </x:row>
    <x:row r="7" ht="37" customHeight="1">
      <x:c r="A7" s="16" t="str">
        <x:v>SRC-001</x:v>
      </x:c>
      <x:c r="B7" s="16" t="str">
        <x:v>正式报告</x:v>
      </x:c>
      <x:c r="C7" s="16" t="str">
        <x:v>12477-SIR-013_REVA-Town of Port Hedland-10 19 Dempster Street.docx</x:v>
      </x:c>
      <x:c r="D7" s="16" t="str">
        <x:v>10_19_Dempster_Street/12477-SIR-013_REVA-Town of Port Hedland-10 19 Dempster Street.docx</x:v>
      </x:c>
      <x:c r="E7" s="19" t="n">
        <x:v>5</x:v>
      </x:c>
    </x:row>
    <x:row r="8" ht="37" customHeight="1">
      <x:c r="A8" s="16" t="str">
        <x:v>SRC-002</x:v>
      </x:c>
      <x:c r="B8" s="16" t="str">
        <x:v>正式报告</x:v>
      </x:c>
      <x:c r="C8" s="16" t="str">
        <x:v>12477-SIR-034_REVA-Town of Port Hedland-10 Pennings Court.docx</x:v>
      </x:c>
      <x:c r="D8" s="16" t="str">
        <x:v>10_Pennings_Court/12477-SIR-034_REVA-Town of Port Hedland-10 Pennings Court.docx</x:v>
      </x:c>
      <x:c r="E8" s="19" t="n">
        <x:v>5</x:v>
      </x:c>
    </x:row>
    <x:row r="9" ht="37" customHeight="1">
      <x:c r="A9" s="16" t="str">
        <x:v>SRC-003</x:v>
      </x:c>
      <x:c r="B9" s="16" t="str">
        <x:v>正式报告</x:v>
      </x:c>
      <x:c r="C9" s="16" t="str">
        <x:v>12477-SIR-014_REVA-Town of Port Hedland-11 19 Dempster Street.docx</x:v>
      </x:c>
      <x:c r="D9" s="16" t="str">
        <x:v>11_19_Dempster_Street/12477-SIR-014_REVA-Town of Port Hedland-11 19 Dempster Street.docx</x:v>
      </x:c>
      <x:c r="E9" s="19" t="n">
        <x:v>4</x:v>
      </x:c>
    </x:row>
    <x:row r="10" ht="37" customHeight="1">
      <x:c r="A10" s="16" t="str">
        <x:v>SRC-004</x:v>
      </x:c>
      <x:c r="B10" s="16" t="str">
        <x:v>正式报告</x:v>
      </x:c>
      <x:c r="C10" s="16" t="str">
        <x:v>12477-SIR-015_REVA-Town of Port Hedland-12 19 Dempster Street.docx</x:v>
      </x:c>
      <x:c r="D10" s="16" t="str">
        <x:v>12_19_Dempster_Street/12477-SIR-015_REVA-Town of Port Hedland-12 19 Dempster Street.docx</x:v>
      </x:c>
      <x:c r="E10" s="19" t="n">
        <x:v>3</x:v>
      </x:c>
    </x:row>
    <x:row r="11" ht="37" customHeight="1">
      <x:c r="A11" s="16" t="str">
        <x:v>SRC-005</x:v>
      </x:c>
      <x:c r="B11" s="16" t="str">
        <x:v>正式报告</x:v>
      </x:c>
      <x:c r="C11" s="16" t="str">
        <x:v>12477-SIR-016_REVA-Town of Port Hedland-13 19 Dempster Street.docx</x:v>
      </x:c>
      <x:c r="D11" s="16" t="str">
        <x:v>13_19_Dempster_Street/12477-SIR-016_REVA-Town of Port Hedland-13 19 Dempster Street.docx</x:v>
      </x:c>
      <x:c r="E11" s="19" t="n">
        <x:v>3</x:v>
      </x:c>
    </x:row>
    <x:row r="12" ht="37" customHeight="1">
      <x:c r="A12" s="16" t="str">
        <x:v>SRC-006</x:v>
      </x:c>
      <x:c r="B12" s="16" t="str">
        <x:v>正式报告</x:v>
      </x:c>
      <x:c r="C12" s="16" t="str">
        <x:v>12477-SIR-017_REVA-Town of Port Hedland-14 Goode Street.docx</x:v>
      </x:c>
      <x:c r="D12" s="16" t="str">
        <x:v>14_Goode_St/12477-SIR-017_REVA-Town of Port Hedland-14 Goode Street.docx</x:v>
      </x:c>
      <x:c r="E12" s="19" t="n">
        <x:v>12</x:v>
      </x:c>
    </x:row>
    <x:row r="13" ht="37" customHeight="1">
      <x:c r="A13" s="16" t="str">
        <x:v>SRC-007</x:v>
      </x:c>
      <x:c r="B13" s="16" t="str">
        <x:v>审阅或辅助文档</x:v>
      </x:c>
      <x:c r="C13" s="16" t="str">
        <x:v>12477-SIR-017_REVA-Town of Port Hedland-14 Goode Street_sa.docx</x:v>
      </x:c>
      <x:c r="D13" s="16" t="str">
        <x:v>14_Goode_St/ss/12477-SIR-017_REVA-Town of Port Hedland-14 Goode Street_sa.docx</x:v>
      </x:c>
      <x:c r="E13" s="19" t="n">
        <x:v>12</x:v>
      </x:c>
    </x:row>
    <x:row r="14" ht="37" customHeight="1">
      <x:c r="A14" s="16" t="str">
        <x:v>SRC-008</x:v>
      </x:c>
      <x:c r="B14" s="16" t="str">
        <x:v>正式报告</x:v>
      </x:c>
      <x:c r="C14" s="16" t="str">
        <x:v>12477-SIR-021_REVA-Town of Port Hedland-17 Langley Gardens.docx</x:v>
      </x:c>
      <x:c r="D14" s="16" t="str">
        <x:v>17_Langley_Gardens/12477-SIR-021_REVA-Town of Port Hedland-17 Langley Gardens.docx</x:v>
      </x:c>
      <x:c r="E14" s="19" t="n">
        <x:v>4</x:v>
      </x:c>
    </x:row>
    <x:row r="15" ht="37" customHeight="1">
      <x:c r="A15" s="16" t="str">
        <x:v>SRC-009</x:v>
      </x:c>
      <x:c r="B15" s="16" t="str">
        <x:v>正式报告</x:v>
      </x:c>
      <x:c r="C15" s="16" t="str">
        <x:v>12477-SIR-002_REVA-Town of Port Hedland-18 Counihan Crescent.docx</x:v>
      </x:c>
      <x:c r="D15" s="16" t="str">
        <x:v>18_Counihan_Crescent/12477-SIR-002_REVA-Town of Port Hedland-18 Counihan Crescent.docx</x:v>
      </x:c>
      <x:c r="E15" s="19" t="n">
        <x:v>10</x:v>
      </x:c>
    </x:row>
    <x:row r="16" ht="37" customHeight="1">
      <x:c r="A16" s="16" t="str">
        <x:v>SRC-010</x:v>
      </x:c>
      <x:c r="B16" s="16" t="str">
        <x:v>正式报告</x:v>
      </x:c>
      <x:c r="C16" s="16" t="str">
        <x:v>12477-SIR-004_REVA-Town of Port Hedland-1 19 Dempster Street.docx</x:v>
      </x:c>
      <x:c r="D16" s="16" t="str">
        <x:v>1_19_Dempster_Street/12477-SIR-004_REVA-Town of Port Hedland-1 19 Dempster Street.docx</x:v>
      </x:c>
      <x:c r="E16" s="19" t="n">
        <x:v>6</x:v>
      </x:c>
    </x:row>
    <x:row r="17" ht="37" customHeight="1">
      <x:c r="A17" s="16" t="str">
        <x:v>SRC-011</x:v>
      </x:c>
      <x:c r="B17" s="16" t="str">
        <x:v>正式报告</x:v>
      </x:c>
      <x:c r="C17" s="16" t="str">
        <x:v>12477-SIR-024_REVA-Town of Port Hedland-1 52 Morgan Street.docx</x:v>
      </x:c>
      <x:c r="D17" s="16" t="str">
        <x:v>1_52_Morgan_Street/12477-SIR-024_REVA-Town of Port Hedland-1 52 Morgan Street.docx</x:v>
      </x:c>
      <x:c r="E17" s="19" t="n">
        <x:v>5</x:v>
      </x:c>
    </x:row>
    <x:row r="18" ht="37" customHeight="1">
      <x:c r="A18" s="16" t="str">
        <x:v>SRC-012</x:v>
      </x:c>
      <x:c r="B18" s="16" t="str">
        <x:v>正式报告</x:v>
      </x:c>
      <x:c r="C18" s="16" t="str">
        <x:v>12477-SIR-003_REVA-Town of Port Hedland-1 Craig Street.docx</x:v>
      </x:c>
      <x:c r="D18" s="16" t="str">
        <x:v>1_Craig_St/12477-SIR-003_REVA-Town of Port Hedland-1 Craig Street.docx</x:v>
      </x:c>
      <x:c r="E18" s="19" t="n">
        <x:v>6</x:v>
      </x:c>
    </x:row>
    <x:row r="19" ht="37" customHeight="1">
      <x:c r="A19" s="16" t="str">
        <x:v>SRC-013</x:v>
      </x:c>
      <x:c r="B19" s="16" t="str">
        <x:v>正式报告</x:v>
      </x:c>
      <x:c r="C19" s="16" t="str">
        <x:v>12477-SIR-035_REVA-Town of Port Hedland-26 Robinson Street.docx</x:v>
      </x:c>
      <x:c r="D19" s="16" t="str">
        <x:v>26_Robinson_St/12477-SIR-035_REVA-Town of Port Hedland-26 Robinson Street.docx</x:v>
      </x:c>
      <x:c r="E19" s="19" t="n">
        <x:v>7</x:v>
      </x:c>
    </x:row>
    <x:row r="20" ht="37" customHeight="1">
      <x:c r="A20" s="16" t="str">
        <x:v>SRC-014</x:v>
      </x:c>
      <x:c r="B20" s="16" t="str">
        <x:v>正式报告</x:v>
      </x:c>
      <x:c r="C20" s="16" t="str">
        <x:v>12477-SIR-019_REVA-Town of Port Hedland-29A Gratwick Street.docx</x:v>
      </x:c>
      <x:c r="D20" s="16" t="str">
        <x:v>29A_Gratwick_St/12477-SIR-019_REVA-Town of Port Hedland-29A Gratwick Street.docx</x:v>
      </x:c>
      <x:c r="E20" s="19" t="n">
        <x:v>7</x:v>
      </x:c>
    </x:row>
    <x:row r="21" ht="37" customHeight="1">
      <x:c r="A21" s="16" t="str">
        <x:v>SRC-015</x:v>
      </x:c>
      <x:c r="B21" s="16" t="str">
        <x:v>正式报告</x:v>
      </x:c>
      <x:c r="C21" s="16" t="str">
        <x:v>12477-SIR-020_REVA-Town of Port Hedland-29B Gratwick Street.docx</x:v>
      </x:c>
      <x:c r="D21" s="16" t="str">
        <x:v>29B_Gratwick_St/12477-SIR-020_REVA-Town of Port Hedland-29B Gratwick Street.docx</x:v>
      </x:c>
      <x:c r="E21" s="19" t="n">
        <x:v>5</x:v>
      </x:c>
    </x:row>
    <x:row r="22" ht="37" customHeight="1">
      <x:c r="A22" s="16" t="str">
        <x:v>SRC-016</x:v>
      </x:c>
      <x:c r="B22" s="16" t="str">
        <x:v>审阅或辅助文档</x:v>
      </x:c>
      <x:c r="C22" s="16" t="str">
        <x:v>12477-SIR-020_REVA-Town of Port Hedland-29B Gratwick Street_SA.docx</x:v>
      </x:c>
      <x:c r="D22" s="16" t="str">
        <x:v>29B_Gratwick_St/SS/12477-SIR-020_REVA-Town of Port Hedland-29B Gratwick Street_SA.docx</x:v>
      </x:c>
      <x:c r="E22" s="19" t="n">
        <x:v>5</x:v>
      </x:c>
    </x:row>
    <x:row r="23" ht="37" customHeight="1">
      <x:c r="A23" s="16" t="str">
        <x:v>SRC-017</x:v>
      </x:c>
      <x:c r="B23" s="16" t="str">
        <x:v>审阅或辅助文档</x:v>
      </x:c>
      <x:c r="C23" s="16" t="str">
        <x:v>29B Gratwick St22108A74-50DF-4CA7-A80B-121E2F208C92.docx</x:v>
      </x:c>
      <x:c r="D23" s="16" t="str">
        <x:v>29B_Gratwick_St/SS/29B Gratwick St22108A74-50DF-4CA7-A80B-121E2F208C92.docx</x:v>
      </x:c>
      <x:c r="E23" s="19" t="n">
        <x:v>0</x:v>
      </x:c>
    </x:row>
    <x:row r="24" ht="37" customHeight="1">
      <x:c r="A24" s="16" t="str">
        <x:v>SRC-018</x:v>
      </x:c>
      <x:c r="B24" s="16" t="str">
        <x:v>审阅或辅助文档</x:v>
      </x:c>
      <x:c r="C24" s="16" t="str">
        <x:v>29B Gratwick St3CC5EADC-4416-488A-A217-8441FD0DB187.docx</x:v>
      </x:c>
      <x:c r="D24" s="16" t="str">
        <x:v>29B_Gratwick_St/SS/29B Gratwick St3CC5EADC-4416-488A-A217-8441FD0DB187.docx</x:v>
      </x:c>
      <x:c r="E24" s="19" t="n">
        <x:v>0</x:v>
      </x:c>
    </x:row>
    <x:row r="25" ht="37" customHeight="1">
      <x:c r="A25" s="16" t="str">
        <x:v>SRC-019</x:v>
      </x:c>
      <x:c r="B25" s="16" t="str">
        <x:v>审阅或辅助文档</x:v>
      </x:c>
      <x:c r="C25" s="16" t="str">
        <x:v>29B Gratwick St64CA14E0-2620-4888-9DB3-8B85C3473F7C.docx</x:v>
      </x:c>
      <x:c r="D25" s="16" t="str">
        <x:v>29B_Gratwick_St/SS/29B Gratwick St64CA14E0-2620-4888-9DB3-8B85C3473F7C.docx</x:v>
      </x:c>
      <x:c r="E25" s="19" t="n">
        <x:v>0</x:v>
      </x:c>
    </x:row>
    <x:row r="26" ht="37" customHeight="1">
      <x:c r="A26" s="16" t="str">
        <x:v>SRC-020</x:v>
      </x:c>
      <x:c r="B26" s="16" t="str">
        <x:v>审阅或辅助文档</x:v>
      </x:c>
      <x:c r="C26" s="16" t="str">
        <x:v>29B Gratwick St64DFDC08-CA4F-4892-A533-842A46A7C478.docx</x:v>
      </x:c>
      <x:c r="D26" s="16" t="str">
        <x:v>29B_Gratwick_St/SS/29B Gratwick St64DFDC08-CA4F-4892-A533-842A46A7C478.docx</x:v>
      </x:c>
      <x:c r="E26" s="19" t="n">
        <x:v>0</x:v>
      </x:c>
    </x:row>
    <x:row r="27" ht="37" customHeight="1">
      <x:c r="A27" s="16" t="str">
        <x:v>SRC-021</x:v>
      </x:c>
      <x:c r="B27" s="16" t="str">
        <x:v>审阅或辅助文档</x:v>
      </x:c>
      <x:c r="C27" s="16" t="str">
        <x:v>29B Gratwick StB50404A2-D955-4E8A-A728-73D3CA5B4D08.docx</x:v>
      </x:c>
      <x:c r="D27" s="16" t="str">
        <x:v>29B_Gratwick_St/SS/29B Gratwick StB50404A2-D955-4E8A-A728-73D3CA5B4D08.docx</x:v>
      </x:c>
      <x:c r="E27" s="19" t="n">
        <x:v>0</x:v>
      </x:c>
    </x:row>
    <x:row r="28" ht="37" customHeight="1">
      <x:c r="A28" s="16" t="str">
        <x:v>SRC-022</x:v>
      </x:c>
      <x:c r="B28" s="16" t="str">
        <x:v>审阅或辅助文档</x:v>
      </x:c>
      <x:c r="C28" s="16" t="str">
        <x:v>29B Gratwick StCE25F206-20FC-486A-94CF-62A87AAA314A.docx</x:v>
      </x:c>
      <x:c r="D28" s="16" t="str">
        <x:v>29B_Gratwick_St/SS/29B Gratwick StCE25F206-20FC-486A-94CF-62A87AAA314A.docx</x:v>
      </x:c>
      <x:c r="E28" s="19" t="n">
        <x:v>0</x:v>
      </x:c>
    </x:row>
    <x:row r="29" ht="37" customHeight="1">
      <x:c r="A29" s="16" t="str">
        <x:v>SRC-023</x:v>
      </x:c>
      <x:c r="B29" s="16" t="str">
        <x:v>正式报告</x:v>
      </x:c>
      <x:c r="C29" s="16" t="str">
        <x:v>12477-SIR-005_REVA-Town of Port Hedland-2 19 Dempster Street.docx</x:v>
      </x:c>
      <x:c r="D29" s="16" t="str">
        <x:v>2_19_Dempster_Street/12477-SIR-005_REVA-Town of Port Hedland-2 19 Dempster Street.docx</x:v>
      </x:c>
      <x:c r="E29" s="19" t="n">
        <x:v>4</x:v>
      </x:c>
    </x:row>
    <x:row r="30" ht="37" customHeight="1">
      <x:c r="A30" s="16" t="str">
        <x:v>SRC-024</x:v>
      </x:c>
      <x:c r="B30" s="16" t="str">
        <x:v>正式报告</x:v>
      </x:c>
      <x:c r="C30" s="16" t="str">
        <x:v>12477-SIR-025_REVA-Town of Port Hedland-2 52 Morgan Street.docx</x:v>
      </x:c>
      <x:c r="D30" s="16" t="str">
        <x:v>2_52_Morgan_Street/12477-SIR-025_REVA-Town of Port Hedland-2 52 Morgan Street.docx</x:v>
      </x:c>
      <x:c r="E30" s="19" t="n">
        <x:v>6</x:v>
      </x:c>
    </x:row>
    <x:row r="31" ht="37" customHeight="1">
      <x:c r="A31" s="16" t="str">
        <x:v>SRC-025</x:v>
      </x:c>
      <x:c r="B31" s="16" t="str">
        <x:v>正式报告</x:v>
      </x:c>
      <x:c r="C31" s="16" t="str">
        <x:v>12477-SIR-006_REVA-Town of Port Hedland-3 19 Dempster Street.docx</x:v>
      </x:c>
      <x:c r="D31" s="16" t="str">
        <x:v>3_19_Dempster_Street/12477-SIR-006_REVA-Town of Port Hedland-3 19 Dempster Street.docx</x:v>
      </x:c>
      <x:c r="E31" s="19" t="n">
        <x:v>4</x:v>
      </x:c>
    </x:row>
    <x:row r="32" ht="37" customHeight="1">
      <x:c r="A32" s="16" t="str">
        <x:v>SRC-026</x:v>
      </x:c>
      <x:c r="B32" s="16" t="str">
        <x:v>正式报告</x:v>
      </x:c>
      <x:c r="C32" s="16" t="str">
        <x:v>12477-SIR-026_REVA-Town of Port Hedland-3 52 Morgan Street.docx</x:v>
      </x:c>
      <x:c r="D32" s="16" t="str">
        <x:v>3_52_Morgan_Street/12477-SIR-026_REVA-Town of Port Hedland-3 52 Morgan Street.docx</x:v>
      </x:c>
      <x:c r="E32" s="19" t="n">
        <x:v>4</x:v>
      </x:c>
    </x:row>
    <x:row r="33" ht="37" customHeight="1">
      <x:c r="A33" s="16" t="str">
        <x:v>SRC-027</x:v>
      </x:c>
      <x:c r="B33" s="16" t="str">
        <x:v>正式报告</x:v>
      </x:c>
      <x:c r="C33" s="16" t="str">
        <x:v>12477-SIR-007_REVA-Town of Port Hedland-4 19 Dempster Street.docx</x:v>
      </x:c>
      <x:c r="D33" s="16" t="str">
        <x:v>4_19_Dempster_Street/12477-SIR-007_REVA-Town of Port Hedland-4 19 Dempster Street.docx</x:v>
      </x:c>
      <x:c r="E33" s="19" t="n">
        <x:v>4</x:v>
      </x:c>
    </x:row>
    <x:row r="34" ht="37" customHeight="1">
      <x:c r="A34" s="16" t="str">
        <x:v>SRC-028</x:v>
      </x:c>
      <x:c r="B34" s="16" t="str">
        <x:v>正式报告</x:v>
      </x:c>
      <x:c r="C34" s="16" t="str">
        <x:v>12477-SIR-027_REVA-Town of Port Hedland-4 52 Morgan Street.docx</x:v>
      </x:c>
      <x:c r="D34" s="16" t="str">
        <x:v>4_52_Morgan_Street/12477-SIR-027_REVA-Town of Port Hedland-4 52 Morgan Street.docx</x:v>
      </x:c>
      <x:c r="E34" s="19" t="n">
        <x:v>5</x:v>
      </x:c>
    </x:row>
    <x:row r="35" ht="37" customHeight="1">
      <x:c r="A35" s="16" t="str">
        <x:v>SRC-029</x:v>
      </x:c>
      <x:c r="B35" s="16" t="str">
        <x:v>正式报告</x:v>
      </x:c>
      <x:c r="C35" s="16" t="str">
        <x:v>12477-SIR-022_REVA-Town of Port Hedland-57A Lukis Street.docx</x:v>
      </x:c>
      <x:c r="D35" s="16" t="str">
        <x:v>57A_Lukis_St/12477-SIR-022_REVA-Town of Port Hedland-57A Lukis Street.docx</x:v>
      </x:c>
      <x:c r="E35" s="19" t="n">
        <x:v>9</x:v>
      </x:c>
    </x:row>
    <x:row r="36" ht="37" customHeight="1">
      <x:c r="A36" s="16" t="str">
        <x:v>SRC-030</x:v>
      </x:c>
      <x:c r="B36" s="16" t="str">
        <x:v>审阅或辅助文档</x:v>
      </x:c>
      <x:c r="C36" s="16" t="str">
        <x:v>12477-SIR-022_REVA-Town of Port Hedland-57A Lukis Street_jz SRW.docx</x:v>
      </x:c>
      <x:c r="D36" s="16" t="str">
        <x:v>57A_Lukis_St/12477-SIR-022_REVA-Town of Port Hedland-57A Lukis Street_jz SRW.docx</x:v>
      </x:c>
      <x:c r="E36" s="19" t="n">
        <x:v>9</x:v>
      </x:c>
    </x:row>
    <x:row r="37" ht="37" customHeight="1">
      <x:c r="A37" s="16" t="str">
        <x:v>SRC-031</x:v>
      </x:c>
      <x:c r="B37" s="16" t="str">
        <x:v>审阅或辅助文档</x:v>
      </x:c>
      <x:c r="C37" s="16" t="str">
        <x:v>12477-SIR-022_REVA-Town of Port Hedland-57A Lukis Street_SA.docx</x:v>
      </x:c>
      <x:c r="D37" s="16" t="str">
        <x:v>57A_Lukis_St/SS/12477-SIR-022_REVA-Town of Port Hedland-57A Lukis Street_SA.docx</x:v>
      </x:c>
      <x:c r="E37" s="19" t="n">
        <x:v>9</x:v>
      </x:c>
    </x:row>
    <x:row r="38" ht="37" customHeight="1">
      <x:c r="A38" s="16" t="str">
        <x:v>SRC-032</x:v>
      </x:c>
      <x:c r="B38" s="16" t="str">
        <x:v>审阅或辅助文档</x:v>
      </x:c>
      <x:c r="C38" s="16" t="str">
        <x:v>57A Lukis St0DEAF247-5AF6-4C9C-B351-9561881D90F6.docx</x:v>
      </x:c>
      <x:c r="D38" s="16" t="str">
        <x:v>57A_Lukis_St/SS/57A Lukis St0DEAF247-5AF6-4C9C-B351-9561881D90F6.docx</x:v>
      </x:c>
      <x:c r="E38" s="19" t="n">
        <x:v>0</x:v>
      </x:c>
    </x:row>
    <x:row r="39" ht="37" customHeight="1">
      <x:c r="A39" s="16" t="str">
        <x:v>SRC-033</x:v>
      </x:c>
      <x:c r="B39" s="16" t="str">
        <x:v>审阅或辅助文档</x:v>
      </x:c>
      <x:c r="C39" s="16" t="str">
        <x:v>57A Lukis St16AF5467-A9DE-4308-A3D0-A91AF9F459A6.docx</x:v>
      </x:c>
      <x:c r="D39" s="16" t="str">
        <x:v>57A_Lukis_St/SS/57A Lukis St16AF5467-A9DE-4308-A3D0-A91AF9F459A6.docx</x:v>
      </x:c>
      <x:c r="E39" s="19" t="n">
        <x:v>0</x:v>
      </x:c>
    </x:row>
    <x:row r="40" ht="37" customHeight="1">
      <x:c r="A40" s="16" t="str">
        <x:v>SRC-034</x:v>
      </x:c>
      <x:c r="B40" s="16" t="str">
        <x:v>审阅或辅助文档</x:v>
      </x:c>
      <x:c r="C40" s="16" t="str">
        <x:v>57A Lukis St246E48BD-9EC5-4856-844A-0BA38CE95B4B.docx</x:v>
      </x:c>
      <x:c r="D40" s="16" t="str">
        <x:v>57A_Lukis_St/SS/57A Lukis St246E48BD-9EC5-4856-844A-0BA38CE95B4B.docx</x:v>
      </x:c>
      <x:c r="E40" s="19" t="n">
        <x:v>0</x:v>
      </x:c>
    </x:row>
    <x:row r="41" ht="37" customHeight="1">
      <x:c r="A41" s="16" t="str">
        <x:v>SRC-035</x:v>
      </x:c>
      <x:c r="B41" s="16" t="str">
        <x:v>审阅或辅助文档</x:v>
      </x:c>
      <x:c r="C41" s="16" t="str">
        <x:v>57A Lukis St3E7CA357-5074-4297-AC5B-653754BD9EDF.docx</x:v>
      </x:c>
      <x:c r="D41" s="16" t="str">
        <x:v>57A_Lukis_St/SS/57A Lukis St3E7CA357-5074-4297-AC5B-653754BD9EDF.docx</x:v>
      </x:c>
      <x:c r="E41" s="19" t="n">
        <x:v>0</x:v>
      </x:c>
    </x:row>
    <x:row r="42" ht="37" customHeight="1">
      <x:c r="A42" s="16" t="str">
        <x:v>SRC-036</x:v>
      </x:c>
      <x:c r="B42" s="16" t="str">
        <x:v>审阅或辅助文档</x:v>
      </x:c>
      <x:c r="C42" s="16" t="str">
        <x:v>57A Lukis St6CB749CF-1ADB-45F1-A22C-41C7B0E46027.docx</x:v>
      </x:c>
      <x:c r="D42" s="16" t="str">
        <x:v>57A_Lukis_St/SS/57A Lukis St6CB749CF-1ADB-45F1-A22C-41C7B0E46027.docx</x:v>
      </x:c>
      <x:c r="E42" s="19" t="n">
        <x:v>0</x:v>
      </x:c>
    </x:row>
    <x:row r="43" ht="37" customHeight="1">
      <x:c r="A43" s="16" t="str">
        <x:v>SRC-037</x:v>
      </x:c>
      <x:c r="B43" s="16" t="str">
        <x:v>审阅或辅助文档</x:v>
      </x:c>
      <x:c r="C43" s="16" t="str">
        <x:v>57A Lukis St7A517855-B1B3-47C2-9931-E460F38ADC03.docx</x:v>
      </x:c>
      <x:c r="D43" s="16" t="str">
        <x:v>57A_Lukis_St/SS/57A Lukis St7A517855-B1B3-47C2-9931-E460F38ADC03.docx</x:v>
      </x:c>
      <x:c r="E43" s="19" t="n">
        <x:v>0</x:v>
      </x:c>
    </x:row>
    <x:row r="44" ht="37" customHeight="1">
      <x:c r="A44" s="16" t="str">
        <x:v>SRC-038</x:v>
      </x:c>
      <x:c r="B44" s="16" t="str">
        <x:v>审阅或辅助文档</x:v>
      </x:c>
      <x:c r="C44" s="16" t="str">
        <x:v>57A Lukis St7C073A0B-653F-45BA-BF9D-846BD019E543.docx</x:v>
      </x:c>
      <x:c r="D44" s="16" t="str">
        <x:v>57A_Lukis_St/SS/57A Lukis St7C073A0B-653F-45BA-BF9D-846BD019E543.docx</x:v>
      </x:c>
      <x:c r="E44" s="19" t="n">
        <x:v>0</x:v>
      </x:c>
    </x:row>
    <x:row r="45" ht="37" customHeight="1">
      <x:c r="A45" s="16" t="str">
        <x:v>SRC-039</x:v>
      </x:c>
      <x:c r="B45" s="16" t="str">
        <x:v>审阅或辅助文档</x:v>
      </x:c>
      <x:c r="C45" s="16" t="str">
        <x:v>57A Lukis St85DAE243-18B9-4C44-8EFF-D556B207C5B7.docx</x:v>
      </x:c>
      <x:c r="D45" s="16" t="str">
        <x:v>57A_Lukis_St/SS/57A Lukis St85DAE243-18B9-4C44-8EFF-D556B207C5B7.docx</x:v>
      </x:c>
      <x:c r="E45" s="19" t="n">
        <x:v>0</x:v>
      </x:c>
    </x:row>
    <x:row r="46" ht="37" customHeight="1">
      <x:c r="A46" s="16" t="str">
        <x:v>SRC-040</x:v>
      </x:c>
      <x:c r="B46" s="16" t="str">
        <x:v>审阅或辅助文档</x:v>
      </x:c>
      <x:c r="C46" s="16" t="str">
        <x:v>57A Lukis St944D70E9-70E0-49B8-8F93-A58C59557E28.docx</x:v>
      </x:c>
      <x:c r="D46" s="16" t="str">
        <x:v>57A_Lukis_St/SS/57A Lukis St944D70E9-70E0-49B8-8F93-A58C59557E28.docx</x:v>
      </x:c>
      <x:c r="E46" s="19" t="n">
        <x:v>0</x:v>
      </x:c>
    </x:row>
    <x:row r="47" ht="37" customHeight="1">
      <x:c r="A47" s="16" t="str">
        <x:v>SRC-041</x:v>
      </x:c>
      <x:c r="B47" s="16" t="str">
        <x:v>审阅或辅助文档</x:v>
      </x:c>
      <x:c r="C47" s="16" t="str">
        <x:v>57A Lukis St9806F075-5A4F-4494-8079-FE2B776DD3F5.docx</x:v>
      </x:c>
      <x:c r="D47" s="16" t="str">
        <x:v>57A_Lukis_St/SS/57A Lukis St9806F075-5A4F-4494-8079-FE2B776DD3F5.docx</x:v>
      </x:c>
      <x:c r="E47" s="19" t="n">
        <x:v>0</x:v>
      </x:c>
    </x:row>
    <x:row r="48" ht="37" customHeight="1">
      <x:c r="A48" s="16" t="str">
        <x:v>SRC-042</x:v>
      </x:c>
      <x:c r="B48" s="16" t="str">
        <x:v>审阅或辅助文档</x:v>
      </x:c>
      <x:c r="C48" s="16" t="str">
        <x:v>57A Lukis St9CEB6B42-9D72-4E04-84B4-84EEA6280316.docx</x:v>
      </x:c>
      <x:c r="D48" s="16" t="str">
        <x:v>57A_Lukis_St/SS/57A Lukis St9CEB6B42-9D72-4E04-84B4-84EEA6280316.docx</x:v>
      </x:c>
      <x:c r="E48" s="19" t="n">
        <x:v>0</x:v>
      </x:c>
    </x:row>
    <x:row r="49" ht="37" customHeight="1">
      <x:c r="A49" s="16" t="str">
        <x:v>SRC-043</x:v>
      </x:c>
      <x:c r="B49" s="16" t="str">
        <x:v>审阅或辅助文档</x:v>
      </x:c>
      <x:c r="C49" s="16" t="str">
        <x:v>57A Lukis StA6675DAE-D7D5-45DB-BFD5-AA1623E62323.docx</x:v>
      </x:c>
      <x:c r="D49" s="16" t="str">
        <x:v>57A_Lukis_St/SS/57A Lukis StA6675DAE-D7D5-45DB-BFD5-AA1623E62323.docx</x:v>
      </x:c>
      <x:c r="E49" s="19" t="n">
        <x:v>0</x:v>
      </x:c>
    </x:row>
    <x:row r="50" ht="37" customHeight="1">
      <x:c r="A50" s="16" t="str">
        <x:v>SRC-044</x:v>
      </x:c>
      <x:c r="B50" s="16" t="str">
        <x:v>审阅或辅助文档</x:v>
      </x:c>
      <x:c r="C50" s="16" t="str">
        <x:v>57A Lukis StB0AC0083-7D7D-4697-BEB0-D7246DBEC928.docx</x:v>
      </x:c>
      <x:c r="D50" s="16" t="str">
        <x:v>57A_Lukis_St/SS/57A Lukis StB0AC0083-7D7D-4697-BEB0-D7246DBEC928.docx</x:v>
      </x:c>
      <x:c r="E50" s="19" t="n">
        <x:v>0</x:v>
      </x:c>
    </x:row>
    <x:row r="51" ht="37" customHeight="1">
      <x:c r="A51" s="16" t="str">
        <x:v>SRC-045</x:v>
      </x:c>
      <x:c r="B51" s="16" t="str">
        <x:v>审阅或辅助文档</x:v>
      </x:c>
      <x:c r="C51" s="16" t="str">
        <x:v>57A Lukis StBFBF822E-370D-4410-BB40-1FC47E3B1D7B.docx</x:v>
      </x:c>
      <x:c r="D51" s="16" t="str">
        <x:v>57A_Lukis_St/SS/57A Lukis StBFBF822E-370D-4410-BB40-1FC47E3B1D7B.docx</x:v>
      </x:c>
      <x:c r="E51" s="19" t="n">
        <x:v>0</x:v>
      </x:c>
    </x:row>
    <x:row r="52" ht="37" customHeight="1">
      <x:c r="A52" s="16" t="str">
        <x:v>SRC-046</x:v>
      </x:c>
      <x:c r="B52" s="16" t="str">
        <x:v>审阅或辅助文档</x:v>
      </x:c>
      <x:c r="C52" s="16" t="str">
        <x:v>57A Lukis StE6BD32BA-92F0-41BF-9BF5-CF9E3F7D3607.docx</x:v>
      </x:c>
      <x:c r="D52" s="16" t="str">
        <x:v>57A_Lukis_St/SS/57A Lukis StE6BD32BA-92F0-41BF-9BF5-CF9E3F7D3607.docx</x:v>
      </x:c>
      <x:c r="E52" s="19" t="n">
        <x:v>0</x:v>
      </x:c>
    </x:row>
    <x:row r="53" ht="37" customHeight="1">
      <x:c r="A53" s="16" t="str">
        <x:v>SRC-047</x:v>
      </x:c>
      <x:c r="B53" s="16" t="str">
        <x:v>审阅或辅助文档</x:v>
      </x:c>
      <x:c r="C53" s="16" t="str">
        <x:v>57B Lukis StFEF9D5C7-7304-46F0-AA41-68AB73FB2017.docx</x:v>
      </x:c>
      <x:c r="D53" s="16" t="str">
        <x:v>57A_Lukis_St/SS/57B Lukis StFEF9D5C7-7304-46F0-AA41-68AB73FB2017.docx</x:v>
      </x:c>
      <x:c r="E53" s="19" t="n">
        <x:v>0</x:v>
      </x:c>
    </x:row>
    <x:row r="54" ht="37" customHeight="1">
      <x:c r="A54" s="16" t="str">
        <x:v>SRC-048</x:v>
      </x:c>
      <x:c r="B54" s="16" t="str">
        <x:v>正式报告</x:v>
      </x:c>
      <x:c r="C54" s="16" t="str">
        <x:v>12477-SIR-023_REVA-Town of Port Hedland-57B Lukis Street.docx</x:v>
      </x:c>
      <x:c r="D54" s="16" t="str">
        <x:v>57B_Lukis_St/12477-SIR-023_REVA-Town of Port Hedland-57B Lukis Street.docx</x:v>
      </x:c>
      <x:c r="E54" s="19" t="n">
        <x:v>6</x:v>
      </x:c>
    </x:row>
    <x:row r="55" ht="37" customHeight="1">
      <x:c r="A55" s="16" t="str">
        <x:v>SRC-049</x:v>
      </x:c>
      <x:c r="B55" s="16" t="str">
        <x:v>正式报告</x:v>
      </x:c>
      <x:c r="C55" s="16" t="str">
        <x:v>12477-SIR-008_REVA-Town of Port Hedland-5 19 Dempster Street.docx</x:v>
      </x:c>
      <x:c r="D55" s="16" t="str">
        <x:v>5_19_Dempster_Street/12477-SIR-008_REVA-Town of Port Hedland-5 19 Dempster Street.docx</x:v>
      </x:c>
      <x:c r="E55" s="19" t="n">
        <x:v>4</x:v>
      </x:c>
    </x:row>
    <x:row r="56" ht="37" customHeight="1">
      <x:c r="A56" s="16" t="str">
        <x:v>SRC-050</x:v>
      </x:c>
      <x:c r="B56" s="16" t="str">
        <x:v>正式报告</x:v>
      </x:c>
      <x:c r="C56" s="16" t="str">
        <x:v>12477-SIR-028_REVA-Town of Port Hedland-5 52 Morgan Street.docx</x:v>
      </x:c>
      <x:c r="D56" s="16" t="str">
        <x:v>5_52_Morgan_Street/12477-SIR-028_REVA-Town of Port Hedland-5 52 Morgan Street.docx</x:v>
      </x:c>
      <x:c r="E56" s="19" t="n">
        <x:v>6</x:v>
      </x:c>
    </x:row>
    <x:row r="57" ht="37" customHeight="1">
      <x:c r="A57" s="16" t="str">
        <x:v>SRC-051</x:v>
      </x:c>
      <x:c r="B57" s="16" t="str">
        <x:v>正式报告</x:v>
      </x:c>
      <x:c r="C57" s="16" t="str">
        <x:v>12477-SIR-009_REVA-Town of Port Hedland-6 19 Dempster Street.docx</x:v>
      </x:c>
      <x:c r="D57" s="16" t="str">
        <x:v>6_19_Dempster_Street/12477-SIR-009_REVA-Town of Port Hedland-6 19 Dempster Street.docx</x:v>
      </x:c>
      <x:c r="E57" s="19" t="n">
        <x:v>4</x:v>
      </x:c>
    </x:row>
    <x:row r="58" ht="37" customHeight="1">
      <x:c r="A58" s="16" t="str">
        <x:v>SRC-052</x:v>
      </x:c>
      <x:c r="B58" s="16" t="str">
        <x:v>正式报告</x:v>
      </x:c>
      <x:c r="C58" s="16" t="str">
        <x:v>12477-SIR-029_REVA-Town of Port Hedland-6 52 Morgan Street.docx</x:v>
      </x:c>
      <x:c r="D58" s="16" t="str">
        <x:v>6_52_Morgan_Street/12477-SIR-029_REVA-Town of Port Hedland-6 52 Morgan Street.docx</x:v>
      </x:c>
      <x:c r="E58" s="19" t="n">
        <x:v>5</x:v>
      </x:c>
    </x:row>
    <x:row r="59" ht="37" customHeight="1">
      <x:c r="A59" s="16" t="str">
        <x:v>SRC-053</x:v>
      </x:c>
      <x:c r="B59" s="16" t="str">
        <x:v>正式报告</x:v>
      </x:c>
      <x:c r="C59" s="16" t="str">
        <x:v>12477-SIR-032_REVA-Town of Port Hedland- 6A Padbury Place.docx</x:v>
      </x:c>
      <x:c r="D59" s="16" t="str">
        <x:v>6A_Padbury_Place/12477-SIR-032_REVA-Town of Port Hedland- 6A Padbury Place.docx</x:v>
      </x:c>
      <x:c r="E59" s="19" t="n">
        <x:v>3</x:v>
      </x:c>
    </x:row>
    <x:row r="60" ht="37" customHeight="1">
      <x:c r="A60" s="16" t="str">
        <x:v>SRC-054</x:v>
      </x:c>
      <x:c r="B60" s="16" t="str">
        <x:v>正式报告</x:v>
      </x:c>
      <x:c r="C60" s="16" t="str">
        <x:v>12477-SIR-033_REVA-Town of Port Hedland-6B Padbury Place.docx</x:v>
      </x:c>
      <x:c r="D60" s="16" t="str">
        <x:v>6B_Padbury_Place/12477-SIR-033_REVA-Town of Port Hedland-6B Padbury Place.docx</x:v>
      </x:c>
      <x:c r="E60" s="19" t="n">
        <x:v>6</x:v>
      </x:c>
    </x:row>
    <x:row r="61" ht="37" customHeight="1">
      <x:c r="A61" s="16" t="str">
        <x:v>SRC-055</x:v>
      </x:c>
      <x:c r="B61" s="16" t="str">
        <x:v>正式报告</x:v>
      </x:c>
      <x:c r="C61" s="16" t="str">
        <x:v>12477-SIR-010_REVA-Town of Port Hedland-7 19 Dempster Street.docx</x:v>
      </x:c>
      <x:c r="D61" s="16" t="str">
        <x:v>7_19_Dempster_Street/12477-SIR-010_REVA-Town of Port Hedland-7 19 Dempster Street.docx</x:v>
      </x:c>
      <x:c r="E61" s="19" t="n">
        <x:v>4</x:v>
      </x:c>
    </x:row>
    <x:row r="62" ht="37" customHeight="1">
      <x:c r="A62" s="16" t="str">
        <x:v>SRC-056</x:v>
      </x:c>
      <x:c r="B62" s="16" t="str">
        <x:v>正式报告</x:v>
      </x:c>
      <x:c r="C62" s="16" t="str">
        <x:v>12477-SIR-030_REVA-Town of Port Hedland-7 52 Morgan Street.docx</x:v>
      </x:c>
      <x:c r="D62" s="16" t="str">
        <x:v>7_52Morgan_Street/12477-SIR-030_REVA-Town of Port Hedland-7 52 Morgan Street.docx</x:v>
      </x:c>
      <x:c r="E62" s="19" t="n">
        <x:v>4</x:v>
      </x:c>
    </x:row>
    <x:row r="63" ht="37" customHeight="1">
      <x:c r="A63" s="16" t="str">
        <x:v>SRC-057</x:v>
      </x:c>
      <x:c r="B63" s="16" t="str">
        <x:v>正式报告</x:v>
      </x:c>
      <x:c r="C63" s="16" t="str">
        <x:v>12477-SIR-036_REVA-Town of Port Hedland-82 Sutherland Street.docx</x:v>
      </x:c>
      <x:c r="D63" s="16" t="str">
        <x:v>82_Sutherland_St/12477-SIR-036_REVA-Town of Port Hedland-82 Sutherland Street.docx</x:v>
      </x:c>
      <x:c r="E63" s="19" t="n">
        <x:v>7</x:v>
      </x:c>
    </x:row>
    <x:row r="64" ht="37" customHeight="1">
      <x:c r="A64" s="16" t="str">
        <x:v>SRC-058</x:v>
      </x:c>
      <x:c r="B64" s="16" t="str">
        <x:v>正式报告</x:v>
      </x:c>
      <x:c r="C64" s="16" t="str">
        <x:v>12477-SIR-038_REVA-Town of Port Hedland-85 Sutherland Street.docx</x:v>
      </x:c>
      <x:c r="D64" s="16" t="str">
        <x:v>85_Sutherland_Street/12477-SIR-038_REVA-Town of Port Hedland-85 Sutherland Street.docx</x:v>
      </x:c>
      <x:c r="E64" s="19" t="n">
        <x:v>5</x:v>
      </x:c>
    </x:row>
    <x:row r="65" ht="37" customHeight="1">
      <x:c r="A65" s="16" t="str">
        <x:v>SRC-059</x:v>
      </x:c>
      <x:c r="B65" s="16" t="str">
        <x:v>正式报告</x:v>
      </x:c>
      <x:c r="C65" s="16" t="str">
        <x:v>12477-SIR-011_REVA-Town of Port Hedland-8 19 Dempster Street.docx</x:v>
      </x:c>
      <x:c r="D65" s="16" t="str">
        <x:v>8_19_Dempster_Street/12477-SIR-011_REVA-Town of Port Hedland-8 19 Dempster Street.docx</x:v>
      </x:c>
      <x:c r="E65" s="19" t="n">
        <x:v>4</x:v>
      </x:c>
    </x:row>
    <x:row r="66" ht="37" customHeight="1">
      <x:c r="A66" s="16" t="str">
        <x:v>SRC-060</x:v>
      </x:c>
      <x:c r="B66" s="16" t="str">
        <x:v>正式报告</x:v>
      </x:c>
      <x:c r="C66" s="16" t="str">
        <x:v>12477-SIR-031_REVA-Town of Port Hedland-8 52 Morgan Street.docx</x:v>
      </x:c>
      <x:c r="D66" s="16" t="str">
        <x:v>8_52_Morgan_Street/12477-SIR-031_REVA-Town of Port Hedland-8 52 Morgan Street.docx</x:v>
      </x:c>
      <x:c r="E66" s="19" t="n">
        <x:v>6</x:v>
      </x:c>
    </x:row>
    <x:row r="67" ht="37" customHeight="1">
      <x:c r="A67" s="16" t="str">
        <x:v>SRC-061</x:v>
      </x:c>
      <x:c r="B67" s="16" t="str">
        <x:v>正式报告</x:v>
      </x:c>
      <x:c r="C67" s="16" t="str">
        <x:v>12477-SIR-037_REVA-Town of Port Hedland-96 Sutherland Street.docx</x:v>
      </x:c>
      <x:c r="D67" s="16" t="str">
        <x:v>96_Sutherland_St/12477-SIR-037_REVA-Town of Port Hedland-96 Sutherland Street.docx</x:v>
      </x:c>
      <x:c r="E67" s="19" t="n">
        <x:v>4</x:v>
      </x:c>
    </x:row>
    <x:row r="68" ht="37" customHeight="1">
      <x:c r="A68" s="16" t="str">
        <x:v>SRC-062</x:v>
      </x:c>
      <x:c r="B68" s="16" t="str">
        <x:v>正式报告</x:v>
      </x:c>
      <x:c r="C68" s="16" t="str">
        <x:v>12477-SIR-012_REVA-Town of Port Hedland-9 19 Dempster Street.docx</x:v>
      </x:c>
      <x:c r="D68" s="16" t="str">
        <x:v>9_19_Dempster_Street/12477-SIR-012_REVA-Town of Port Hedland-9 19 Dempster Street.docx</x:v>
      </x:c>
      <x:c r="E68" s="19" t="n">
        <x:v>4</x:v>
      </x:c>
    </x:row>
    <x:row r="69" ht="41" customHeight="1">
      <x:c r="A69" s="16" t="str">
        <x:v>SRC-063</x:v>
      </x:c>
      <x:c r="B69" s="16" t="str">
        <x:v>正式报告</x:v>
      </x:c>
      <x:c r="C69" s="16" t="str">
        <x:v>12477-SIR-001_REVA-Town of Port Hedland-Andrew McLaughlin Community Centre.docx</x:v>
      </x:c>
      <x:c r="D69" s="16" t="str">
        <x:v>Andrew_McLaughlin_Community_Centre/12477-SIR-001_REVA-Town of Port Hedland-Andrew McLaughlin Community Centre.docx</x:v>
      </x:c>
      <x:c r="E69" s="19" t="n">
        <x:v>19</x:v>
      </x:c>
    </x:row>
    <x:row r="70" ht="41" customHeight="1">
      <x:c r="A70" s="16" t="str">
        <x:v>SRC-064</x:v>
      </x:c>
      <x:c r="B70" s="16" t="str">
        <x:v>审阅或辅助文档</x:v>
      </x:c>
      <x:c r="C70" s="16" t="str">
        <x:v>12477-SIR-001_REVA-Town of Port Hedland-Andrew McLaughlin Community Centre.docx</x:v>
      </x:c>
      <x:c r="D70" s="16" t="str">
        <x:v>Andrew_McLaughlin_Community_Centre/SS/12477-SIR-001_REVA-Town of Port Hedland-Andrew McLaughlin Community Centre.docx</x:v>
      </x:c>
      <x:c r="E70" s="19" t="n">
        <x:v>19</x:v>
      </x:c>
    </x:row>
    <x:row r="71" ht="37" customHeight="1">
      <x:c r="A71" s="16" t="str">
        <x:v>SRC-065</x:v>
      </x:c>
      <x:c r="B71" s="16" t="str">
        <x:v>正式报告</x:v>
      </x:c>
      <x:c r="C71" s="16" t="str">
        <x:v>12477-SIR-049_REVA-Town of Port Hedland-Bird Series Sculpture 1.docx</x:v>
      </x:c>
      <x:c r="D71" s="16" t="str">
        <x:v>Bird_Series_Sculpture_1/12477-SIR-049_REVA-Town of Port Hedland-Bird Series Sculpture 1.docx</x:v>
      </x:c>
      <x:c r="E71" s="19" t="n">
        <x:v>1</x:v>
      </x:c>
    </x:row>
    <x:row r="72" ht="37" customHeight="1">
      <x:c r="A72" s="16" t="str">
        <x:v>SRC-066</x:v>
      </x:c>
      <x:c r="B72" s="16" t="str">
        <x:v>审阅或辅助文档</x:v>
      </x:c>
      <x:c r="C72" s="16" t="str">
        <x:v>12477-SIR-049_REVA-Town of Port Hedland-Bird Series Sculpture 1.docx</x:v>
      </x:c>
      <x:c r="D72" s="16" t="str">
        <x:v>Bird_Series_Sculpture_1/SS/12477-SIR-049_REVA-Town of Port Hedland-Bird Series Sculpture 1.docx</x:v>
      </x:c>
      <x:c r="E72" s="19" t="n">
        <x:v>1</x:v>
      </x:c>
    </x:row>
    <x:row r="73" ht="37" customHeight="1">
      <x:c r="A73" s="16" t="str">
        <x:v>SRC-067</x:v>
      </x:c>
      <x:c r="B73" s="16" t="str">
        <x:v>审阅或辅助文档</x:v>
      </x:c>
      <x:c r="C73" s="16" t="str">
        <x:v>12477-SIR-049_REVA-Town of Port Hedland-Pretty Pool Yarning Circle 1.docx</x:v>
      </x:c>
      <x:c r="D73" s="16" t="str">
        <x:v>Bird_Series_Sculpture_1/SS/12477-SIR-049_REVA-Town of Port Hedland-Pretty Pool Yarning Circle 1.docx</x:v>
      </x:c>
      <x:c r="E73" s="19" t="n">
        <x:v>2</x:v>
      </x:c>
    </x:row>
    <x:row r="74" ht="37" customHeight="1">
      <x:c r="A74" s="16" t="str">
        <x:v>SRC-068</x:v>
      </x:c>
      <x:c r="B74" s="16" t="str">
        <x:v>正式报告</x:v>
      </x:c>
      <x:c r="C74" s="16" t="str">
        <x:v>12477-SIR-050_REVA-Town of Port Hedland-Bird Series Sculpture 2.docx</x:v>
      </x:c>
      <x:c r="D74" s="16" t="str">
        <x:v>Bird_Series_Sculpture_2/12477-SIR-050_REVA-Town of Port Hedland-Bird Series Sculpture 2.docx</x:v>
      </x:c>
      <x:c r="E74" s="19" t="n">
        <x:v>1</x:v>
      </x:c>
    </x:row>
    <x:row r="75" ht="37" customHeight="1">
      <x:c r="A75" s="16" t="str">
        <x:v>SRC-069</x:v>
      </x:c>
      <x:c r="B75" s="16" t="str">
        <x:v>正式报告</x:v>
      </x:c>
      <x:c r="C75" s="16" t="str">
        <x:v>12477-SIR-051_REVA-Town of Port Hedland-Bird Series Sculpture 3.docx</x:v>
      </x:c>
      <x:c r="D75" s="16" t="str">
        <x:v>Bird_Series_Sculpture_3/12477-SIR-051_REVA-Town of Port Hedland-Bird Series Sculpture 3.docx</x:v>
      </x:c>
      <x:c r="E75" s="19" t="n">
        <x:v>1</x:v>
      </x:c>
    </x:row>
    <x:row r="76" ht="41" customHeight="1">
      <x:c r="A76" s="16" t="str">
        <x:v>SRC-070</x:v>
      </x:c>
      <x:c r="B76" s="16" t="str">
        <x:v>正式报告</x:v>
      </x:c>
      <x:c r="C76" s="16" t="str">
        <x:v>12477-SIR-045_REVA-Town of Port Hedland-Cemetery Beach Park Sculpture and Plaque.docx</x:v>
      </x:c>
      <x:c r="D76" s="16" t="str">
        <x:v>Cemetery_Beach_Park_Sculpture_and_Plaque/12477-SIR-045_REVA-Town of Port Hedland-Cemetery Beach Park Sculpture and Plaque.docx</x:v>
      </x:c>
      <x:c r="E76" s="19" t="n">
        <x:v>1</x:v>
      </x:c>
    </x:row>
    <x:row r="77" ht="37" customHeight="1">
      <x:c r="A77" s="16" t="str">
        <x:v>SRC-071</x:v>
      </x:c>
      <x:c r="B77" s="16" t="str">
        <x:v>正式报告</x:v>
      </x:c>
      <x:c r="C77" s="16" t="str">
        <x:v>12477-SIR-042_REVA-Town of Port Hedland-Don Rhodes Mining Museum.docx</x:v>
      </x:c>
      <x:c r="D77" s="16" t="str">
        <x:v>Don_Rhodes_Mining_and_Transport_Museum/12477-SIR-042_REVA-Town of Port Hedland-Don Rhodes Mining Museum.docx</x:v>
      </x:c>
      <x:c r="E77" s="19" t="n">
        <x:v>9</x:v>
      </x:c>
    </x:row>
    <x:row r="78" ht="37" customHeight="1">
      <x:c r="A78" s="16" t="str">
        <x:v>SRC-072</x:v>
      </x:c>
      <x:c r="B78" s="16" t="str">
        <x:v>审阅或辅助文档</x:v>
      </x:c>
      <x:c r="C78" s="16" t="str">
        <x:v>12477-SIR-042_REVA-Town of Port Hedland-Don Rhodes Mining Museum.docx</x:v>
      </x:c>
      <x:c r="D78" s="16" t="str">
        <x:v>Don_Rhodes_Mining_and_Transport_Museum/SS/12477-SIR-042_REVA-Town of Port Hedland-Don Rhodes Mining Museum.docx</x:v>
      </x:c>
      <x:c r="E78" s="19" t="n">
        <x:v>9</x:v>
      </x:c>
    </x:row>
    <x:row r="79" ht="41" customHeight="1">
      <x:c r="A79" s="16" t="str">
        <x:v>SRC-073</x:v>
      </x:c>
      <x:c r="B79" s="16" t="str">
        <x:v>审阅或辅助文档</x:v>
      </x:c>
      <x:c r="C79" s="16" t="str">
        <x:v>Don Rhodes Mining and Transport Museum0253D4A9-730E-459D-8115-F5675DB26658.docx</x:v>
      </x:c>
      <x:c r="D79" s="16" t="str">
        <x:v>Don_Rhodes_Mining_and_Transport_Museum/SS/Don Rhodes Mining and Transport Museum0253D4A9-730E-459D-8115-F5675DB26658.docx</x:v>
      </x:c>
      <x:c r="E79" s="19" t="n">
        <x:v>0</x:v>
      </x:c>
    </x:row>
    <x:row r="80" ht="41" customHeight="1">
      <x:c r="A80" s="16" t="str">
        <x:v>SRC-074</x:v>
      </x:c>
      <x:c r="B80" s="16" t="str">
        <x:v>审阅或辅助文档</x:v>
      </x:c>
      <x:c r="C80" s="16" t="str">
        <x:v>Don Rhodes Mining and Transport Museum2125EA6F-0D9E-4DC5-9062-4E98DC4654F4.docx</x:v>
      </x:c>
      <x:c r="D80" s="16" t="str">
        <x:v>Don_Rhodes_Mining_and_Transport_Museum/SS/Don Rhodes Mining and Transport Museum2125EA6F-0D9E-4DC5-9062-4E98DC4654F4.docx</x:v>
      </x:c>
      <x:c r="E80" s="19" t="n">
        <x:v>0</x:v>
      </x:c>
    </x:row>
    <x:row r="81" ht="41" customHeight="1">
      <x:c r="A81" s="16" t="str">
        <x:v>SRC-075</x:v>
      </x:c>
      <x:c r="B81" s="16" t="str">
        <x:v>审阅或辅助文档</x:v>
      </x:c>
      <x:c r="C81" s="16" t="str">
        <x:v>Don Rhodes Mining and Transport Museum45077FE3-08DE-4B32-B3E1-0A7FA4A3735A.docx</x:v>
      </x:c>
      <x:c r="D81" s="16" t="str">
        <x:v>Don_Rhodes_Mining_and_Transport_Museum/SS/Don Rhodes Mining and Transport Museum45077FE3-08DE-4B32-B3E1-0A7FA4A3735A.docx</x:v>
      </x:c>
      <x:c r="E81" s="19" t="n">
        <x:v>0</x:v>
      </x:c>
    </x:row>
    <x:row r="82" ht="41" customHeight="1">
      <x:c r="A82" s="16" t="str">
        <x:v>SRC-076</x:v>
      </x:c>
      <x:c r="B82" s="16" t="str">
        <x:v>审阅或辅助文档</x:v>
      </x:c>
      <x:c r="C82" s="16" t="str">
        <x:v>Don Rhodes Mining and Transport Museum4C8947D6-9082-4320-B447-A0BB64781B82.docx</x:v>
      </x:c>
      <x:c r="D82" s="16" t="str">
        <x:v>Don_Rhodes_Mining_and_Transport_Museum/SS/Don Rhodes Mining and Transport Museum4C8947D6-9082-4320-B447-A0BB64781B82.docx</x:v>
      </x:c>
      <x:c r="E82" s="19" t="n">
        <x:v>0</x:v>
      </x:c>
    </x:row>
    <x:row r="83" ht="41" customHeight="1">
      <x:c r="A83" s="16" t="str">
        <x:v>SRC-077</x:v>
      </x:c>
      <x:c r="B83" s="16" t="str">
        <x:v>审阅或辅助文档</x:v>
      </x:c>
      <x:c r="C83" s="16" t="str">
        <x:v>Don Rhodes Mining and Transport Museum8AAB4864-197A-4CEB-B353-FF52742353F7.docx</x:v>
      </x:c>
      <x:c r="D83" s="16" t="str">
        <x:v>Don_Rhodes_Mining_and_Transport_Museum/SS/Don Rhodes Mining and Transport Museum8AAB4864-197A-4CEB-B353-FF52742353F7.docx</x:v>
      </x:c>
      <x:c r="E83" s="19" t="n">
        <x:v>0</x:v>
      </x:c>
    </x:row>
    <x:row r="84" ht="41" customHeight="1">
      <x:c r="A84" s="16" t="str">
        <x:v>SRC-078</x:v>
      </x:c>
      <x:c r="B84" s="16" t="str">
        <x:v>审阅或辅助文档</x:v>
      </x:c>
      <x:c r="C84" s="16" t="str">
        <x:v>Don Rhodes Mining and Transport MuseumC3CC6A45-0F87-4267-A08A-5EFD8523E952.docx</x:v>
      </x:c>
      <x:c r="D84" s="16" t="str">
        <x:v>Don_Rhodes_Mining_and_Transport_Museum/SS/Don Rhodes Mining and Transport MuseumC3CC6A45-0F87-4267-A08A-5EFD8523E952.docx</x:v>
      </x:c>
      <x:c r="E84" s="19" t="n">
        <x:v>0</x:v>
      </x:c>
    </x:row>
    <x:row r="85" ht="41" customHeight="1">
      <x:c r="A85" s="16" t="str">
        <x:v>SRC-079</x:v>
      </x:c>
      <x:c r="B85" s="16" t="str">
        <x:v>审阅或辅助文档</x:v>
      </x:c>
      <x:c r="C85" s="16" t="str">
        <x:v>Don Rhodes Mining and Transport MuseumCCE5B104-D220-4DA2-8522-1AC0C511DAF8.docx</x:v>
      </x:c>
      <x:c r="D85" s="16" t="str">
        <x:v>Don_Rhodes_Mining_and_Transport_Museum/SS/Don Rhodes Mining and Transport MuseumCCE5B104-D220-4DA2-8522-1AC0C511DAF8.docx</x:v>
      </x:c>
      <x:c r="E85" s="19" t="n">
        <x:v>0</x:v>
      </x:c>
    </x:row>
    <x:row r="86" ht="37" customHeight="1">
      <x:c r="A86" s="16" t="str">
        <x:v>SRC-080</x:v>
      </x:c>
      <x:c r="B86" s="16" t="str">
        <x:v>正式报告</x:v>
      </x:c>
      <x:c r="C86" s="16" t="str">
        <x:v>12477-SIR-044_REVA-Town of Port Hedland-Dragonfly Shelter.docx</x:v>
      </x:c>
      <x:c r="D86" s="16" t="str">
        <x:v>Dragonfly_Shelter/12477-SIR-044_REVA-Town of Port Hedland-Dragonfly Shelter.docx</x:v>
      </x:c>
      <x:c r="E86" s="19" t="n">
        <x:v>5</x:v>
      </x:c>
    </x:row>
    <x:row r="87" ht="37" customHeight="1">
      <x:c r="A87" s="16" t="str">
        <x:v>SRC-081</x:v>
      </x:c>
      <x:c r="B87" s="16" t="str">
        <x:v>审阅或辅助文档</x:v>
      </x:c>
      <x:c r="C87" s="16" t="str">
        <x:v>12477-SIR-044_REVA-Town of Port Hedland-Dragonfly Shelter.docx</x:v>
      </x:c>
      <x:c r="D87" s="16" t="str">
        <x:v>Dragonfly_Shelter/SS/12477-SIR-044_REVA-Town of Port Hedland-Dragonfly Shelter.docx</x:v>
      </x:c>
      <x:c r="E87" s="19" t="n">
        <x:v>5</x:v>
      </x:c>
    </x:row>
    <x:row r="88" ht="37" customHeight="1">
      <x:c r="A88" s="16" t="str">
        <x:v>SRC-082</x:v>
      </x:c>
      <x:c r="B88" s="16" t="str">
        <x:v>审阅或辅助文档</x:v>
      </x:c>
      <x:c r="C88" s="16" t="str">
        <x:v>Dragonfly Shelter243A9156-284E-4A79-81ED-AC150A14A727.docx</x:v>
      </x:c>
      <x:c r="D88" s="16" t="str">
        <x:v>Dragonfly_Shelter/SS/Dragonfly Shelter243A9156-284E-4A79-81ED-AC150A14A727.docx</x:v>
      </x:c>
      <x:c r="E88" s="19" t="n">
        <x:v>0</x:v>
      </x:c>
    </x:row>
    <x:row r="89" ht="37" customHeight="1">
      <x:c r="A89" s="16" t="str">
        <x:v>SRC-083</x:v>
      </x:c>
      <x:c r="B89" s="16" t="str">
        <x:v>审阅或辅助文档</x:v>
      </x:c>
      <x:c r="C89" s="16" t="str">
        <x:v>Dragonfly Shelter29A666C8-17CC-418F-9C50-B8F2855B4FF8.docx</x:v>
      </x:c>
      <x:c r="D89" s="16" t="str">
        <x:v>Dragonfly_Shelter/SS/Dragonfly Shelter29A666C8-17CC-418F-9C50-B8F2855B4FF8.docx</x:v>
      </x:c>
      <x:c r="E89" s="19" t="n">
        <x:v>0</x:v>
      </x:c>
    </x:row>
    <x:row r="90" ht="37" customHeight="1">
      <x:c r="A90" s="16" t="str">
        <x:v>SRC-084</x:v>
      </x:c>
      <x:c r="B90" s="16" t="str">
        <x:v>审阅或辅助文档</x:v>
      </x:c>
      <x:c r="C90" s="16" t="str">
        <x:v>Dragonfly Shelter378B23AD-4BA9-49D6-8C73-C7AAD9E78372.docx</x:v>
      </x:c>
      <x:c r="D90" s="16" t="str">
        <x:v>Dragonfly_Shelter/SS/Dragonfly Shelter378B23AD-4BA9-49D6-8C73-C7AAD9E78372.docx</x:v>
      </x:c>
      <x:c r="E90" s="19" t="n">
        <x:v>0</x:v>
      </x:c>
    </x:row>
    <x:row r="91" ht="37" customHeight="1">
      <x:c r="A91" s="16" t="str">
        <x:v>SRC-085</x:v>
      </x:c>
      <x:c r="B91" s="16" t="str">
        <x:v>审阅或辅助文档</x:v>
      </x:c>
      <x:c r="C91" s="16" t="str">
        <x:v>Dragonfly Shelter4B20C8AC-D509-4E67-9D00-5263AF330833.docx</x:v>
      </x:c>
      <x:c r="D91" s="16" t="str">
        <x:v>Dragonfly_Shelter/SS/Dragonfly Shelter4B20C8AC-D509-4E67-9D00-5263AF330833.docx</x:v>
      </x:c>
      <x:c r="E91" s="19" t="n">
        <x:v>0</x:v>
      </x:c>
    </x:row>
    <x:row r="92" ht="37" customHeight="1">
      <x:c r="A92" s="16" t="str">
        <x:v>SRC-086</x:v>
      </x:c>
      <x:c r="B92" s="16" t="str">
        <x:v>审阅或辅助文档</x:v>
      </x:c>
      <x:c r="C92" s="16" t="str">
        <x:v>Dragonfly Shelter59D56DED-C2C2-4579-A374-250ED31C155B.docx</x:v>
      </x:c>
      <x:c r="D92" s="16" t="str">
        <x:v>Dragonfly_Shelter/SS/Dragonfly Shelter59D56DED-C2C2-4579-A374-250ED31C155B.docx</x:v>
      </x:c>
      <x:c r="E92" s="19" t="n">
        <x:v>0</x:v>
      </x:c>
    </x:row>
    <x:row r="93" ht="37" customHeight="1">
      <x:c r="A93" s="16" t="str">
        <x:v>SRC-087</x:v>
      </x:c>
      <x:c r="B93" s="16" t="str">
        <x:v>审阅或辅助文档</x:v>
      </x:c>
      <x:c r="C93" s="16" t="str">
        <x:v>Dragonfly ShelterFEBEEF96-77A5-4E6D-B630-82A768D153D2.docx</x:v>
      </x:c>
      <x:c r="D93" s="16" t="str">
        <x:v>Dragonfly_Shelter/SS/Dragonfly ShelterFEBEEF96-77A5-4E6D-B630-82A768D153D2.docx</x:v>
      </x:c>
      <x:c r="E93" s="19" t="n">
        <x:v>0</x:v>
      </x:c>
    </x:row>
    <x:row r="94" ht="37" customHeight="1">
      <x:c r="A94" s="16" t="str">
        <x:v>SRC-088</x:v>
      </x:c>
      <x:c r="B94" s="16" t="str">
        <x:v>正式报告</x:v>
      </x:c>
      <x:c r="C94" s="16" t="str">
        <x:v>12477-SIR-054_REVA-Town of Port Hedland-Combined report.docx</x:v>
      </x:c>
      <x:c r="D94" s="16" t="str">
        <x:v>Final Report/12477-SIR-054_REVA-Town of Port Hedland-Combined report.docx</x:v>
      </x:c>
      <x:c r="E94" s="19" t="n">
        <x:v>0</x:v>
      </x:c>
    </x:row>
    <x:row r="95" ht="37" customHeight="1">
      <x:c r="A95" s="16" t="str">
        <x:v>SRC-089</x:v>
      </x:c>
      <x:c r="B95" s="16" t="str">
        <x:v>审阅或辅助文档</x:v>
      </x:c>
      <x:c r="C95" s="16" t="str">
        <x:v>Appendix A.docx</x:v>
      </x:c>
      <x:c r="D95" s="16" t="str">
        <x:v>Final Report/Appendix/Appendix A.docx</x:v>
      </x:c>
      <x:c r="E95" s="19" t="n">
        <x:v>0</x:v>
      </x:c>
    </x:row>
    <x:row r="96" ht="37" customHeight="1">
      <x:c r="A96" s="16" t="str">
        <x:v>SRC-090</x:v>
      </x:c>
      <x:c r="B96" s="16" t="str">
        <x:v>审阅或辅助文档</x:v>
      </x:c>
      <x:c r="C96" s="16" t="str">
        <x:v>12477-SIR-054_REVA-Town of Port Hedland-Combined report (AutoRecovered)_jz.docx</x:v>
      </x:c>
      <x:c r="D96" s="16" t="str">
        <x:v>Final Report/Review/12477-SIR-054_REVA-Town of Port Hedland-Combined report (AutoRecovered)_jz.docx</x:v>
      </x:c>
      <x:c r="E96" s="19" t="n">
        <x:v>0</x:v>
      </x:c>
    </x:row>
    <x:row r="97" ht="37" customHeight="1">
      <x:c r="A97" s="16" t="str">
        <x:v>SRC-091</x:v>
      </x:c>
      <x:c r="B97" s="16" t="str">
        <x:v>审阅或辅助文档</x:v>
      </x:c>
      <x:c r="C97" s="16" t="str">
        <x:v>12477-SIR-054_REVA-Town of Port Hedland-Combined report_SA.docx</x:v>
      </x:c>
      <x:c r="D97" s="16" t="str">
        <x:v>Final Report/Review/12477-SIR-054_REVA-Town of Port Hedland-Combined report_SA.docx</x:v>
      </x:c>
      <x:c r="E97" s="19" t="n">
        <x:v>0</x:v>
      </x:c>
    </x:row>
    <x:row r="98" ht="37" customHeight="1">
      <x:c r="A98" s="16" t="str">
        <x:v>SRC-092</x:v>
      </x:c>
      <x:c r="B98" s="16" t="str">
        <x:v>正式报告</x:v>
      </x:c>
      <x:c r="C98" s="16" t="str">
        <x:v>12477-SIR-018_REVA-Town of Port Hedland-Gratwick Aquatic Centre.docx</x:v>
      </x:c>
      <x:c r="D98" s="16" t="str">
        <x:v>Gratwick_Aquatic_Centre/12477-SIR-018_REVA-Town of Port Hedland-Gratwick Aquatic Centre.docx</x:v>
      </x:c>
      <x:c r="E98" s="19" t="n">
        <x:v>27</x:v>
      </x:c>
    </x:row>
    <x:row r="99" ht="37" customHeight="1">
      <x:c r="A99" s="16" t="str">
        <x:v>SRC-093</x:v>
      </x:c>
      <x:c r="B99" s="16" t="str">
        <x:v>审阅或辅助文档</x:v>
      </x:c>
      <x:c r="C99" s="16" t="str">
        <x:v>12477-SIR-018_REVA-Town of Port Hedland-Gratwick Aquatic Centre_SA.docx</x:v>
      </x:c>
      <x:c r="D99" s="16" t="str">
        <x:v>Gratwick_Aquatic_Centre/SS/12477-SIR-018_REVA-Town of Port Hedland-Gratwick Aquatic Centre_SA.docx</x:v>
      </x:c>
      <x:c r="E99" s="19" t="n">
        <x:v>28</x:v>
      </x:c>
    </x:row>
    <x:row r="100" ht="37" customHeight="1">
      <x:c r="A100" s="16" t="str">
        <x:v>SRC-094</x:v>
      </x:c>
      <x:c r="B100" s="16" t="str">
        <x:v>正式报告</x:v>
      </x:c>
      <x:c r="C100" s="16" t="str">
        <x:v>12477-SIR-039_REVA-Town of Port Hedland-Nothing Came by Road.docx</x:v>
      </x:c>
      <x:c r="D100" s="16" t="str">
        <x:v>Nothing_Came_by_Road/12477-SIR-039_REVA-Town of Port Hedland-Nothing Came by Road.docx</x:v>
      </x:c>
      <x:c r="E100" s="19" t="n">
        <x:v>7</x:v>
      </x:c>
    </x:row>
    <x:row r="101" ht="37" customHeight="1">
      <x:c r="A101" s="16" t="str">
        <x:v>SRC-095</x:v>
      </x:c>
      <x:c r="B101" s="16" t="str">
        <x:v>审阅或辅助文档</x:v>
      </x:c>
      <x:c r="C101" s="16" t="str">
        <x:v>12477-SIR-039_REVA-Town of Port Hedland-Nothing Came by Road.docx</x:v>
      </x:c>
      <x:c r="D101" s="16" t="str">
        <x:v>Nothing_Came_by_Road/SS/12477-SIR-039_REVA-Town of Port Hedland-Nothing Came by Road.docx</x:v>
      </x:c>
      <x:c r="E101" s="19" t="n">
        <x:v>7</x:v>
      </x:c>
    </x:row>
    <x:row r="102" ht="37" customHeight="1">
      <x:c r="A102" s="16" t="str">
        <x:v>SRC-096</x:v>
      </x:c>
      <x:c r="B102" s="16" t="str">
        <x:v>正式报告</x:v>
      </x:c>
      <x:c r="C102" s="16" t="str">
        <x:v>12477-SIR-053_REVA-Town of Port Hedland-Port Hedland Civic Centre.docx</x:v>
      </x:c>
      <x:c r="D102" s="16" t="str">
        <x:v>Port_Hedland_Civic_Centre/12477-SIR-053_REVA-Town of Port Hedland-Port Hedland Civic Centre.docx</x:v>
      </x:c>
      <x:c r="E102" s="19" t="n">
        <x:v>7</x:v>
      </x:c>
    </x:row>
    <x:row r="103" ht="37" customHeight="1">
      <x:c r="A103" s="16" t="str">
        <x:v>SRC-097</x:v>
      </x:c>
      <x:c r="B103" s="16" t="str">
        <x:v>审阅或辅助文档</x:v>
      </x:c>
      <x:c r="C103" s="16" t="str">
        <x:v>12477-SIR-053_REVA-Town of Port Hedland-Port Hedland Civic Centre_SA.docx</x:v>
      </x:c>
      <x:c r="D103" s="16" t="str">
        <x:v>Port_Hedland_Civic_Centre/SS/12477-SIR-053_REVA-Town of Port Hedland-Port Hedland Civic Centre_SA.docx</x:v>
      </x:c>
      <x:c r="E103" s="19" t="n">
        <x:v>7</x:v>
      </x:c>
    </x:row>
    <x:row r="104" ht="37" customHeight="1">
      <x:c r="A104" s="16" t="str">
        <x:v>SRC-098</x:v>
      </x:c>
      <x:c r="B104" s="16" t="str">
        <x:v>正式报告</x:v>
      </x:c>
      <x:c r="C104" s="16" t="str">
        <x:v>12477-SIR-047_REVA-Town of Port Hedland-Pretty Pool Yarning Circle 1.docx</x:v>
      </x:c>
      <x:c r="D104" s="16" t="str">
        <x:v>Pretty_Pool_Yarning_Circle_1/12477-SIR-047_REVA-Town of Port Hedland-Pretty Pool Yarning Circle 1.docx</x:v>
      </x:c>
      <x:c r="E104" s="19" t="n">
        <x:v>2</x:v>
      </x:c>
    </x:row>
    <x:row r="105" ht="37" customHeight="1">
      <x:c r="A105" s="16" t="str">
        <x:v>SRC-099</x:v>
      </x:c>
      <x:c r="B105" s="16" t="str">
        <x:v>正式报告</x:v>
      </x:c>
      <x:c r="C105" s="16" t="str">
        <x:v>12477-SIR-048_REVA-Town of Port Hedland-Pretty Pool Yarning Circle 2.docx</x:v>
      </x:c>
      <x:c r="D105" s="16" t="str">
        <x:v>Pretty_Pool_Yarning_Circle_2/12477-SIR-048_REVA-Town of Port Hedland-Pretty Pool Yarning Circle 2.docx</x:v>
      </x:c>
      <x:c r="E105" s="19" t="n">
        <x:v>2</x:v>
      </x:c>
    </x:row>
    <x:row r="106" ht="37" customHeight="1">
      <x:c r="A106" s="16" t="str">
        <x:v>SRC-100</x:v>
      </x:c>
      <x:c r="B106" s="16" t="str">
        <x:v>正式报告</x:v>
      </x:c>
      <x:c r="C106" s="16" t="str">
        <x:v>12477-SIR-052_REVA-Town of Port Hedland-Redbank Bridge Lookout.docx</x:v>
      </x:c>
      <x:c r="D106" s="16" t="str">
        <x:v>Redbank_Bridge_Lookout/12477-SIR-052_REVA-Town of Port Hedland-Redbank Bridge Lookout.docx</x:v>
      </x:c>
      <x:c r="E106" s="19" t="n">
        <x:v>6</x:v>
      </x:c>
    </x:row>
    <x:row r="107" ht="37" customHeight="1">
      <x:c r="A107" s="16" t="str">
        <x:v>SRC-101</x:v>
      </x:c>
      <x:c r="B107" s="16" t="str">
        <x:v>审阅或辅助文档</x:v>
      </x:c>
      <x:c r="C107" s="16" t="str">
        <x:v>12477-SIR-052_REVA-Town of Port Hedland-Redbank Bridge Lookout_SA.docx</x:v>
      </x:c>
      <x:c r="D107" s="16" t="str">
        <x:v>Redbank_Bridge_Lookout/SS/12477-SIR-052_REVA-Town of Port Hedland-Redbank Bridge Lookout_SA.docx</x:v>
      </x:c>
      <x:c r="E107" s="19" t="n">
        <x:v>6</x:v>
      </x:c>
    </x:row>
    <x:row r="108" ht="37" customHeight="1">
      <x:c r="A108" s="16" t="str">
        <x:v>SRC-102</x:v>
      </x:c>
      <x:c r="B108" s="16" t="str">
        <x:v>正式报告</x:v>
      </x:c>
      <x:c r="C108" s="16" t="str">
        <x:v>12477-SIR-041_REVA-Town of Port Hedland-Sea Plant.docx</x:v>
      </x:c>
      <x:c r="D108" s="16" t="str">
        <x:v>Sea_Plant/12477-SIR-041_REVA-Town of Port Hedland-Sea Plant.docx</x:v>
      </x:c>
      <x:c r="E108" s="19" t="n">
        <x:v>1</x:v>
      </x:c>
    </x:row>
    <x:row r="109" ht="37" customHeight="1">
      <x:c r="A109" s="16" t="str">
        <x:v>SRC-103</x:v>
      </x:c>
      <x:c r="B109" s="16" t="str">
        <x:v>正式报告</x:v>
      </x:c>
      <x:c r="C109" s="16" t="str">
        <x:v>12477-SIR-040_REVA-Town of Port Hedland-Welded couple and turnip.docx</x:v>
      </x:c>
      <x:c r="D109" s="16" t="str">
        <x:v>Welded_Couple_and_Turnip_/12477-SIR-040_REVA-Town of Port Hedland-Welded couple and turnip.docx</x:v>
      </x:c>
      <x:c r="E109" s="19" t="n">
        <x:v>3</x:v>
      </x:c>
    </x:row>
    <x:row r="110" ht="37" customHeight="1">
      <x:c r="A110" s="16" t="str">
        <x:v>SRC-104</x:v>
      </x:c>
      <x:c r="B110" s="16" t="str">
        <x:v>正式报告</x:v>
      </x:c>
      <x:c r="C110" s="16" t="str">
        <x:v>12477-SIR-046_REVA-Town of Port Hedland-Yikara Park Bird Sculpture.docx</x:v>
      </x:c>
      <x:c r="D110" s="16" t="str">
        <x:v>Yikara_Park_Bird_Sculpture/12477-SIR-046_REVA-Town of Port Hedland-Yikara Park Bird Sculpture.docx</x:v>
      </x:c>
      <x:c r="E110" s="19" t="n">
        <x:v>2</x:v>
      </x:c>
    </x:row>
  </x:sheetData>
  <x:pageMargins left="0.7" right="0.7" top="0.75" bottom="0.75" header="0.3" footer="0.3"/>
  <x:tableParts count="1">
    <x:tablePart xmlns:r="http://schemas.openxmlformats.org/officeDocument/2006/relationships" r:id="Re020cde3805145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3" hidden="0" customWidth="1"/>
    <x:col min="2" max="2" width="118" hidden="0" customWidth="1"/>
  </x:cols>
  <x:sheetData>
    <x:row r="2" ht="28" customHeight="1">
      <x:c r="A2" s="5" t="str">
        <x:v>报告文字库整理说明</x:v>
      </x:c>
      <x:c r="B2" s="2"/>
    </x:row>
    <x:row r="3" ht="23" customHeight="1">
      <x:c r="A3" s="6" t="str">
        <x:v>第一版仅应用格式整理；所有语义合并和模板化建议均保留待确认。</x:v>
      </x:c>
      <x:c r="B3" s="2"/>
    </x:row>
    <x:row r="4">
      <x:c r="A4" s="2"/>
      <x:c r="B4" s="2"/>
    </x:row>
    <x:row r="5" ht="29" customHeight="1">
      <x:c r="A5" s="10" t="str">
        <x:v>工作表</x:v>
      </x:c>
      <x:c r="B5" s="10" t="str">
        <x:v>查看和编辑方式</x:v>
      </x:c>
    </x:row>
    <x:row r="6" ht="49" customHeight="1">
      <x:c r="A6" s="15" t="str">
        <x:v>Observation 和 Recommendation</x:v>
      </x:c>
      <x:c r="B6" s="15" t="str">
        <x:v>黄色列可编辑。可以改标准描述、构件标签和备注，并用启用的下拉菜单决定是否保留词条。使用次数是整理时的历史频次。</x:v>
      </x:c>
    </x:row>
    <x:row r="7" ht="49" customHeight="1">
      <x:c r="A7" s="15" t="str">
        <x:v>待确认合并</x:v>
      </x:c>
      <x:c r="B7" s="15" t="str">
        <x:v>在确认结果列选择待确认、同意合并、保持独立、使用模板、提取短句或需修改。合并、模板和短句操作需要填写最终标准文字。</x:v>
      </x:c>
    </x:row>
    <x:row r="8" ht="49" customHeight="1">
      <x:c r="A8" s="15" t="str">
        <x:v>确认项明细</x:v>
      </x:c>
      <x:c r="B8" s="15" t="str">
        <x:v>筛选合并项编号查看全部完整变体，尤其适用于位置模板和多条建议共用一个短句的情况。</x:v>
      </x:c>
    </x:row>
    <x:row r="9" ht="49" customHeight="1">
      <x:c r="A9" s="15" t="str">
        <x:v>原始记录</x:v>
      </x:c>
      <x:c r="B9" s="15" t="str">
        <x:v>保留原始文字、构件、评级、照片数和表格位置。正式记录与辅助记录分开标识，避免把审阅版本再次计入文字库频次。</x:v>
      </x:c>
    </x:row>
    <x:row r="10" ht="49" customHeight="1">
      <x:c r="A10" s="15" t="str">
        <x:v>来源报告</x:v>
      </x:c>
      <x:c r="B10" s="15" t="str">
        <x:v>通过 SRC 编号找到报告文件和相对路径。原始 Word 文档以及原始 JSON 提取文件保持不变。</x:v>
      </x:c>
    </x:row>
    <x:row r="11" ht="49" customHeight="1">
      <x:c r="A11" s="15" t="str">
        <x:v>确认后如何处理</x:v>
      </x:c>
      <x:c r="B11" s="15" t="str">
        <x:v>确认结果只是复核记录，不会自动合并或删除主文字库里的词条。确认完成后可依据决定生成下一版，避免交叉合并项产生冲突。</x:v>
      </x:c>
    </x:row>
    <x:row r="12" ht="49" customHeight="1">
      <x:c r="A12" s="15" t="str">
        <x:v>保留现场差异</x:v>
      </x:c>
      <x:c r="B12" s="15" t="str">
        <x:v>程度、局部或全部范围、构件编号、数值、材料、处理方法、条件及章节引用均需保留。提取复用短句时，完整建议中的其他要求仍保留。</x:v>
      </x:c>
    </x:row>
    <x:row r="13">
      <x:c r="A13" s="2"/>
      <x:c r="B13" s="2"/>
    </x:row>
    <x:row r="14">
      <x:c r="A14" s="2"/>
      <x:c r="B14" s="2"/>
    </x:row>
    <x:row r="15" ht="25" customHeight="1">
      <x:c r="A15" s="7" t="str">
        <x:f>"精简词条：Observation "&amp;COUNTA('Observation'!A7:A628)&amp;"；Recommendation "&amp;COUNTA('Recommendation'!A7:A181)</x:f>
        <x:v>精简词条：Observation 622；Recommendation 175</x:v>
      </x:c>
      <x:c r="B15" s="2"/>
    </x:row>
    <x:row r="16" ht="25" customHeight="1">
      <x:c r="A16" s="7" t="str">
        <x:f>"正式记录：Observation "&amp;SUM('Observation'!E7:E628)&amp;"；Recommendation "&amp;SUM('Recommendation'!E7:E181)</x:f>
        <x:v>正式记录：Observation 791；Recommendation 505</x:v>
      </x:c>
      <x:c r="B16" s="2"/>
    </x:row>
    <x:row r="17" ht="25" customHeight="1">
      <x:c r="A17" s="7" t="str">
        <x:f>"原始记录合计："&amp;COUNTA('原始记录'!A7:A1957)&amp;"；其中正式记录 "&amp;COUNTIF('原始记录'!G7:G1957,"正式报告")&amp;"；审阅或辅助记录 "&amp;COUNTIF('原始记录'!G7:G1957,"审阅或辅助文档")</x:f>
        <x:v>原始记录合计：1951；其中正式记录 1296；审阅或辅助记录 655</x:v>
      </x:c>
      <x:c r="B17" s="2"/>
    </x:row>
    <x:row r="18" ht="25" customHeight="1">
      <x:c r="A18" s="7" t="str">
        <x:f>"确认项："&amp;COUNTA('待确认合并'!A7:A309)&amp;"；已确认 "&amp;COUNTIF('待确认合并'!M7:M309,"已确认")</x:f>
        <x:v>确认项：303；已确认 0</x:v>
      </x:c>
      <x:c r="B18" s="2"/>
    </x:row>
    <x:row r="19" ht="25" customHeight="1">
      <x:c r="A19" s="7" t="str">
        <x:v>确认项包括：近似描述 266 项，位置模板 13 项，同义表达 1 项，复用短句 23 项。</x:v>
      </x:c>
      <x:c r="B19" s="2"/>
    </x:row>
    <x:row r="20">
      <x:c r="A20" s="2"/>
      <x:c r="B20" s="2"/>
    </x:row>
    <x:row r="21">
      <x:c r="A21" s="2"/>
      <x:c r="B21" s="2"/>
    </x:row>
  </x:sheetData>
  <x:pageMargins left="0.7" right="0.7" top="0.75" bottom="0.75" header="0.3" footer="0.3"/>
</x:worksheet>
</file>